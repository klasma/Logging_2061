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924-2023</t>
        </is>
      </c>
      <c r="B2" t="inlineStr">
        <is>
          <t>samrådsanmälan</t>
        </is>
      </c>
      <c r="C2" t="inlineStr">
        <is>
          <t>Askåterföring</t>
        </is>
      </c>
      <c r="D2" s="1" t="n">
        <v>44999</v>
      </c>
      <c r="E2" s="1" t="n">
        <v>46220</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Y2">
        <f>HYPERLINK("https://klasma.github.io/Logging_2061/klagomål/S 924-2023 FSC-klagomål.docx", "S 924-2023")</f>
        <v/>
      </c>
      <c r="Z2">
        <f>HYPERLINK("https://klasma.github.io/Logging_2061/klagomålsmail/S 924-2023 FSC-klagomål mail.docx", "S 924-2023")</f>
        <v/>
      </c>
      <c r="AA2">
        <f>HYPERLINK("https://klasma.github.io/Logging_2061/tillsyn/S 924-2023 tillsynsbegäran.docx", "S 924-2023")</f>
        <v/>
      </c>
      <c r="AB2">
        <f>HYPERLINK("https://klasma.github.io/Logging_2061/tillsynsmail/S 924-2023 tillsynsbegäran mail.docx", "S 924-2023")</f>
        <v/>
      </c>
      <c r="AC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46220</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Y3">
        <f>HYPERLINK("https://klasma.github.io/Logging_2061/klagomål/A 45719-2021 FSC-klagomål.docx", "A 45719-2021")</f>
        <v/>
      </c>
      <c r="Z3">
        <f>HYPERLINK("https://klasma.github.io/Logging_2061/klagomålsmail/A 45719-2021 FSC-klagomål mail.docx", "A 45719-2021")</f>
        <v/>
      </c>
      <c r="AA3">
        <f>HYPERLINK("https://klasma.github.io/Logging_2061/tillsyn/A 45719-2021 tillsynsbegäran.docx", "A 45719-2021")</f>
        <v/>
      </c>
      <c r="AB3">
        <f>HYPERLINK("https://klasma.github.io/Logging_2061/tillsynsmail/A 45719-2021 tillsynsbegäran mail.docx", "A 45719-2021")</f>
        <v/>
      </c>
      <c r="AC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46220</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HYPERLINK("https://klasma.github.io/Logging_2061/knärot/A 57321-2024 karta knärot.png", "A 57321-2024")</f>
        <v/>
      </c>
      <c r="Y4">
        <f>HYPERLINK("https://klasma.github.io/Logging_2061/klagomål/A 57321-2024 FSC-klagomål.docx", "A 57321-2024")</f>
        <v/>
      </c>
      <c r="Z4">
        <f>HYPERLINK("https://klasma.github.io/Logging_2061/klagomålsmail/A 57321-2024 FSC-klagomål mail.docx", "A 57321-2024")</f>
        <v/>
      </c>
      <c r="AA4">
        <f>HYPERLINK("https://klasma.github.io/Logging_2061/tillsyn/A 57321-2024 tillsynsbegäran.docx", "A 57321-2024")</f>
        <v/>
      </c>
      <c r="AB4">
        <f>HYPERLINK("https://klasma.github.io/Logging_2061/tillsynsmail/A 57321-2024 tillsynsbegäran mail.docx", "A 57321-2024")</f>
        <v/>
      </c>
      <c r="AC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46220</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HYPERLINK("https://klasma.github.io/Logging_2061/knärot/A 36532-2025 karta knärot.png", "A 36532-2025")</f>
        <v/>
      </c>
      <c r="Y5">
        <f>HYPERLINK("https://klasma.github.io/Logging_2061/klagomål/A 36532-2025 FSC-klagomål.docx", "A 36532-2025")</f>
        <v/>
      </c>
      <c r="Z5">
        <f>HYPERLINK("https://klasma.github.io/Logging_2061/klagomålsmail/A 36532-2025 FSC-klagomål mail.docx", "A 36532-2025")</f>
        <v/>
      </c>
      <c r="AA5">
        <f>HYPERLINK("https://klasma.github.io/Logging_2061/tillsyn/A 36532-2025 tillsynsbegäran.docx", "A 36532-2025")</f>
        <v/>
      </c>
      <c r="AB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46220</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Y6">
        <f>HYPERLINK("https://klasma.github.io/Logging_2061/klagomål/S 3569-2025 FSC-klagomål.docx", "S 3569-2025")</f>
        <v/>
      </c>
      <c r="Z6">
        <f>HYPERLINK("https://klasma.github.io/Logging_2061/klagomålsmail/S 3569-2025 FSC-klagomål mail.docx", "S 3569-2025")</f>
        <v/>
      </c>
      <c r="AA6">
        <f>HYPERLINK("https://klasma.github.io/Logging_2061/tillsyn/S 3569-2025 tillsynsbegäran.docx", "S 3569-2025")</f>
        <v/>
      </c>
      <c r="AB6">
        <f>HYPERLINK("https://klasma.github.io/Logging_2061/tillsynsmail/S 3569-2025 tillsynsbegäran mail.docx", "S 3569-2025")</f>
        <v/>
      </c>
      <c r="AC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HYPERLINK("https://klasma.github.io/Logging_2061/knärot/A 33017-2024 karta knärot.png", "A 33017-2024")</f>
        <v/>
      </c>
      <c r="Y7">
        <f>HYPERLINK("https://klasma.github.io/Logging_2061/klagomål/A 33017-2024 FSC-klagomål.docx", "A 33017-2024")</f>
        <v/>
      </c>
      <c r="Z7">
        <f>HYPERLINK("https://klasma.github.io/Logging_2061/klagomålsmail/A 33017-2024 FSC-klagomål mail.docx", "A 33017-2024")</f>
        <v/>
      </c>
      <c r="AA7">
        <f>HYPERLINK("https://klasma.github.io/Logging_2061/tillsyn/A 33017-2024 tillsynsbegäran.docx", "A 33017-2024")</f>
        <v/>
      </c>
      <c r="AB7">
        <f>HYPERLINK("https://klasma.github.io/Logging_2061/tillsynsmail/A 33017-2024 tillsynsbegäran mail.docx", "A 33017-2024")</f>
        <v/>
      </c>
      <c r="AC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46220</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HYPERLINK("https://klasma.github.io/Logging_2061/knärot/A 49765-2022 karta knärot.png", "A 49765-2022")</f>
        <v/>
      </c>
      <c r="Y8">
        <f>HYPERLINK("https://klasma.github.io/Logging_2061/klagomål/A 49765-2022 FSC-klagomål.docx", "A 49765-2022")</f>
        <v/>
      </c>
      <c r="Z8">
        <f>HYPERLINK("https://klasma.github.io/Logging_2061/klagomålsmail/A 49765-2022 FSC-klagomål mail.docx", "A 49765-2022")</f>
        <v/>
      </c>
      <c r="AA8">
        <f>HYPERLINK("https://klasma.github.io/Logging_2061/tillsyn/A 49765-2022 tillsynsbegäran.docx", "A 49765-2022")</f>
        <v/>
      </c>
      <c r="AB8">
        <f>HYPERLINK("https://klasma.github.io/Logging_2061/tillsynsmail/A 49765-2022 tillsynsbegäran mail.docx", "A 49765-2022")</f>
        <v/>
      </c>
      <c r="AC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46220</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HYPERLINK("https://klasma.github.io/Logging_2061/knärot/A 42272-2021 karta knärot.png", "A 42272-2021")</f>
        <v/>
      </c>
      <c r="Y9">
        <f>HYPERLINK("https://klasma.github.io/Logging_2061/klagomål/A 42272-2021 FSC-klagomål.docx", "A 42272-2021")</f>
        <v/>
      </c>
      <c r="Z9">
        <f>HYPERLINK("https://klasma.github.io/Logging_2061/klagomålsmail/A 42272-2021 FSC-klagomål mail.docx", "A 42272-2021")</f>
        <v/>
      </c>
      <c r="AA9">
        <f>HYPERLINK("https://klasma.github.io/Logging_2061/tillsyn/A 42272-2021 tillsynsbegäran.docx", "A 42272-2021")</f>
        <v/>
      </c>
      <c r="AB9">
        <f>HYPERLINK("https://klasma.github.io/Logging_2061/tillsynsmail/A 42272-2021 tillsynsbegäran mail.docx", "A 42272-2021")</f>
        <v/>
      </c>
      <c r="AC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46220</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Y10">
        <f>HYPERLINK("https://klasma.github.io/Logging_2061/klagomål/A 25404-2026 FSC-klagomål.docx", "A 25404-2026")</f>
        <v/>
      </c>
      <c r="Z10">
        <f>HYPERLINK("https://klasma.github.io/Logging_2061/klagomålsmail/A 25404-2026 FSC-klagomål mail.docx", "A 25404-2026")</f>
        <v/>
      </c>
      <c r="AA10">
        <f>HYPERLINK("https://klasma.github.io/Logging_2061/tillsyn/A 25404-2026 tillsynsbegäran.docx", "A 25404-2026")</f>
        <v/>
      </c>
      <c r="AB10">
        <f>HYPERLINK("https://klasma.github.io/Logging_2061/tillsynsmail/A 25404-2026 tillsynsbegäran mail.docx", "A 25404-2026")</f>
        <v/>
      </c>
      <c r="AC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46220</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Y11">
        <f>HYPERLINK("https://klasma.github.io/Logging_2061/klagomål/S 5222-2022 FSC-klagomål.docx", "S 5222-2022")</f>
        <v/>
      </c>
      <c r="Z11">
        <f>HYPERLINK("https://klasma.github.io/Logging_2061/klagomålsmail/S 5222-2022 FSC-klagomål mail.docx", "S 5222-2022")</f>
        <v/>
      </c>
      <c r="AA11">
        <f>HYPERLINK("https://klasma.github.io/Logging_2061/tillsyn/S 5222-2022 tillsynsbegäran.docx", "S 5222-2022")</f>
        <v/>
      </c>
      <c r="AB11">
        <f>HYPERLINK("https://klasma.github.io/Logging_2061/tillsynsmail/S 5222-2022 tillsynsbegäran mail.docx", "S 5222-2022")</f>
        <v/>
      </c>
      <c r="AC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46220</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Y12">
        <f>HYPERLINK("https://klasma.github.io/Logging_2061/klagomål/S 930-2023 FSC-klagomål.docx", "S 930-2023")</f>
        <v/>
      </c>
      <c r="Z12">
        <f>HYPERLINK("https://klasma.github.io/Logging_2061/klagomålsmail/S 930-2023 FSC-klagomål mail.docx", "S 930-2023")</f>
        <v/>
      </c>
      <c r="AA12">
        <f>HYPERLINK("https://klasma.github.io/Logging_2061/tillsyn/S 930-2023 tillsynsbegäran.docx", "S 930-2023")</f>
        <v/>
      </c>
      <c r="AB12">
        <f>HYPERLINK("https://klasma.github.io/Logging_2061/tillsynsmail/S 930-2023 tillsynsbegäran mail.docx", "S 930-2023")</f>
        <v/>
      </c>
      <c r="AC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46220</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s="2" t="inlineStr">
        <is>
          <t>Bågpraktmossa
Grov baronmossa
Guldlockmossa
Stenporella
Svart trolldruva
Trädporella
Blåsippa</t>
        </is>
      </c>
      <c r="V13">
        <f>HYPERLINK("https://klasma.github.io/Logging_2061/artfynd/A 35890-2025 artfynd.xlsx", "A 35890-2025")</f>
        <v/>
      </c>
      <c r="W13">
        <f>HYPERLINK("https://klasma.github.io/Logging_2061/kartor/A 35890-2025 karta.png", "A 35890-2025")</f>
        <v/>
      </c>
      <c r="Y13">
        <f>HYPERLINK("https://klasma.github.io/Logging_2061/klagomål/A 35890-2025 FSC-klagomål.docx", "A 35890-2025")</f>
        <v/>
      </c>
      <c r="Z13">
        <f>HYPERLINK("https://klasma.github.io/Logging_2061/klagomålsmail/A 35890-2025 FSC-klagomål mail.docx", "A 35890-2025")</f>
        <v/>
      </c>
      <c r="AA13">
        <f>HYPERLINK("https://klasma.github.io/Logging_2061/tillsyn/A 35890-2025 tillsynsbegäran.docx", "A 35890-2025")</f>
        <v/>
      </c>
      <c r="AB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46220</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s="2" t="inlineStr">
        <is>
          <t>Knärot
Motaggsvamp
Tallticka
Vedskivlav
Vedtrappmossa
Vågbandad barkbock
Spillkråka</t>
        </is>
      </c>
      <c r="V14">
        <f>HYPERLINK("https://klasma.github.io/Logging_2061/artfynd/A 52601-2024 artfynd.xlsx", "A 52601-2024")</f>
        <v/>
      </c>
      <c r="W14">
        <f>HYPERLINK("https://klasma.github.io/Logging_2061/kartor/A 52601-2024 karta.png", "A 52601-2024")</f>
        <v/>
      </c>
      <c r="X14">
        <f>HYPERLINK("https://klasma.github.io/Logging_2061/knärot/A 52601-2024 karta knärot.png", "A 52601-2024")</f>
        <v/>
      </c>
      <c r="Y14">
        <f>HYPERLINK("https://klasma.github.io/Logging_2061/klagomål/A 52601-2024 FSC-klagomål.docx", "A 52601-2024")</f>
        <v/>
      </c>
      <c r="Z14">
        <f>HYPERLINK("https://klasma.github.io/Logging_2061/klagomålsmail/A 52601-2024 FSC-klagomål mail.docx", "A 52601-2024")</f>
        <v/>
      </c>
      <c r="AA14">
        <f>HYPERLINK("https://klasma.github.io/Logging_2061/tillsyn/A 52601-2024 tillsynsbegäran.docx", "A 52601-2024")</f>
        <v/>
      </c>
      <c r="AB14">
        <f>HYPERLINK("https://klasma.github.io/Logging_2061/tillsynsmail/A 52601-2024 tillsynsbegäran mail.docx", "A 52601-2024")</f>
        <v/>
      </c>
      <c r="AC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46220</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Y15">
        <f>HYPERLINK("https://klasma.github.io/Logging_2061/klagomål/S 742-2025 FSC-klagomål.docx", "S 742-2025")</f>
        <v/>
      </c>
      <c r="Z15">
        <f>HYPERLINK("https://klasma.github.io/Logging_2061/klagomålsmail/S 742-2025 FSC-klagomål mail.docx", "S 742-2025")</f>
        <v/>
      </c>
      <c r="AA15">
        <f>HYPERLINK("https://klasma.github.io/Logging_2061/tillsyn/S 742-2025 tillsynsbegäran.docx", "S 742-2025")</f>
        <v/>
      </c>
      <c r="AB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46220</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HYPERLINK("https://klasma.github.io/Logging_2061/knärot/A 19410-2023 karta knärot.png", "A 19410-2023")</f>
        <v/>
      </c>
      <c r="Y16">
        <f>HYPERLINK("https://klasma.github.io/Logging_2061/klagomål/A 19410-2023 FSC-klagomål.docx", "A 19410-2023")</f>
        <v/>
      </c>
      <c r="Z16">
        <f>HYPERLINK("https://klasma.github.io/Logging_2061/klagomålsmail/A 19410-2023 FSC-klagomål mail.docx", "A 19410-2023")</f>
        <v/>
      </c>
      <c r="AA16">
        <f>HYPERLINK("https://klasma.github.io/Logging_2061/tillsyn/A 19410-2023 tillsynsbegäran.docx", "A 19410-2023")</f>
        <v/>
      </c>
      <c r="AB16">
        <f>HYPERLINK("https://klasma.github.io/Logging_2061/tillsynsmail/A 19410-2023 tillsynsbegäran mail.docx", "A 19410-2023")</f>
        <v/>
      </c>
      <c r="AC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46220</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HYPERLINK("https://klasma.github.io/Logging_2061/knärot/A 54940-2025 karta knärot.png", "A 54940-2025")</f>
        <v/>
      </c>
      <c r="Y17">
        <f>HYPERLINK("https://klasma.github.io/Logging_2061/klagomål/A 54940-2025 FSC-klagomål.docx", "A 54940-2025")</f>
        <v/>
      </c>
      <c r="Z17">
        <f>HYPERLINK("https://klasma.github.io/Logging_2061/klagomålsmail/A 54940-2025 FSC-klagomål mail.docx", "A 54940-2025")</f>
        <v/>
      </c>
      <c r="AA17">
        <f>HYPERLINK("https://klasma.github.io/Logging_2061/tillsyn/A 54940-2025 tillsynsbegäran.docx", "A 54940-2025")</f>
        <v/>
      </c>
      <c r="AB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46220</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s="2" t="inlineStr">
        <is>
          <t>Fjällig taggsvamp s.str.
Sotriska
Strimspindling
Svart trolldruva
Ögonpyrola</t>
        </is>
      </c>
      <c r="V18">
        <f>HYPERLINK("https://klasma.github.io/Logging_2061/artfynd/A 35889-2025 artfynd.xlsx", "A 35889-2025")</f>
        <v/>
      </c>
      <c r="W18">
        <f>HYPERLINK("https://klasma.github.io/Logging_2061/kartor/A 35889-2025 karta.png", "A 35889-2025")</f>
        <v/>
      </c>
      <c r="Y18">
        <f>HYPERLINK("https://klasma.github.io/Logging_2061/klagomål/A 35889-2025 FSC-klagomål.docx", "A 35889-2025")</f>
        <v/>
      </c>
      <c r="Z18">
        <f>HYPERLINK("https://klasma.github.io/Logging_2061/klagomålsmail/A 35889-2025 FSC-klagomål mail.docx", "A 35889-2025")</f>
        <v/>
      </c>
      <c r="AA18">
        <f>HYPERLINK("https://klasma.github.io/Logging_2061/tillsyn/A 35889-2025 tillsynsbegäran.docx", "A 35889-2025")</f>
        <v/>
      </c>
      <c r="AB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46220</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HYPERLINK("https://klasma.github.io/Logging_2061/knärot/A 23498-2024 karta knärot.png", "A 23498-2024")</f>
        <v/>
      </c>
      <c r="Y19">
        <f>HYPERLINK("https://klasma.github.io/Logging_2061/klagomål/A 23498-2024 FSC-klagomål.docx", "A 23498-2024")</f>
        <v/>
      </c>
      <c r="Z19">
        <f>HYPERLINK("https://klasma.github.io/Logging_2061/klagomålsmail/A 23498-2024 FSC-klagomål mail.docx", "A 23498-2024")</f>
        <v/>
      </c>
      <c r="AA19">
        <f>HYPERLINK("https://klasma.github.io/Logging_2061/tillsyn/A 23498-2024 tillsynsbegäran.docx", "A 23498-2024")</f>
        <v/>
      </c>
      <c r="AB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46220</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s="2" t="inlineStr">
        <is>
          <t>Brun gräsfjäril
Väddnätfjäril
Mattlummer
Fläcknycklar
Revlummer</t>
        </is>
      </c>
      <c r="V20">
        <f>HYPERLINK("https://klasma.github.io/Logging_2061/artfynd/A 60678-2024 artfynd.xlsx", "A 60678-2024")</f>
        <v/>
      </c>
      <c r="W20">
        <f>HYPERLINK("https://klasma.github.io/Logging_2061/kartor/A 60678-2024 karta.png", "A 60678-2024")</f>
        <v/>
      </c>
      <c r="Y20">
        <f>HYPERLINK("https://klasma.github.io/Logging_2061/klagomål/A 60678-2024 FSC-klagomål.docx", "A 60678-2024")</f>
        <v/>
      </c>
      <c r="Z20">
        <f>HYPERLINK("https://klasma.github.io/Logging_2061/klagomålsmail/A 60678-2024 FSC-klagomål mail.docx", "A 60678-2024")</f>
        <v/>
      </c>
      <c r="AA20">
        <f>HYPERLINK("https://klasma.github.io/Logging_2061/tillsyn/A 60678-2024 tillsynsbegäran.docx", "A 60678-2024")</f>
        <v/>
      </c>
      <c r="AB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46220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Y21">
        <f>HYPERLINK("https://klasma.github.io/Logging_2061/klagomål/A 50681-2025 FSC-klagomål.docx", "A 50681-2025")</f>
        <v/>
      </c>
      <c r="Z21">
        <f>HYPERLINK("https://klasma.github.io/Logging_2061/klagomålsmail/A 50681-2025 FSC-klagomål mail.docx", "A 50681-2025")</f>
        <v/>
      </c>
      <c r="AA21">
        <f>HYPERLINK("https://klasma.github.io/Logging_2061/tillsyn/A 50681-2025 tillsynsbegäran.docx", "A 50681-2025")</f>
        <v/>
      </c>
      <c r="AB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HYPERLINK("https://klasma.github.io/Logging_2061/knärot/A 53555-2025 karta knärot.png", "A 53555-2025")</f>
        <v/>
      </c>
      <c r="Y22">
        <f>HYPERLINK("https://klasma.github.io/Logging_2061/klagomål/A 53555-2025 FSC-klagomål.docx", "A 53555-2025")</f>
        <v/>
      </c>
      <c r="Z22">
        <f>HYPERLINK("https://klasma.github.io/Logging_2061/klagomålsmail/A 53555-2025 FSC-klagomål mail.docx", "A 53555-2025")</f>
        <v/>
      </c>
      <c r="AA22">
        <f>HYPERLINK("https://klasma.github.io/Logging_2061/tillsyn/A 53555-2025 tillsynsbegäran.docx", "A 53555-2025")</f>
        <v/>
      </c>
      <c r="AB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46220</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Y23">
        <f>HYPERLINK("https://klasma.github.io/Logging_2061/klagomål/S 4215-2023 FSC-klagomål.docx", "S 4215-2023")</f>
        <v/>
      </c>
      <c r="Z23">
        <f>HYPERLINK("https://klasma.github.io/Logging_2061/klagomålsmail/S 4215-2023 FSC-klagomål mail.docx", "S 4215-2023")</f>
        <v/>
      </c>
      <c r="AA23">
        <f>HYPERLINK("https://klasma.github.io/Logging_2061/tillsyn/S 4215-2023 tillsynsbegäran.docx", "S 4215-2023")</f>
        <v/>
      </c>
      <c r="AB23">
        <f>HYPERLINK("https://klasma.github.io/Logging_2061/tillsynsmail/S 4215-2023 tillsynsbegäran mail.docx", "S 4215-2023")</f>
        <v/>
      </c>
      <c r="AC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46220</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Y24">
        <f>HYPERLINK("https://klasma.github.io/Logging_2061/klagomål/S 1097-2024 FSC-klagomål.docx", "S 1097-2024")</f>
        <v/>
      </c>
      <c r="Z24">
        <f>HYPERLINK("https://klasma.github.io/Logging_2061/klagomålsmail/S 1097-2024 FSC-klagomål mail.docx", "S 1097-2024")</f>
        <v/>
      </c>
      <c r="AA24">
        <f>HYPERLINK("https://klasma.github.io/Logging_2061/tillsyn/S 1097-2024 tillsynsbegäran.docx", "S 1097-2024")</f>
        <v/>
      </c>
      <c r="AB24">
        <f>HYPERLINK("https://klasma.github.io/Logging_2061/tillsynsmail/S 1097-2024 tillsynsbegäran mail.docx", "S 1097-2024")</f>
        <v/>
      </c>
      <c r="AC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46220</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Y25">
        <f>HYPERLINK("https://klasma.github.io/Logging_2061/klagomål/A 31791-2022 FSC-klagomål.docx", "A 31791-2022")</f>
        <v/>
      </c>
      <c r="Z25">
        <f>HYPERLINK("https://klasma.github.io/Logging_2061/klagomålsmail/A 31791-2022 FSC-klagomål mail.docx", "A 31791-2022")</f>
        <v/>
      </c>
      <c r="AA25">
        <f>HYPERLINK("https://klasma.github.io/Logging_2061/tillsyn/A 31791-2022 tillsynsbegäran.docx", "A 31791-2022")</f>
        <v/>
      </c>
      <c r="AB25">
        <f>HYPERLINK("https://klasma.github.io/Logging_2061/tillsynsmail/A 31791-2022 tillsynsbegäran mail.docx", "A 31791-2022")</f>
        <v/>
      </c>
      <c r="AC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46220</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s="2" t="inlineStr">
        <is>
          <t>Grön sköldmossa
Stubbspretmossa
Blåsippa</t>
        </is>
      </c>
      <c r="V26">
        <f>HYPERLINK("https://klasma.github.io/Logging_2061/artfynd/A 11155-2025 artfynd.xlsx", "A 11155-2025")</f>
        <v/>
      </c>
      <c r="W26">
        <f>HYPERLINK("https://klasma.github.io/Logging_2061/kartor/A 11155-2025 karta.png", "A 11155-2025")</f>
        <v/>
      </c>
      <c r="Y26">
        <f>HYPERLINK("https://klasma.github.io/Logging_2061/klagomål/A 11155-2025 FSC-klagomål.docx", "A 11155-2025")</f>
        <v/>
      </c>
      <c r="Z26">
        <f>HYPERLINK("https://klasma.github.io/Logging_2061/klagomålsmail/A 11155-2025 FSC-klagomål mail.docx", "A 11155-2025")</f>
        <v/>
      </c>
      <c r="AA26">
        <f>HYPERLINK("https://klasma.github.io/Logging_2061/tillsyn/A 11155-2025 tillsynsbegäran.docx", "A 11155-2025")</f>
        <v/>
      </c>
      <c r="AB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46220</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s="2" t="inlineStr">
        <is>
          <t>Stubbspretmossa
Blåsippa
Revlummer</t>
        </is>
      </c>
      <c r="V27">
        <f>HYPERLINK("https://klasma.github.io/Logging_2061/artfynd/A 63048-2025 artfynd.xlsx", "A 63048-2025")</f>
        <v/>
      </c>
      <c r="W27">
        <f>HYPERLINK("https://klasma.github.io/Logging_2061/kartor/A 63048-2025 karta.png", "A 63048-2025")</f>
        <v/>
      </c>
      <c r="Y27">
        <f>HYPERLINK("https://klasma.github.io/Logging_2061/klagomål/A 63048-2025 FSC-klagomål.docx", "A 63048-2025")</f>
        <v/>
      </c>
      <c r="Z27">
        <f>HYPERLINK("https://klasma.github.io/Logging_2061/klagomålsmail/A 63048-2025 FSC-klagomål mail.docx", "A 63048-2025")</f>
        <v/>
      </c>
      <c r="AA27">
        <f>HYPERLINK("https://klasma.github.io/Logging_2061/tillsyn/A 63048-2025 tillsynsbegäran.docx", "A 63048-2025")</f>
        <v/>
      </c>
      <c r="AB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46220</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s="2" t="inlineStr">
        <is>
          <t>Dropptaggsvamp
Tretåig hackspett
Blåsippa</t>
        </is>
      </c>
      <c r="V28">
        <f>HYPERLINK("https://klasma.github.io/Logging_2061/artfynd/A 40537-2021 artfynd.xlsx", "A 40537-2021")</f>
        <v/>
      </c>
      <c r="W28">
        <f>HYPERLINK("https://klasma.github.io/Logging_2061/kartor/A 40537-2021 karta.png", "A 40537-2021")</f>
        <v/>
      </c>
      <c r="Y28">
        <f>HYPERLINK("https://klasma.github.io/Logging_2061/klagomål/A 40537-2021 FSC-klagomål.docx", "A 40537-2021")</f>
        <v/>
      </c>
      <c r="Z28">
        <f>HYPERLINK("https://klasma.github.io/Logging_2061/klagomålsmail/A 40537-2021 FSC-klagomål mail.docx", "A 40537-2021")</f>
        <v/>
      </c>
      <c r="AA28">
        <f>HYPERLINK("https://klasma.github.io/Logging_2061/tillsyn/A 40537-2021 tillsynsbegäran.docx", "A 40537-2021")</f>
        <v/>
      </c>
      <c r="AB28">
        <f>HYPERLINK("https://klasma.github.io/Logging_2061/tillsynsmail/A 40537-2021 tillsynsbegäran mail.docx", "A 40537-2021")</f>
        <v/>
      </c>
      <c r="AC28">
        <f>HYPERLINK("https://klasma.github.io/Logging_2061/fåglar/A 40537-2021 prioriterade fågelarter.docx", "A 40537-2021")</f>
        <v/>
      </c>
    </row>
    <row r="29" ht="15" customHeight="1">
      <c r="A29" t="inlineStr">
        <is>
          <t>A 39832-2024</t>
        </is>
      </c>
      <c r="B29" t="inlineStr">
        <is>
          <t>avverkningsanmälan</t>
        </is>
      </c>
      <c r="C29" t="inlineStr">
        <is>
          <t>Föryngringsavverkning</t>
        </is>
      </c>
      <c r="D29" s="1" t="n">
        <v>45553</v>
      </c>
      <c r="E29" s="1" t="n">
        <v>46220</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s="2" t="inlineStr">
        <is>
          <t>Mindre vattensalamander
Vanlig groda
Revlummer</t>
        </is>
      </c>
      <c r="V29">
        <f>HYPERLINK("https://klasma.github.io/Logging_2061/artfynd/A 39832-2024 artfynd.xlsx", "A 39832-2024")</f>
        <v/>
      </c>
      <c r="W29">
        <f>HYPERLINK("https://klasma.github.io/Logging_2061/kartor/A 39832-2024 karta.png", "A 39832-2024")</f>
        <v/>
      </c>
      <c r="Y29">
        <f>HYPERLINK("https://klasma.github.io/Logging_2061/klagomål/A 39832-2024 FSC-klagomål.docx", "A 39832-2024")</f>
        <v/>
      </c>
      <c r="Z29">
        <f>HYPERLINK("https://klasma.github.io/Logging_2061/klagomålsmail/A 39832-2024 FSC-klagomål mail.docx", "A 39832-2024")</f>
        <v/>
      </c>
      <c r="AA29">
        <f>HYPERLINK("https://klasma.github.io/Logging_2061/tillsyn/A 39832-2024 tillsynsbegäran.docx", "A 39832-2024")</f>
        <v/>
      </c>
      <c r="AB29">
        <f>HYPERLINK("https://klasma.github.io/Logging_2061/tillsynsmail/A 39832-2024 tillsynsbegäran mail.docx", "A 39832-2024")</f>
        <v/>
      </c>
    </row>
    <row r="30" ht="15" customHeight="1">
      <c r="A30" t="inlineStr">
        <is>
          <t>A 22623-2026</t>
        </is>
      </c>
      <c r="B30" t="inlineStr">
        <is>
          <t>avverkningsanmälan</t>
        </is>
      </c>
      <c r="C30" t="inlineStr">
        <is>
          <t>Föryngringsavverkning</t>
        </is>
      </c>
      <c r="D30" s="1" t="n">
        <v>46155</v>
      </c>
      <c r="E30" s="1" t="n">
        <v>46220</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Y30">
        <f>HYPERLINK("https://klasma.github.io/Logging_2061/klagomål/A 22623-2026 FSC-klagomål.docx", "A 22623-2026")</f>
        <v/>
      </c>
      <c r="Z30">
        <f>HYPERLINK("https://klasma.github.io/Logging_2061/klagomålsmail/A 22623-2026 FSC-klagomål mail.docx", "A 22623-2026")</f>
        <v/>
      </c>
      <c r="AA30">
        <f>HYPERLINK("https://klasma.github.io/Logging_2061/tillsyn/A 22623-2026 tillsynsbegäran.docx", "A 22623-2026")</f>
        <v/>
      </c>
      <c r="AB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46220</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Y31">
        <f>HYPERLINK("https://klasma.github.io/Logging_2061/klagomål/S 1103-2022 FSC-klagomål.docx", "S 1103-2022")</f>
        <v/>
      </c>
      <c r="Z31">
        <f>HYPERLINK("https://klasma.github.io/Logging_2061/klagomålsmail/S 1103-2022 FSC-klagomål mail.docx", "S 1103-2022")</f>
        <v/>
      </c>
      <c r="AA31">
        <f>HYPERLINK("https://klasma.github.io/Logging_2061/tillsyn/S 1103-2022 tillsynsbegäran.docx", "S 1103-2022")</f>
        <v/>
      </c>
      <c r="AB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46220</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Y32">
        <f>HYPERLINK("https://klasma.github.io/Logging_2061/klagomål/S 2703-2022 FSC-klagomål.docx", "S 2703-2022")</f>
        <v/>
      </c>
      <c r="Z32">
        <f>HYPERLINK("https://klasma.github.io/Logging_2061/klagomålsmail/S 2703-2022 FSC-klagomål mail.docx", "S 2703-2022")</f>
        <v/>
      </c>
      <c r="AA32">
        <f>HYPERLINK("https://klasma.github.io/Logging_2061/tillsyn/S 2703-2022 tillsynsbegäran.docx", "S 2703-2022")</f>
        <v/>
      </c>
      <c r="AB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46220</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Y33">
        <f>HYPERLINK("https://klasma.github.io/Logging_2061/klagomål/A 49834-2021 FSC-klagomål.docx", "A 49834-2021")</f>
        <v/>
      </c>
      <c r="Z33">
        <f>HYPERLINK("https://klasma.github.io/Logging_2061/klagomålsmail/A 49834-2021 FSC-klagomål mail.docx", "A 49834-2021")</f>
        <v/>
      </c>
      <c r="AA33">
        <f>HYPERLINK("https://klasma.github.io/Logging_2061/tillsyn/A 49834-2021 tillsynsbegäran.docx", "A 49834-2021")</f>
        <v/>
      </c>
      <c r="AB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46220</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HYPERLINK("https://klasma.github.io/Logging_2061/knärot/A 43377-2021 karta knärot.png", "A 43377-2021")</f>
        <v/>
      </c>
      <c r="Y34">
        <f>HYPERLINK("https://klasma.github.io/Logging_2061/klagomål/A 43377-2021 FSC-klagomål.docx", "A 43377-2021")</f>
        <v/>
      </c>
      <c r="Z34">
        <f>HYPERLINK("https://klasma.github.io/Logging_2061/klagomålsmail/A 43377-2021 FSC-klagomål mail.docx", "A 43377-2021")</f>
        <v/>
      </c>
      <c r="AA34">
        <f>HYPERLINK("https://klasma.github.io/Logging_2061/tillsyn/A 43377-2021 tillsynsbegäran.docx", "A 43377-2021")</f>
        <v/>
      </c>
      <c r="AB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46220</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Y35">
        <f>HYPERLINK("https://klasma.github.io/Logging_2061/klagomål/A 41870-2022 FSC-klagomål.docx", "A 41870-2022")</f>
        <v/>
      </c>
      <c r="Z35">
        <f>HYPERLINK("https://klasma.github.io/Logging_2061/klagomålsmail/A 41870-2022 FSC-klagomål mail.docx", "A 41870-2022")</f>
        <v/>
      </c>
      <c r="AA35">
        <f>HYPERLINK("https://klasma.github.io/Logging_2061/tillsyn/A 41870-2022 tillsynsbegäran.docx", "A 41870-2022")</f>
        <v/>
      </c>
      <c r="AB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46220</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s="2" t="inlineStr">
        <is>
          <t>Knärot
Dropptaggsvamp</t>
        </is>
      </c>
      <c r="V36">
        <f>HYPERLINK("https://klasma.github.io/Logging_2061/artfynd/A 23619-2024 artfynd.xlsx", "A 23619-2024")</f>
        <v/>
      </c>
      <c r="W36">
        <f>HYPERLINK("https://klasma.github.io/Logging_2061/kartor/A 23619-2024 karta.png", "A 23619-2024")</f>
        <v/>
      </c>
      <c r="X36">
        <f>HYPERLINK("https://klasma.github.io/Logging_2061/knärot/A 23619-2024 karta knärot.png", "A 23619-2024")</f>
        <v/>
      </c>
      <c r="Y36">
        <f>HYPERLINK("https://klasma.github.io/Logging_2061/klagomål/A 23619-2024 FSC-klagomål.docx", "A 23619-2024")</f>
        <v/>
      </c>
      <c r="Z36">
        <f>HYPERLINK("https://klasma.github.io/Logging_2061/klagomålsmail/A 23619-2024 FSC-klagomål mail.docx", "A 23619-2024")</f>
        <v/>
      </c>
      <c r="AA36">
        <f>HYPERLINK("https://klasma.github.io/Logging_2061/tillsyn/A 23619-2024 tillsynsbegäran.docx", "A 23619-2024")</f>
        <v/>
      </c>
      <c r="AB36">
        <f>HYPERLINK("https://klasma.github.io/Logging_2061/tillsynsmail/A 23619-2024 tillsynsbegäran mail.docx", "A 23619-2024")</f>
        <v/>
      </c>
    </row>
    <row r="37" ht="15" customHeight="1">
      <c r="A37" t="inlineStr">
        <is>
          <t>A 63082-2025</t>
        </is>
      </c>
      <c r="B37" t="inlineStr">
        <is>
          <t>avverkningsanmälan</t>
        </is>
      </c>
      <c r="C37" t="inlineStr">
        <is>
          <t>Föryngringsavverkning</t>
        </is>
      </c>
      <c r="D37" s="1" t="n">
        <v>46009</v>
      </c>
      <c r="E37" s="1" t="n">
        <v>46220</v>
      </c>
      <c r="F37" t="inlineStr">
        <is>
          <t>DALARNAS LÄN</t>
        </is>
      </c>
      <c r="G37" t="inlineStr">
        <is>
          <t>SMEDJEBACKEN</t>
        </is>
      </c>
      <c r="I37" t="n">
        <v>8.300000000000001</v>
      </c>
      <c r="J37" t="n">
        <v>1</v>
      </c>
      <c r="K37" t="n">
        <v>0</v>
      </c>
      <c r="L37" t="n">
        <v>2</v>
      </c>
      <c r="M37" t="n">
        <v>0</v>
      </c>
      <c r="N37" t="n">
        <v>0</v>
      </c>
      <c r="O37" t="n">
        <v>0</v>
      </c>
      <c r="P37" t="n">
        <v>0</v>
      </c>
      <c r="Q37" t="n">
        <v>2</v>
      </c>
      <c r="R37" t="n">
        <v>0</v>
      </c>
      <c r="S37" t="n">
        <v>2</v>
      </c>
      <c r="T37" t="n">
        <v>3</v>
      </c>
      <c r="U37" s="2" t="inlineStr">
        <is>
          <t>Tallticka
Tretåig hackspett</t>
        </is>
      </c>
      <c r="V37">
        <f>HYPERLINK("https://klasma.github.io/Logging_2061/artfynd/A 63082-2025 artfynd.xlsx", "A 63082-2025")</f>
        <v/>
      </c>
      <c r="W37">
        <f>HYPERLINK("https://klasma.github.io/Logging_2061/kartor/A 63082-2025 karta.png", "A 63082-2025")</f>
        <v/>
      </c>
      <c r="Y37">
        <f>HYPERLINK("https://klasma.github.io/Logging_2061/klagomål/A 63082-2025 FSC-klagomål.docx", "A 63082-2025")</f>
        <v/>
      </c>
      <c r="Z37">
        <f>HYPERLINK("https://klasma.github.io/Logging_2061/klagomålsmail/A 63082-2025 FSC-klagomål mail.docx", "A 63082-2025")</f>
        <v/>
      </c>
      <c r="AA37">
        <f>HYPERLINK("https://klasma.github.io/Logging_2061/tillsyn/A 63082-2025 tillsynsbegäran.docx", "A 63082-2025")</f>
        <v/>
      </c>
      <c r="AB37">
        <f>HYPERLINK("https://klasma.github.io/Logging_2061/tillsynsmail/A 63082-2025 tillsynsbegäran mail.docx", "A 63082-2025")</f>
        <v/>
      </c>
      <c r="AC37">
        <f>HYPERLINK("https://klasma.github.io/Logging_2061/fåglar/A 63082-2025 prioriterade fågelarter.docx", "A 63082-2025")</f>
        <v/>
      </c>
    </row>
    <row r="38" ht="15" customHeight="1">
      <c r="A38" t="inlineStr">
        <is>
          <t>A 52242-2024</t>
        </is>
      </c>
      <c r="B38" t="inlineStr">
        <is>
          <t>avverkningsanmälan</t>
        </is>
      </c>
      <c r="C38" t="inlineStr">
        <is>
          <t>Föryngringsavverkning</t>
        </is>
      </c>
      <c r="D38" s="1" t="n">
        <v>45607</v>
      </c>
      <c r="E38" s="1" t="n">
        <v>46220</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s="2" t="inlineStr">
        <is>
          <t>Blåsippa
Havsörn</t>
        </is>
      </c>
      <c r="V38">
        <f>HYPERLINK("https://klasma.github.io/Logging_2061/artfynd/A 52242-2024 artfynd.xlsx", "A 52242-2024")</f>
        <v/>
      </c>
      <c r="W38">
        <f>HYPERLINK("https://klasma.github.io/Logging_2061/kartor/A 52242-2024 karta.png", "A 52242-2024")</f>
        <v/>
      </c>
      <c r="Y38">
        <f>HYPERLINK("https://klasma.github.io/Logging_2061/klagomål/A 52242-2024 FSC-klagomål.docx", "A 52242-2024")</f>
        <v/>
      </c>
      <c r="Z38">
        <f>HYPERLINK("https://klasma.github.io/Logging_2061/klagomålsmail/A 52242-2024 FSC-klagomål mail.docx", "A 52242-2024")</f>
        <v/>
      </c>
      <c r="AA38">
        <f>HYPERLINK("https://klasma.github.io/Logging_2061/tillsyn/A 52242-2024 tillsynsbegäran.docx", "A 52242-2024")</f>
        <v/>
      </c>
      <c r="AB38">
        <f>HYPERLINK("https://klasma.github.io/Logging_2061/tillsynsmail/A 52242-2024 tillsynsbegäran mail.docx", "A 52242-2024")</f>
        <v/>
      </c>
      <c r="AC38">
        <f>HYPERLINK("https://klasma.github.io/Logging_2061/fåglar/A 52242-2024 prioriterade fågelarter.docx", "A 52242-2024")</f>
        <v/>
      </c>
    </row>
    <row r="39" ht="15" customHeight="1">
      <c r="A39" t="inlineStr">
        <is>
          <t>A 18745-2025</t>
        </is>
      </c>
      <c r="B39" t="inlineStr">
        <is>
          <t>avverkningsanmälan</t>
        </is>
      </c>
      <c r="C39" t="inlineStr">
        <is>
          <t>Föryngringsavverkning</t>
        </is>
      </c>
      <c r="D39" s="1" t="n">
        <v>45763</v>
      </c>
      <c r="E39" s="1" t="n">
        <v>46220</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s="2" t="inlineStr">
        <is>
          <t>Jättesvampmal
Spillkråka</t>
        </is>
      </c>
      <c r="V39">
        <f>HYPERLINK("https://klasma.github.io/Logging_2061/artfynd/A 18745-2025 artfynd.xlsx", "A 18745-2025")</f>
        <v/>
      </c>
      <c r="W39">
        <f>HYPERLINK("https://klasma.github.io/Logging_2061/kartor/A 18745-2025 karta.png", "A 18745-2025")</f>
        <v/>
      </c>
      <c r="Y39">
        <f>HYPERLINK("https://klasma.github.io/Logging_2061/klagomål/A 18745-2025 FSC-klagomål.docx", "A 18745-2025")</f>
        <v/>
      </c>
      <c r="Z39">
        <f>HYPERLINK("https://klasma.github.io/Logging_2061/klagomålsmail/A 18745-2025 FSC-klagomål mail.docx", "A 18745-2025")</f>
        <v/>
      </c>
      <c r="AA39">
        <f>HYPERLINK("https://klasma.github.io/Logging_2061/tillsyn/A 18745-2025 tillsynsbegäran.docx", "A 18745-2025")</f>
        <v/>
      </c>
      <c r="AB39">
        <f>HYPERLINK("https://klasma.github.io/Logging_2061/tillsynsmail/A 18745-2025 tillsynsbegäran mail.docx", "A 18745-2025")</f>
        <v/>
      </c>
      <c r="AC39">
        <f>HYPERLINK("https://klasma.github.io/Logging_2061/fåglar/A 18745-2025 prioriterade fågelarter.docx", "A 18745-2025")</f>
        <v/>
      </c>
    </row>
    <row r="40" ht="15" customHeight="1">
      <c r="A40" t="inlineStr">
        <is>
          <t>A 57246-2021</t>
        </is>
      </c>
      <c r="B40" t="inlineStr">
        <is>
          <t>avverkningsanmälan</t>
        </is>
      </c>
      <c r="C40" t="inlineStr">
        <is>
          <t>Föryngringsavverkning</t>
        </is>
      </c>
      <c r="D40" s="1" t="n">
        <v>44482</v>
      </c>
      <c r="E40" s="1" t="n">
        <v>46220</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s="2" t="inlineStr">
        <is>
          <t>Vedtrappmossa
Flagellkvastmossa</t>
        </is>
      </c>
      <c r="V40">
        <f>HYPERLINK("https://klasma.github.io/Logging_2061/artfynd/A 57246-2021 artfynd.xlsx", "A 57246-2021")</f>
        <v/>
      </c>
      <c r="W40">
        <f>HYPERLINK("https://klasma.github.io/Logging_2061/kartor/A 57246-2021 karta.png", "A 57246-2021")</f>
        <v/>
      </c>
      <c r="Y40">
        <f>HYPERLINK("https://klasma.github.io/Logging_2061/klagomål/A 57246-2021 FSC-klagomål.docx", "A 57246-2021")</f>
        <v/>
      </c>
      <c r="Z40">
        <f>HYPERLINK("https://klasma.github.io/Logging_2061/klagomålsmail/A 57246-2021 FSC-klagomål mail.docx", "A 57246-2021")</f>
        <v/>
      </c>
      <c r="AA40">
        <f>HYPERLINK("https://klasma.github.io/Logging_2061/tillsyn/A 57246-2021 tillsynsbegäran.docx", "A 57246-2021")</f>
        <v/>
      </c>
      <c r="AB40">
        <f>HYPERLINK("https://klasma.github.io/Logging_2061/tillsynsmail/A 57246-2021 tillsynsbegäran mail.docx", "A 57246-2021")</f>
        <v/>
      </c>
    </row>
    <row r="41" ht="15" customHeight="1">
      <c r="A41" t="inlineStr">
        <is>
          <t>A 21421-2023</t>
        </is>
      </c>
      <c r="B41" t="inlineStr">
        <is>
          <t>avverkningsanmälan</t>
        </is>
      </c>
      <c r="C41" t="inlineStr">
        <is>
          <t>Föryngringsavverkning</t>
        </is>
      </c>
      <c r="D41" s="1" t="n">
        <v>45063</v>
      </c>
      <c r="E41" s="1" t="n">
        <v>46220</v>
      </c>
      <c r="F41" t="inlineStr">
        <is>
          <t>DALARNAS LÄN</t>
        </is>
      </c>
      <c r="G41" t="inlineStr">
        <is>
          <t>SMEDJEBACKEN</t>
        </is>
      </c>
      <c r="H41" t="inlineStr">
        <is>
          <t>Bergvik skog väst AB</t>
        </is>
      </c>
      <c r="I41" t="n">
        <v>0.5</v>
      </c>
      <c r="J41" t="n">
        <v>0</v>
      </c>
      <c r="K41" t="n">
        <v>0</v>
      </c>
      <c r="L41" t="n">
        <v>2</v>
      </c>
      <c r="M41" t="n">
        <v>0</v>
      </c>
      <c r="N41" t="n">
        <v>0</v>
      </c>
      <c r="O41" t="n">
        <v>0</v>
      </c>
      <c r="P41" t="n">
        <v>0</v>
      </c>
      <c r="Q41" t="n">
        <v>2</v>
      </c>
      <c r="R41" t="n">
        <v>0</v>
      </c>
      <c r="S41" t="n">
        <v>2</v>
      </c>
      <c r="T41" t="n">
        <v>2</v>
      </c>
      <c r="U41" s="2" t="inlineStr">
        <is>
          <t>Barrpraktbagge
Tallkötticka</t>
        </is>
      </c>
      <c r="V41">
        <f>HYPERLINK("https://klasma.github.io/Logging_2061/artfynd/A 21421-2023 artfynd.xlsx", "A 21421-2023")</f>
        <v/>
      </c>
      <c r="W41">
        <f>HYPERLINK("https://klasma.github.io/Logging_2061/kartor/A 21421-2023 karta.png", "A 21421-2023")</f>
        <v/>
      </c>
      <c r="Y41">
        <f>HYPERLINK("https://klasma.github.io/Logging_2061/klagomål/A 21421-2023 FSC-klagomål.docx", "A 21421-2023")</f>
        <v/>
      </c>
      <c r="Z41">
        <f>HYPERLINK("https://klasma.github.io/Logging_2061/klagomålsmail/A 21421-2023 FSC-klagomål mail.docx", "A 21421-2023")</f>
        <v/>
      </c>
      <c r="AA41">
        <f>HYPERLINK("https://klasma.github.io/Logging_2061/tillsyn/A 21421-2023 tillsynsbegäran.docx", "A 21421-2023")</f>
        <v/>
      </c>
      <c r="AB41">
        <f>HYPERLINK("https://klasma.github.io/Logging_2061/tillsynsmail/A 21421-2023 tillsynsbegäran mail.docx", "A 21421-2023")</f>
        <v/>
      </c>
    </row>
    <row r="42" ht="15" customHeight="1">
      <c r="A42" t="inlineStr">
        <is>
          <t>A 21423-2023</t>
        </is>
      </c>
      <c r="B42" t="inlineStr">
        <is>
          <t>avverkningsanmälan</t>
        </is>
      </c>
      <c r="C42" t="inlineStr">
        <is>
          <t>Föryngringsavverkning</t>
        </is>
      </c>
      <c r="D42" s="1" t="n">
        <v>45063</v>
      </c>
      <c r="E42" s="1" t="n">
        <v>46220</v>
      </c>
      <c r="F42" t="inlineStr">
        <is>
          <t>DALARNAS LÄN</t>
        </is>
      </c>
      <c r="G42" t="inlineStr">
        <is>
          <t>SMEDJEBACKEN</t>
        </is>
      </c>
      <c r="H42" t="inlineStr">
        <is>
          <t>Bergvik skog väst AB</t>
        </is>
      </c>
      <c r="I42" t="n">
        <v>0.5</v>
      </c>
      <c r="J42" t="n">
        <v>1</v>
      </c>
      <c r="K42" t="n">
        <v>0</v>
      </c>
      <c r="L42" t="n">
        <v>1</v>
      </c>
      <c r="M42" t="n">
        <v>0</v>
      </c>
      <c r="N42" t="n">
        <v>0</v>
      </c>
      <c r="O42" t="n">
        <v>0</v>
      </c>
      <c r="P42" t="n">
        <v>0</v>
      </c>
      <c r="Q42" t="n">
        <v>1</v>
      </c>
      <c r="R42" t="n">
        <v>0</v>
      </c>
      <c r="S42" t="n">
        <v>2</v>
      </c>
      <c r="T42" t="n">
        <v>2</v>
      </c>
      <c r="U42" s="2" t="inlineStr">
        <is>
          <t>Tallkötticka
Törnskata</t>
        </is>
      </c>
      <c r="V42">
        <f>HYPERLINK("https://klasma.github.io/Logging_2061/artfynd/A 21423-2023 artfynd.xlsx", "A 21423-2023")</f>
        <v/>
      </c>
      <c r="W42">
        <f>HYPERLINK("https://klasma.github.io/Logging_2061/kartor/A 21423-2023 karta.png", "A 21423-2023")</f>
        <v/>
      </c>
      <c r="Y42">
        <f>HYPERLINK("https://klasma.github.io/Logging_2061/klagomål/A 21423-2023 FSC-klagomål.docx", "A 21423-2023")</f>
        <v/>
      </c>
      <c r="Z42">
        <f>HYPERLINK("https://klasma.github.io/Logging_2061/klagomålsmail/A 21423-2023 FSC-klagomål mail.docx", "A 21423-2023")</f>
        <v/>
      </c>
      <c r="AA42">
        <f>HYPERLINK("https://klasma.github.io/Logging_2061/tillsyn/A 21423-2023 tillsynsbegäran.docx", "A 21423-2023")</f>
        <v/>
      </c>
      <c r="AB42">
        <f>HYPERLINK("https://klasma.github.io/Logging_2061/tillsynsmail/A 21423-2023 tillsynsbegäran mail.docx", "A 21423-2023")</f>
        <v/>
      </c>
      <c r="AC42">
        <f>HYPERLINK("https://klasma.github.io/Logging_2061/fåglar/A 21423-2023 prioriterade fågelarter.docx", "A 21423-2023")</f>
        <v/>
      </c>
    </row>
    <row r="43" ht="15" customHeight="1">
      <c r="A43" t="inlineStr">
        <is>
          <t>A 23645-2026</t>
        </is>
      </c>
      <c r="B43" t="inlineStr">
        <is>
          <t>avverkningsanmälan</t>
        </is>
      </c>
      <c r="C43" t="inlineStr">
        <is>
          <t>Föryngringsavverkning</t>
        </is>
      </c>
      <c r="D43" s="1" t="n">
        <v>46163</v>
      </c>
      <c r="E43" s="1" t="n">
        <v>46220</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s="2" t="inlineStr">
        <is>
          <t>Korallrot
Ögonpyrola</t>
        </is>
      </c>
      <c r="V43">
        <f>HYPERLINK("https://klasma.github.io/Logging_2061/artfynd/A 23645-2026 artfynd.xlsx", "A 23645-2026")</f>
        <v/>
      </c>
      <c r="W43">
        <f>HYPERLINK("https://klasma.github.io/Logging_2061/kartor/A 23645-2026 karta.png", "A 23645-2026")</f>
        <v/>
      </c>
      <c r="Y43">
        <f>HYPERLINK("https://klasma.github.io/Logging_2061/klagomål/A 23645-2026 FSC-klagomål.docx", "A 23645-2026")</f>
        <v/>
      </c>
      <c r="Z43">
        <f>HYPERLINK("https://klasma.github.io/Logging_2061/klagomålsmail/A 23645-2026 FSC-klagomål mail.docx", "A 23645-2026")</f>
        <v/>
      </c>
      <c r="AA43">
        <f>HYPERLINK("https://klasma.github.io/Logging_2061/tillsyn/A 23645-2026 tillsynsbegäran.docx", "A 23645-2026")</f>
        <v/>
      </c>
      <c r="AB43">
        <f>HYPERLINK("https://klasma.github.io/Logging_2061/tillsynsmail/A 23645-2026 tillsynsbegäran mail.docx", "A 23645-2026")</f>
        <v/>
      </c>
    </row>
    <row r="44" ht="15" customHeight="1">
      <c r="A44" t="inlineStr">
        <is>
          <t>A 29660-2026</t>
        </is>
      </c>
      <c r="B44" t="inlineStr">
        <is>
          <t>avverkningsanmälan</t>
        </is>
      </c>
      <c r="C44" t="inlineStr">
        <is>
          <t>Föryngringsavverkning</t>
        </is>
      </c>
      <c r="D44" s="1" t="n">
        <v>46204</v>
      </c>
      <c r="E44" s="1" t="n">
        <v>46220</v>
      </c>
      <c r="F44" t="inlineStr">
        <is>
          <t>DALARNAS LÄN</t>
        </is>
      </c>
      <c r="G44" t="inlineStr">
        <is>
          <t>SMEDJEBACKEN</t>
        </is>
      </c>
      <c r="I44" t="n">
        <v>0.6</v>
      </c>
      <c r="J44" t="n">
        <v>1</v>
      </c>
      <c r="K44" t="n">
        <v>0</v>
      </c>
      <c r="L44" t="n">
        <v>1</v>
      </c>
      <c r="M44" t="n">
        <v>0</v>
      </c>
      <c r="N44" t="n">
        <v>0</v>
      </c>
      <c r="O44" t="n">
        <v>0</v>
      </c>
      <c r="P44" t="n">
        <v>0</v>
      </c>
      <c r="Q44" t="n">
        <v>1</v>
      </c>
      <c r="R44" t="n">
        <v>0</v>
      </c>
      <c r="S44" t="n">
        <v>2</v>
      </c>
      <c r="T44" t="n">
        <v>2</v>
      </c>
      <c r="U44" s="2" t="inlineStr">
        <is>
          <t>Ullticka
Blåsippa</t>
        </is>
      </c>
      <c r="V44">
        <f>HYPERLINK("https://klasma.github.io/Logging_2061/artfynd/A 29660-2026 artfynd.xlsx", "A 29660-2026")</f>
        <v/>
      </c>
      <c r="W44">
        <f>HYPERLINK("https://klasma.github.io/Logging_2061/kartor/A 29660-2026 karta.png", "A 29660-2026")</f>
        <v/>
      </c>
      <c r="Y44">
        <f>HYPERLINK("https://klasma.github.io/Logging_2061/klagomål/A 29660-2026 FSC-klagomål.docx", "A 29660-2026")</f>
        <v/>
      </c>
      <c r="Z44">
        <f>HYPERLINK("https://klasma.github.io/Logging_2061/klagomålsmail/A 29660-2026 FSC-klagomål mail.docx", "A 29660-2026")</f>
        <v/>
      </c>
      <c r="AA44">
        <f>HYPERLINK("https://klasma.github.io/Logging_2061/tillsyn/A 29660-2026 tillsynsbegäran.docx", "A 29660-2026")</f>
        <v/>
      </c>
      <c r="AB44">
        <f>HYPERLINK("https://klasma.github.io/Logging_2061/tillsynsmail/A 29660-2026 tillsynsbegäran mail.docx", "A 29660-2026")</f>
        <v/>
      </c>
    </row>
    <row r="45" ht="15" customHeight="1">
      <c r="A45" t="inlineStr">
        <is>
          <t>S 702-2025</t>
        </is>
      </c>
      <c r="B45" t="inlineStr">
        <is>
          <t>samrådsanmälan</t>
        </is>
      </c>
      <c r="C45" t="inlineStr">
        <is>
          <t>Skogsgödsling</t>
        </is>
      </c>
      <c r="D45" s="1" t="n">
        <v>45720</v>
      </c>
      <c r="E45" s="1" t="n">
        <v>46220</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s="2" t="inlineStr">
        <is>
          <t>Kungsörn
Tjäder</t>
        </is>
      </c>
      <c r="V45">
        <f>HYPERLINK("https://klasma.github.io/Logging_2061/artfynd/S 702-2025 artfynd.xlsx", "S 702-2025")</f>
        <v/>
      </c>
      <c r="W45">
        <f>HYPERLINK("https://klasma.github.io/Logging_2061/kartor/S 702-2025 karta.png", "S 702-2025")</f>
        <v/>
      </c>
      <c r="Y45">
        <f>HYPERLINK("https://klasma.github.io/Logging_2061/klagomål/S 702-2025 FSC-klagomål.docx", "S 702-2025")</f>
        <v/>
      </c>
      <c r="Z45">
        <f>HYPERLINK("https://klasma.github.io/Logging_2061/klagomålsmail/S 702-2025 FSC-klagomål mail.docx", "S 702-2025")</f>
        <v/>
      </c>
      <c r="AA45">
        <f>HYPERLINK("https://klasma.github.io/Logging_2061/tillsyn/S 702-2025 tillsynsbegäran.docx", "S 702-2025")</f>
        <v/>
      </c>
      <c r="AB45">
        <f>HYPERLINK("https://klasma.github.io/Logging_2061/tillsynsmail/S 702-2025 tillsynsbegäran mail.docx", "S 702-2025")</f>
        <v/>
      </c>
      <c r="AC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46220</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s="2" t="inlineStr">
        <is>
          <t>Fläcknycklar
Revlummer</t>
        </is>
      </c>
      <c r="V46">
        <f>HYPERLINK("https://klasma.github.io/Logging_2061/artfynd/S 608-2026 artfynd.xlsx", "S 608-2026")</f>
        <v/>
      </c>
      <c r="W46">
        <f>HYPERLINK("https://klasma.github.io/Logging_2061/kartor/S 608-2026 karta.png", "S 608-2026")</f>
        <v/>
      </c>
      <c r="Y46">
        <f>HYPERLINK("https://klasma.github.io/Logging_2061/klagomål/S 608-2026 FSC-klagomål.docx", "S 608-2026")</f>
        <v/>
      </c>
      <c r="Z46">
        <f>HYPERLINK("https://klasma.github.io/Logging_2061/klagomålsmail/S 608-2026 FSC-klagomål mail.docx", "S 608-2026")</f>
        <v/>
      </c>
      <c r="AA46">
        <f>HYPERLINK("https://klasma.github.io/Logging_2061/tillsyn/S 608-2026 tillsynsbegäran.docx", "S 608-2026")</f>
        <v/>
      </c>
      <c r="AB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46220</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s="2" t="inlineStr">
        <is>
          <t>Fläcknycklar</t>
        </is>
      </c>
      <c r="V47">
        <f>HYPERLINK("https://klasma.github.io/Logging_2061/artfynd/A 39816-2021 artfynd.xlsx", "A 39816-2021")</f>
        <v/>
      </c>
      <c r="W47">
        <f>HYPERLINK("https://klasma.github.io/Logging_2061/kartor/A 39816-2021 karta.png", "A 39816-2021")</f>
        <v/>
      </c>
      <c r="Y47">
        <f>HYPERLINK("https://klasma.github.io/Logging_2061/klagomål/A 39816-2021 FSC-klagomål.docx", "A 39816-2021")</f>
        <v/>
      </c>
      <c r="Z47">
        <f>HYPERLINK("https://klasma.github.io/Logging_2061/klagomålsmail/A 39816-2021 FSC-klagomål mail.docx", "A 39816-2021")</f>
        <v/>
      </c>
      <c r="AA47">
        <f>HYPERLINK("https://klasma.github.io/Logging_2061/tillsyn/A 39816-2021 tillsynsbegäran.docx", "A 39816-2021")</f>
        <v/>
      </c>
      <c r="AB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46220</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s="2" t="inlineStr">
        <is>
          <t>Sparvuggla</t>
        </is>
      </c>
      <c r="V48">
        <f>HYPERLINK("https://klasma.github.io/Logging_2061/artfynd/A 34382-2022 artfynd.xlsx", "A 34382-2022")</f>
        <v/>
      </c>
      <c r="W48">
        <f>HYPERLINK("https://klasma.github.io/Logging_2061/kartor/A 34382-2022 karta.png", "A 34382-2022")</f>
        <v/>
      </c>
      <c r="Y48">
        <f>HYPERLINK("https://klasma.github.io/Logging_2061/klagomål/A 34382-2022 FSC-klagomål.docx", "A 34382-2022")</f>
        <v/>
      </c>
      <c r="Z48">
        <f>HYPERLINK("https://klasma.github.io/Logging_2061/klagomålsmail/A 34382-2022 FSC-klagomål mail.docx", "A 34382-2022")</f>
        <v/>
      </c>
      <c r="AA48">
        <f>HYPERLINK("https://klasma.github.io/Logging_2061/tillsyn/A 34382-2022 tillsynsbegäran.docx", "A 34382-2022")</f>
        <v/>
      </c>
      <c r="AB48">
        <f>HYPERLINK("https://klasma.github.io/Logging_2061/tillsynsmail/A 34382-2022 tillsynsbegäran mail.docx", "A 34382-2022")</f>
        <v/>
      </c>
      <c r="AC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46220</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s="2" t="inlineStr">
        <is>
          <t>Älg</t>
        </is>
      </c>
      <c r="V49">
        <f>HYPERLINK("https://klasma.github.io/Logging_2061/artfynd/A 21703-2023 artfynd.xlsx", "A 21703-2023")</f>
        <v/>
      </c>
      <c r="W49">
        <f>HYPERLINK("https://klasma.github.io/Logging_2061/kartor/A 21703-2023 karta.png", "A 21703-2023")</f>
        <v/>
      </c>
      <c r="Y49">
        <f>HYPERLINK("https://klasma.github.io/Logging_2061/klagomål/A 21703-2023 FSC-klagomål.docx", "A 21703-2023")</f>
        <v/>
      </c>
      <c r="Z49">
        <f>HYPERLINK("https://klasma.github.io/Logging_2061/klagomålsmail/A 21703-2023 FSC-klagomål mail.docx", "A 21703-2023")</f>
        <v/>
      </c>
      <c r="AA49">
        <f>HYPERLINK("https://klasma.github.io/Logging_2061/tillsyn/A 21703-2023 tillsynsbegäran.docx", "A 21703-2023")</f>
        <v/>
      </c>
      <c r="AB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46220</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s="2" t="inlineStr">
        <is>
          <t>Fjällig taggsvamp s.str.</t>
        </is>
      </c>
      <c r="V50">
        <f>HYPERLINK("https://klasma.github.io/Logging_2061/artfynd/A 37313-2024 artfynd.xlsx", "A 37313-2024")</f>
        <v/>
      </c>
      <c r="W50">
        <f>HYPERLINK("https://klasma.github.io/Logging_2061/kartor/A 37313-2024 karta.png", "A 37313-2024")</f>
        <v/>
      </c>
      <c r="Y50">
        <f>HYPERLINK("https://klasma.github.io/Logging_2061/klagomål/A 37313-2024 FSC-klagomål.docx", "A 37313-2024")</f>
        <v/>
      </c>
      <c r="Z50">
        <f>HYPERLINK("https://klasma.github.io/Logging_2061/klagomålsmail/A 37313-2024 FSC-klagomål mail.docx", "A 37313-2024")</f>
        <v/>
      </c>
      <c r="AA50">
        <f>HYPERLINK("https://klasma.github.io/Logging_2061/tillsyn/A 37313-2024 tillsynsbegäran.docx", "A 37313-2024")</f>
        <v/>
      </c>
      <c r="AB50">
        <f>HYPERLINK("https://klasma.github.io/Logging_2061/tillsynsmail/A 37313-2024 tillsynsbegäran mail.docx", "A 37313-2024")</f>
        <v/>
      </c>
    </row>
    <row r="51" ht="15" customHeight="1">
      <c r="A51" t="inlineStr">
        <is>
          <t>A 6280-2025</t>
        </is>
      </c>
      <c r="B51" t="inlineStr">
        <is>
          <t>avverkningsanmälan</t>
        </is>
      </c>
      <c r="C51" t="inlineStr">
        <is>
          <t>Föryngringsavverkning</t>
        </is>
      </c>
      <c r="D51" s="1" t="n">
        <v>45698</v>
      </c>
      <c r="E51" s="1" t="n">
        <v>46220</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s="2" t="inlineStr">
        <is>
          <t>Tibast</t>
        </is>
      </c>
      <c r="V51">
        <f>HYPERLINK("https://klasma.github.io/Logging_2061/artfynd/A 6280-2025 artfynd.xlsx", "A 6280-2025")</f>
        <v/>
      </c>
      <c r="W51">
        <f>HYPERLINK("https://klasma.github.io/Logging_2061/kartor/A 6280-2025 karta.png", "A 6280-2025")</f>
        <v/>
      </c>
      <c r="Y51">
        <f>HYPERLINK("https://klasma.github.io/Logging_2061/klagomål/A 6280-2025 FSC-klagomål.docx", "A 6280-2025")</f>
        <v/>
      </c>
      <c r="Z51">
        <f>HYPERLINK("https://klasma.github.io/Logging_2061/klagomålsmail/A 6280-2025 FSC-klagomål mail.docx", "A 6280-2025")</f>
        <v/>
      </c>
      <c r="AA51">
        <f>HYPERLINK("https://klasma.github.io/Logging_2061/tillsyn/A 6280-2025 tillsynsbegäran.docx", "A 6280-2025")</f>
        <v/>
      </c>
      <c r="AB51">
        <f>HYPERLINK("https://klasma.github.io/Logging_2061/tillsynsmail/A 6280-2025 tillsynsbegäran mail.docx", "A 6280-2025")</f>
        <v/>
      </c>
    </row>
    <row r="52" ht="15" customHeight="1">
      <c r="A52" t="inlineStr">
        <is>
          <t>A 53977-2023</t>
        </is>
      </c>
      <c r="B52" t="inlineStr">
        <is>
          <t>avverkningsanmälan</t>
        </is>
      </c>
      <c r="C52" t="inlineStr">
        <is>
          <t>Föryngringsavverkning</t>
        </is>
      </c>
      <c r="D52" s="1" t="n">
        <v>45225</v>
      </c>
      <c r="E52" s="1" t="n">
        <v>46220</v>
      </c>
      <c r="F52" t="inlineStr">
        <is>
          <t>DALARNAS LÄN</t>
        </is>
      </c>
      <c r="G52" t="inlineStr">
        <is>
          <t>SMEDJEBACKEN</t>
        </is>
      </c>
      <c r="H52" t="inlineStr">
        <is>
          <t>Bergvik skog väst AB</t>
        </is>
      </c>
      <c r="I52" t="n">
        <v>7.1</v>
      </c>
      <c r="J52" t="n">
        <v>1</v>
      </c>
      <c r="K52" t="n">
        <v>0</v>
      </c>
      <c r="L52" t="n">
        <v>0</v>
      </c>
      <c r="M52" t="n">
        <v>0</v>
      </c>
      <c r="N52" t="n">
        <v>0</v>
      </c>
      <c r="O52" t="n">
        <v>0</v>
      </c>
      <c r="P52" t="n">
        <v>0</v>
      </c>
      <c r="Q52" t="n">
        <v>0</v>
      </c>
      <c r="R52" t="n">
        <v>0</v>
      </c>
      <c r="S52" t="n">
        <v>1</v>
      </c>
      <c r="T52" t="n">
        <v>2</v>
      </c>
      <c r="U52" s="2" t="inlineStr">
        <is>
          <t>Nattskärra</t>
        </is>
      </c>
      <c r="V52">
        <f>HYPERLINK("https://klasma.github.io/Logging_2061/artfynd/A 53977-2023 artfynd.xlsx", "A 53977-2023")</f>
        <v/>
      </c>
      <c r="W52">
        <f>HYPERLINK("https://klasma.github.io/Logging_2061/kartor/A 53977-2023 karta.png", "A 53977-2023")</f>
        <v/>
      </c>
      <c r="Y52">
        <f>HYPERLINK("https://klasma.github.io/Logging_2061/klagomål/A 53977-2023 FSC-klagomål.docx", "A 53977-2023")</f>
        <v/>
      </c>
      <c r="Z52">
        <f>HYPERLINK("https://klasma.github.io/Logging_2061/klagomålsmail/A 53977-2023 FSC-klagomål mail.docx", "A 53977-2023")</f>
        <v/>
      </c>
      <c r="AA52">
        <f>HYPERLINK("https://klasma.github.io/Logging_2061/tillsyn/A 53977-2023 tillsynsbegäran.docx", "A 53977-2023")</f>
        <v/>
      </c>
      <c r="AB52">
        <f>HYPERLINK("https://klasma.github.io/Logging_2061/tillsynsmail/A 53977-2023 tillsynsbegäran mail.docx", "A 53977-2023")</f>
        <v/>
      </c>
      <c r="AC52">
        <f>HYPERLINK("https://klasma.github.io/Logging_2061/fåglar/A 53977-2023 prioriterade fågelarter.docx", "A 53977-2023")</f>
        <v/>
      </c>
    </row>
    <row r="53" ht="15" customHeight="1">
      <c r="A53" t="inlineStr">
        <is>
          <t>A 54156-2023</t>
        </is>
      </c>
      <c r="B53" t="inlineStr">
        <is>
          <t>avverkningsanmälan</t>
        </is>
      </c>
      <c r="C53" t="inlineStr">
        <is>
          <t>Föryngringsavverkning</t>
        </is>
      </c>
      <c r="D53" s="1" t="n">
        <v>45225</v>
      </c>
      <c r="E53" s="1" t="n">
        <v>46220</v>
      </c>
      <c r="F53" t="inlineStr">
        <is>
          <t>DALARNAS LÄN</t>
        </is>
      </c>
      <c r="G53" t="inlineStr">
        <is>
          <t>SMEDJEBACKEN</t>
        </is>
      </c>
      <c r="H53" t="inlineStr">
        <is>
          <t>Bergvik skog väst AB</t>
        </is>
      </c>
      <c r="I53" t="n">
        <v>26.3</v>
      </c>
      <c r="J53" t="n">
        <v>1</v>
      </c>
      <c r="K53" t="n">
        <v>0</v>
      </c>
      <c r="L53" t="n">
        <v>0</v>
      </c>
      <c r="M53" t="n">
        <v>0</v>
      </c>
      <c r="N53" t="n">
        <v>0</v>
      </c>
      <c r="O53" t="n">
        <v>0</v>
      </c>
      <c r="P53" t="n">
        <v>0</v>
      </c>
      <c r="Q53" t="n">
        <v>0</v>
      </c>
      <c r="R53" t="n">
        <v>0</v>
      </c>
      <c r="S53" t="n">
        <v>1</v>
      </c>
      <c r="T53" t="n">
        <v>1</v>
      </c>
      <c r="U53" s="2" t="inlineStr">
        <is>
          <t>Revlummer</t>
        </is>
      </c>
      <c r="V53">
        <f>HYPERLINK("https://klasma.github.io/Logging_2061/artfynd/A 54156-2023 artfynd.xlsx", "A 54156-2023")</f>
        <v/>
      </c>
      <c r="W53">
        <f>HYPERLINK("https://klasma.github.io/Logging_2061/kartor/A 54156-2023 karta.png", "A 54156-2023")</f>
        <v/>
      </c>
      <c r="Y53">
        <f>HYPERLINK("https://klasma.github.io/Logging_2061/klagomål/A 54156-2023 FSC-klagomål.docx", "A 54156-2023")</f>
        <v/>
      </c>
      <c r="Z53">
        <f>HYPERLINK("https://klasma.github.io/Logging_2061/klagomålsmail/A 54156-2023 FSC-klagomål mail.docx", "A 54156-2023")</f>
        <v/>
      </c>
      <c r="AA53">
        <f>HYPERLINK("https://klasma.github.io/Logging_2061/tillsyn/A 54156-2023 tillsynsbegäran.docx", "A 54156-2023")</f>
        <v/>
      </c>
      <c r="AB53">
        <f>HYPERLINK("https://klasma.github.io/Logging_2061/tillsynsmail/A 54156-2023 tillsynsbegäran mail.docx", "A 54156-2023")</f>
        <v/>
      </c>
    </row>
    <row r="54" ht="15" customHeight="1">
      <c r="A54" t="inlineStr">
        <is>
          <t>A 41336-2022</t>
        </is>
      </c>
      <c r="B54" t="inlineStr">
        <is>
          <t>avverkningsanmälan</t>
        </is>
      </c>
      <c r="C54" t="inlineStr">
        <is>
          <t>Föryngringsavverkning</t>
        </is>
      </c>
      <c r="D54" s="1" t="n">
        <v>44826</v>
      </c>
      <c r="E54" s="1" t="n">
        <v>46220</v>
      </c>
      <c r="F54" t="inlineStr">
        <is>
          <t>DALARNAS LÄN</t>
        </is>
      </c>
      <c r="G54" t="inlineStr">
        <is>
          <t>SMEDJEBACKEN</t>
        </is>
      </c>
      <c r="I54" t="n">
        <v>2.3</v>
      </c>
      <c r="J54" t="n">
        <v>1</v>
      </c>
      <c r="K54" t="n">
        <v>0</v>
      </c>
      <c r="L54" t="n">
        <v>0</v>
      </c>
      <c r="M54" t="n">
        <v>0</v>
      </c>
      <c r="N54" t="n">
        <v>0</v>
      </c>
      <c r="O54" t="n">
        <v>0</v>
      </c>
      <c r="P54" t="n">
        <v>0</v>
      </c>
      <c r="Q54" t="n">
        <v>0</v>
      </c>
      <c r="R54" t="n">
        <v>0</v>
      </c>
      <c r="S54" t="n">
        <v>1</v>
      </c>
      <c r="T54" t="n">
        <v>1</v>
      </c>
      <c r="U54" s="2" t="inlineStr">
        <is>
          <t>Spillkråka</t>
        </is>
      </c>
      <c r="V54">
        <f>HYPERLINK("https://klasma.github.io/Logging_2061/artfynd/A 41336-2022 artfynd.xlsx", "A 41336-2022")</f>
        <v/>
      </c>
      <c r="W54">
        <f>HYPERLINK("https://klasma.github.io/Logging_2061/kartor/A 41336-2022 karta.png", "A 41336-2022")</f>
        <v/>
      </c>
      <c r="Y54">
        <f>HYPERLINK("https://klasma.github.io/Logging_2061/klagomål/A 41336-2022 FSC-klagomål.docx", "A 41336-2022")</f>
        <v/>
      </c>
      <c r="Z54">
        <f>HYPERLINK("https://klasma.github.io/Logging_2061/klagomålsmail/A 41336-2022 FSC-klagomål mail.docx", "A 41336-2022")</f>
        <v/>
      </c>
      <c r="AA54">
        <f>HYPERLINK("https://klasma.github.io/Logging_2061/tillsyn/A 41336-2022 tillsynsbegäran.docx", "A 41336-2022")</f>
        <v/>
      </c>
      <c r="AB54">
        <f>HYPERLINK("https://klasma.github.io/Logging_2061/tillsynsmail/A 41336-2022 tillsynsbegäran mail.docx", "A 41336-2022")</f>
        <v/>
      </c>
      <c r="AC54">
        <f>HYPERLINK("https://klasma.github.io/Logging_2061/fåglar/A 41336-2022 prioriterade fågelarter.docx", "A 41336-2022")</f>
        <v/>
      </c>
    </row>
    <row r="55" ht="15" customHeight="1">
      <c r="A55" t="inlineStr">
        <is>
          <t>A 56659-2025</t>
        </is>
      </c>
      <c r="B55" t="inlineStr">
        <is>
          <t>avverkningsanmälan</t>
        </is>
      </c>
      <c r="C55" t="inlineStr">
        <is>
          <t>Föryngringsavverkning</t>
        </is>
      </c>
      <c r="D55" s="1" t="n">
        <v>45975</v>
      </c>
      <c r="E55" s="1" t="n">
        <v>46220</v>
      </c>
      <c r="F55" t="inlineStr">
        <is>
          <t>DALARNAS LÄN</t>
        </is>
      </c>
      <c r="G55" t="inlineStr">
        <is>
          <t>SMEDJEBACKEN</t>
        </is>
      </c>
      <c r="I55" t="n">
        <v>1.7</v>
      </c>
      <c r="J55" t="n">
        <v>0</v>
      </c>
      <c r="K55" t="n">
        <v>0</v>
      </c>
      <c r="L55" t="n">
        <v>1</v>
      </c>
      <c r="M55" t="n">
        <v>0</v>
      </c>
      <c r="N55" t="n">
        <v>0</v>
      </c>
      <c r="O55" t="n">
        <v>0</v>
      </c>
      <c r="P55" t="n">
        <v>0</v>
      </c>
      <c r="Q55" t="n">
        <v>1</v>
      </c>
      <c r="R55" t="n">
        <v>0</v>
      </c>
      <c r="S55" t="n">
        <v>1</v>
      </c>
      <c r="T55" t="n">
        <v>1</v>
      </c>
      <c r="U55" s="2" t="inlineStr">
        <is>
          <t>Grentaggsvamp</t>
        </is>
      </c>
      <c r="V55">
        <f>HYPERLINK("https://klasma.github.io/Logging_2061/artfynd/A 56659-2025 artfynd.xlsx", "A 56659-2025")</f>
        <v/>
      </c>
      <c r="W55">
        <f>HYPERLINK("https://klasma.github.io/Logging_2061/kartor/A 56659-2025 karta.png", "A 56659-2025")</f>
        <v/>
      </c>
      <c r="Y55">
        <f>HYPERLINK("https://klasma.github.io/Logging_2061/klagomål/A 56659-2025 FSC-klagomål.docx", "A 56659-2025")</f>
        <v/>
      </c>
      <c r="Z55">
        <f>HYPERLINK("https://klasma.github.io/Logging_2061/klagomålsmail/A 56659-2025 FSC-klagomål mail.docx", "A 56659-2025")</f>
        <v/>
      </c>
      <c r="AA55">
        <f>HYPERLINK("https://klasma.github.io/Logging_2061/tillsyn/A 56659-2025 tillsynsbegäran.docx", "A 56659-2025")</f>
        <v/>
      </c>
      <c r="AB55">
        <f>HYPERLINK("https://klasma.github.io/Logging_2061/tillsynsmail/A 56659-2025 tillsynsbegäran mail.docx", "A 56659-2025")</f>
        <v/>
      </c>
    </row>
    <row r="56" ht="15" customHeight="1">
      <c r="A56" t="inlineStr">
        <is>
          <t>A 60816-2025</t>
        </is>
      </c>
      <c r="B56" t="inlineStr">
        <is>
          <t>avverkningsanmälan</t>
        </is>
      </c>
      <c r="C56" t="inlineStr">
        <is>
          <t>Föryngringsavverkning</t>
        </is>
      </c>
      <c r="D56" s="1" t="n">
        <v>45999</v>
      </c>
      <c r="E56" s="1" t="n">
        <v>46220</v>
      </c>
      <c r="F56" t="inlineStr">
        <is>
          <t>DALARNAS LÄN</t>
        </is>
      </c>
      <c r="G56" t="inlineStr">
        <is>
          <t>SMEDJEBACKEN</t>
        </is>
      </c>
      <c r="I56" t="n">
        <v>2.3</v>
      </c>
      <c r="J56" t="n">
        <v>0</v>
      </c>
      <c r="K56" t="n">
        <v>1</v>
      </c>
      <c r="L56" t="n">
        <v>0</v>
      </c>
      <c r="M56" t="n">
        <v>0</v>
      </c>
      <c r="N56" t="n">
        <v>0</v>
      </c>
      <c r="O56" t="n">
        <v>0</v>
      </c>
      <c r="P56" t="n">
        <v>0</v>
      </c>
      <c r="Q56" t="n">
        <v>0</v>
      </c>
      <c r="R56" t="n">
        <v>0</v>
      </c>
      <c r="S56" t="n">
        <v>1</v>
      </c>
      <c r="T56" t="n">
        <v>1</v>
      </c>
      <c r="U56" s="2" t="inlineStr">
        <is>
          <t>Jättesvampmal</t>
        </is>
      </c>
      <c r="V56">
        <f>HYPERLINK("https://klasma.github.io/Logging_2061/artfynd/A 60816-2025 artfynd.xlsx", "A 60816-2025")</f>
        <v/>
      </c>
      <c r="W56">
        <f>HYPERLINK("https://klasma.github.io/Logging_2061/kartor/A 60816-2025 karta.png", "A 60816-2025")</f>
        <v/>
      </c>
      <c r="Y56">
        <f>HYPERLINK("https://klasma.github.io/Logging_2061/klagomål/A 60816-2025 FSC-klagomål.docx", "A 60816-2025")</f>
        <v/>
      </c>
      <c r="Z56">
        <f>HYPERLINK("https://klasma.github.io/Logging_2061/klagomålsmail/A 60816-2025 FSC-klagomål mail.docx", "A 60816-2025")</f>
        <v/>
      </c>
      <c r="AA56">
        <f>HYPERLINK("https://klasma.github.io/Logging_2061/tillsyn/A 60816-2025 tillsynsbegäran.docx", "A 60816-2025")</f>
        <v/>
      </c>
      <c r="AB56">
        <f>HYPERLINK("https://klasma.github.io/Logging_2061/tillsynsmail/A 60816-2025 tillsynsbegäran mail.docx", "A 60816-2025")</f>
        <v/>
      </c>
    </row>
    <row r="57" ht="15" customHeight="1">
      <c r="A57" t="inlineStr">
        <is>
          <t>A 11364-2025</t>
        </is>
      </c>
      <c r="B57" t="inlineStr">
        <is>
          <t>avverkningsanmälan</t>
        </is>
      </c>
      <c r="C57" t="inlineStr">
        <is>
          <t>Föryngringsavverkning</t>
        </is>
      </c>
      <c r="D57" s="1" t="n">
        <v>45726</v>
      </c>
      <c r="E57" s="1" t="n">
        <v>46220</v>
      </c>
      <c r="F57" t="inlineStr">
        <is>
          <t>DALARNAS LÄN</t>
        </is>
      </c>
      <c r="G57" t="inlineStr">
        <is>
          <t>SMEDJEBACKEN</t>
        </is>
      </c>
      <c r="H57" t="inlineStr">
        <is>
          <t>Bergvik skog väst AB</t>
        </is>
      </c>
      <c r="I57" t="n">
        <v>3.5</v>
      </c>
      <c r="J57" t="n">
        <v>1</v>
      </c>
      <c r="K57" t="n">
        <v>0</v>
      </c>
      <c r="L57" t="n">
        <v>0</v>
      </c>
      <c r="M57" t="n">
        <v>0</v>
      </c>
      <c r="N57" t="n">
        <v>0</v>
      </c>
      <c r="O57" t="n">
        <v>0</v>
      </c>
      <c r="P57" t="n">
        <v>0</v>
      </c>
      <c r="Q57" t="n">
        <v>0</v>
      </c>
      <c r="R57" t="n">
        <v>0</v>
      </c>
      <c r="S57" t="n">
        <v>1</v>
      </c>
      <c r="T57" t="n">
        <v>1</v>
      </c>
      <c r="U57" s="2" t="inlineStr">
        <is>
          <t>Blåsippa</t>
        </is>
      </c>
      <c r="V57">
        <f>HYPERLINK("https://klasma.github.io/Logging_2061/artfynd/A 11364-2025 artfynd.xlsx", "A 11364-2025")</f>
        <v/>
      </c>
      <c r="W57">
        <f>HYPERLINK("https://klasma.github.io/Logging_2061/kartor/A 11364-2025 karta.png", "A 11364-2025")</f>
        <v/>
      </c>
      <c r="Y57">
        <f>HYPERLINK("https://klasma.github.io/Logging_2061/klagomål/A 11364-2025 FSC-klagomål.docx", "A 11364-2025")</f>
        <v/>
      </c>
      <c r="Z57">
        <f>HYPERLINK("https://klasma.github.io/Logging_2061/klagomålsmail/A 11364-2025 FSC-klagomål mail.docx", "A 11364-2025")</f>
        <v/>
      </c>
      <c r="AA57">
        <f>HYPERLINK("https://klasma.github.io/Logging_2061/tillsyn/A 11364-2025 tillsynsbegäran.docx", "A 11364-2025")</f>
        <v/>
      </c>
      <c r="AB57">
        <f>HYPERLINK("https://klasma.github.io/Logging_2061/tillsynsmail/A 11364-2025 tillsynsbegäran mail.docx", "A 11364-2025")</f>
        <v/>
      </c>
    </row>
    <row r="58" ht="15" customHeight="1">
      <c r="A58" t="inlineStr">
        <is>
          <t>A 24549-2022</t>
        </is>
      </c>
      <c r="B58" t="inlineStr">
        <is>
          <t>avverkningsanmälan</t>
        </is>
      </c>
      <c r="C58" t="inlineStr">
        <is>
          <t>Föryngringsavverkning</t>
        </is>
      </c>
      <c r="D58" s="1" t="n">
        <v>44727</v>
      </c>
      <c r="E58" s="1" t="n">
        <v>46220</v>
      </c>
      <c r="F58" t="inlineStr">
        <is>
          <t>DALARNAS LÄN</t>
        </is>
      </c>
      <c r="G58" t="inlineStr">
        <is>
          <t>SMEDJEBACKEN</t>
        </is>
      </c>
      <c r="H58" t="inlineStr">
        <is>
          <t>Bergvik skog väst AB</t>
        </is>
      </c>
      <c r="I58" t="n">
        <v>3.3</v>
      </c>
      <c r="J58" t="n">
        <v>1</v>
      </c>
      <c r="K58" t="n">
        <v>0</v>
      </c>
      <c r="L58" t="n">
        <v>0</v>
      </c>
      <c r="M58" t="n">
        <v>0</v>
      </c>
      <c r="N58" t="n">
        <v>0</v>
      </c>
      <c r="O58" t="n">
        <v>0</v>
      </c>
      <c r="P58" t="n">
        <v>0</v>
      </c>
      <c r="Q58" t="n">
        <v>0</v>
      </c>
      <c r="R58" t="n">
        <v>0</v>
      </c>
      <c r="S58" t="n">
        <v>1</v>
      </c>
      <c r="T58" t="n">
        <v>1</v>
      </c>
      <c r="U58" s="2" t="inlineStr">
        <is>
          <t>Blåsippa</t>
        </is>
      </c>
      <c r="V58">
        <f>HYPERLINK("https://klasma.github.io/Logging_2061/artfynd/A 24549-2022 artfynd.xlsx", "A 24549-2022")</f>
        <v/>
      </c>
      <c r="W58">
        <f>HYPERLINK("https://klasma.github.io/Logging_2061/kartor/A 24549-2022 karta.png", "A 24549-2022")</f>
        <v/>
      </c>
      <c r="Y58">
        <f>HYPERLINK("https://klasma.github.io/Logging_2061/klagomål/A 24549-2022 FSC-klagomål.docx", "A 24549-2022")</f>
        <v/>
      </c>
      <c r="Z58">
        <f>HYPERLINK("https://klasma.github.io/Logging_2061/klagomålsmail/A 24549-2022 FSC-klagomål mail.docx", "A 24549-2022")</f>
        <v/>
      </c>
      <c r="AA58">
        <f>HYPERLINK("https://klasma.github.io/Logging_2061/tillsyn/A 24549-2022 tillsynsbegäran.docx", "A 24549-2022")</f>
        <v/>
      </c>
      <c r="AB58">
        <f>HYPERLINK("https://klasma.github.io/Logging_2061/tillsynsmail/A 24549-2022 tillsynsbegäran mail.docx", "A 24549-2022")</f>
        <v/>
      </c>
    </row>
    <row r="59" ht="15" customHeight="1">
      <c r="A59" t="inlineStr">
        <is>
          <t>A 18878-2026</t>
        </is>
      </c>
      <c r="B59" t="inlineStr">
        <is>
          <t>avverkningsanmälan</t>
        </is>
      </c>
      <c r="C59" t="inlineStr">
        <is>
          <t>Föryngringsavverkning</t>
        </is>
      </c>
      <c r="D59" s="1" t="n">
        <v>46129</v>
      </c>
      <c r="E59" s="1" t="n">
        <v>46220</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s="2" t="inlineStr">
        <is>
          <t>Motaggsvamp</t>
        </is>
      </c>
      <c r="V59">
        <f>HYPERLINK("https://klasma.github.io/Logging_2061/artfynd/A 18878-2026 artfynd.xlsx", "A 18878-2026")</f>
        <v/>
      </c>
      <c r="W59">
        <f>HYPERLINK("https://klasma.github.io/Logging_2061/kartor/A 18878-2026 karta.png", "A 18878-2026")</f>
        <v/>
      </c>
      <c r="Y59">
        <f>HYPERLINK("https://klasma.github.io/Logging_2061/klagomål/A 18878-2026 FSC-klagomål.docx", "A 18878-2026")</f>
        <v/>
      </c>
      <c r="Z59">
        <f>HYPERLINK("https://klasma.github.io/Logging_2061/klagomålsmail/A 18878-2026 FSC-klagomål mail.docx", "A 18878-2026")</f>
        <v/>
      </c>
      <c r="AA59">
        <f>HYPERLINK("https://klasma.github.io/Logging_2061/tillsyn/A 18878-2026 tillsynsbegäran.docx", "A 18878-2026")</f>
        <v/>
      </c>
      <c r="AB59">
        <f>HYPERLINK("https://klasma.github.io/Logging_2061/tillsynsmail/A 18878-2026 tillsynsbegäran mail.docx", "A 18878-2026")</f>
        <v/>
      </c>
    </row>
    <row r="60" ht="15" customHeight="1">
      <c r="A60" t="inlineStr">
        <is>
          <t>A 10340-2022</t>
        </is>
      </c>
      <c r="B60" t="inlineStr">
        <is>
          <t>avverkningsanmälan</t>
        </is>
      </c>
      <c r="C60" t="inlineStr">
        <is>
          <t>Föryngringsavverkning</t>
        </is>
      </c>
      <c r="D60" s="1" t="n">
        <v>44623</v>
      </c>
      <c r="E60" s="1" t="n">
        <v>46220</v>
      </c>
      <c r="F60" t="inlineStr">
        <is>
          <t>DALARNAS LÄN</t>
        </is>
      </c>
      <c r="G60" t="inlineStr">
        <is>
          <t>SMEDJEBACKEN</t>
        </is>
      </c>
      <c r="I60" t="n">
        <v>2.5</v>
      </c>
      <c r="J60" t="n">
        <v>1</v>
      </c>
      <c r="K60" t="n">
        <v>0</v>
      </c>
      <c r="L60" t="n">
        <v>0</v>
      </c>
      <c r="M60" t="n">
        <v>0</v>
      </c>
      <c r="N60" t="n">
        <v>0</v>
      </c>
      <c r="O60" t="n">
        <v>0</v>
      </c>
      <c r="P60" t="n">
        <v>0</v>
      </c>
      <c r="Q60" t="n">
        <v>0</v>
      </c>
      <c r="R60" t="n">
        <v>0</v>
      </c>
      <c r="S60" t="n">
        <v>1</v>
      </c>
      <c r="T60" t="n">
        <v>2</v>
      </c>
      <c r="U60" s="2" t="inlineStr">
        <is>
          <t>Smålom</t>
        </is>
      </c>
      <c r="V60">
        <f>HYPERLINK("https://klasma.github.io/Logging_2061/artfynd/A 10340-2022 artfynd.xlsx", "A 10340-2022")</f>
        <v/>
      </c>
      <c r="W60">
        <f>HYPERLINK("https://klasma.github.io/Logging_2061/kartor/A 10340-2022 karta.png", "A 10340-2022")</f>
        <v/>
      </c>
      <c r="Y60">
        <f>HYPERLINK("https://klasma.github.io/Logging_2061/klagomål/A 10340-2022 FSC-klagomål.docx", "A 10340-2022")</f>
        <v/>
      </c>
      <c r="Z60">
        <f>HYPERLINK("https://klasma.github.io/Logging_2061/klagomålsmail/A 10340-2022 FSC-klagomål mail.docx", "A 10340-2022")</f>
        <v/>
      </c>
      <c r="AA60">
        <f>HYPERLINK("https://klasma.github.io/Logging_2061/tillsyn/A 10340-2022 tillsynsbegäran.docx", "A 10340-2022")</f>
        <v/>
      </c>
      <c r="AB60">
        <f>HYPERLINK("https://klasma.github.io/Logging_2061/tillsynsmail/A 10340-2022 tillsynsbegäran mail.docx", "A 10340-2022")</f>
        <v/>
      </c>
      <c r="AC60">
        <f>HYPERLINK("https://klasma.github.io/Logging_2061/fåglar/A 10340-2022 prioriterade fågelarter.docx", "A 10340-2022")</f>
        <v/>
      </c>
    </row>
    <row r="61" ht="15" customHeight="1">
      <c r="A61" t="inlineStr">
        <is>
          <t>A 15389-2024</t>
        </is>
      </c>
      <c r="B61" t="inlineStr">
        <is>
          <t>avverkningsanmälan</t>
        </is>
      </c>
      <c r="C61" t="inlineStr">
        <is>
          <t>Föryngringsavverkning</t>
        </is>
      </c>
      <c r="D61" s="1" t="n">
        <v>45401</v>
      </c>
      <c r="E61" s="1" t="n">
        <v>46220</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s="2" t="inlineStr">
        <is>
          <t>Svavelriska</t>
        </is>
      </c>
      <c r="V61">
        <f>HYPERLINK("https://klasma.github.io/Logging_2061/artfynd/A 15389-2024 artfynd.xlsx", "A 15389-2024")</f>
        <v/>
      </c>
      <c r="W61">
        <f>HYPERLINK("https://klasma.github.io/Logging_2061/kartor/A 15389-2024 karta.png", "A 15389-2024")</f>
        <v/>
      </c>
      <c r="Y61">
        <f>HYPERLINK("https://klasma.github.io/Logging_2061/klagomål/A 15389-2024 FSC-klagomål.docx", "A 15389-2024")</f>
        <v/>
      </c>
      <c r="Z61">
        <f>HYPERLINK("https://klasma.github.io/Logging_2061/klagomålsmail/A 15389-2024 FSC-klagomål mail.docx", "A 15389-2024")</f>
        <v/>
      </c>
      <c r="AA61">
        <f>HYPERLINK("https://klasma.github.io/Logging_2061/tillsyn/A 15389-2024 tillsynsbegäran.docx", "A 15389-2024")</f>
        <v/>
      </c>
      <c r="AB61">
        <f>HYPERLINK("https://klasma.github.io/Logging_2061/tillsynsmail/A 15389-2024 tillsynsbegäran mail.docx", "A 15389-2024")</f>
        <v/>
      </c>
    </row>
    <row r="62" ht="15" customHeight="1">
      <c r="A62" t="inlineStr">
        <is>
          <t>A 20019-2024</t>
        </is>
      </c>
      <c r="B62" t="inlineStr">
        <is>
          <t>avverkningsanmälan</t>
        </is>
      </c>
      <c r="C62" t="inlineStr">
        <is>
          <t>Föryngringsavverkning</t>
        </is>
      </c>
      <c r="D62" s="1" t="n">
        <v>45433</v>
      </c>
      <c r="E62" s="1" t="n">
        <v>46220</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s="2" t="inlineStr">
        <is>
          <t>Violettkantad guldvinge</t>
        </is>
      </c>
      <c r="V62">
        <f>HYPERLINK("https://klasma.github.io/Logging_2061/artfynd/A 20019-2024 artfynd.xlsx", "A 20019-2024")</f>
        <v/>
      </c>
      <c r="W62">
        <f>HYPERLINK("https://klasma.github.io/Logging_2061/kartor/A 20019-2024 karta.png", "A 20019-2024")</f>
        <v/>
      </c>
      <c r="Y62">
        <f>HYPERLINK("https://klasma.github.io/Logging_2061/klagomål/A 20019-2024 FSC-klagomål.docx", "A 20019-2024")</f>
        <v/>
      </c>
      <c r="Z62">
        <f>HYPERLINK("https://klasma.github.io/Logging_2061/klagomålsmail/A 20019-2024 FSC-klagomål mail.docx", "A 20019-2024")</f>
        <v/>
      </c>
      <c r="AA62">
        <f>HYPERLINK("https://klasma.github.io/Logging_2061/tillsyn/A 20019-2024 tillsynsbegäran.docx", "A 20019-2024")</f>
        <v/>
      </c>
      <c r="AB62">
        <f>HYPERLINK("https://klasma.github.io/Logging_2061/tillsynsmail/A 20019-2024 tillsynsbegäran mail.docx", "A 20019-2024")</f>
        <v/>
      </c>
    </row>
    <row r="63" ht="15" customHeight="1">
      <c r="A63" t="inlineStr">
        <is>
          <t>A 11154-2025</t>
        </is>
      </c>
      <c r="B63" t="inlineStr">
        <is>
          <t>avverkningsanmälan</t>
        </is>
      </c>
      <c r="C63" t="inlineStr">
        <is>
          <t>Föryngringsavverkning</t>
        </is>
      </c>
      <c r="D63" s="1" t="n">
        <v>45723</v>
      </c>
      <c r="E63" s="1" t="n">
        <v>46220</v>
      </c>
      <c r="F63" t="inlineStr">
        <is>
          <t>DALARNAS LÄN</t>
        </is>
      </c>
      <c r="G63" t="inlineStr">
        <is>
          <t>SMEDJEBACKEN</t>
        </is>
      </c>
      <c r="H63" t="inlineStr">
        <is>
          <t>Bergvik skog väst AB</t>
        </is>
      </c>
      <c r="I63" t="n">
        <v>0.7</v>
      </c>
      <c r="J63" t="n">
        <v>0</v>
      </c>
      <c r="K63" t="n">
        <v>1</v>
      </c>
      <c r="L63" t="n">
        <v>0</v>
      </c>
      <c r="M63" t="n">
        <v>0</v>
      </c>
      <c r="N63" t="n">
        <v>0</v>
      </c>
      <c r="O63" t="n">
        <v>0</v>
      </c>
      <c r="P63" t="n">
        <v>0</v>
      </c>
      <c r="Q63" t="n">
        <v>0</v>
      </c>
      <c r="R63" t="n">
        <v>0</v>
      </c>
      <c r="S63" t="n">
        <v>1</v>
      </c>
      <c r="T63" t="n">
        <v>1</v>
      </c>
      <c r="U63" s="2" t="inlineStr">
        <is>
          <t>Tibast</t>
        </is>
      </c>
      <c r="V63">
        <f>HYPERLINK("https://klasma.github.io/Logging_2061/artfynd/A 11154-2025 artfynd.xlsx", "A 11154-2025")</f>
        <v/>
      </c>
      <c r="W63">
        <f>HYPERLINK("https://klasma.github.io/Logging_2061/kartor/A 11154-2025 karta.png", "A 11154-2025")</f>
        <v/>
      </c>
      <c r="Y63">
        <f>HYPERLINK("https://klasma.github.io/Logging_2061/klagomål/A 11154-2025 FSC-klagomål.docx", "A 11154-2025")</f>
        <v/>
      </c>
      <c r="Z63">
        <f>HYPERLINK("https://klasma.github.io/Logging_2061/klagomålsmail/A 11154-2025 FSC-klagomål mail.docx", "A 11154-2025")</f>
        <v/>
      </c>
      <c r="AA63">
        <f>HYPERLINK("https://klasma.github.io/Logging_2061/tillsyn/A 11154-2025 tillsynsbegäran.docx", "A 11154-2025")</f>
        <v/>
      </c>
      <c r="AB63">
        <f>HYPERLINK("https://klasma.github.io/Logging_2061/tillsynsmail/A 11154-2025 tillsynsbegäran mail.docx", "A 11154-2025")</f>
        <v/>
      </c>
    </row>
    <row r="64" ht="15" customHeight="1">
      <c r="A64" t="inlineStr">
        <is>
          <t>A 55851-2021</t>
        </is>
      </c>
      <c r="B64" t="inlineStr">
        <is>
          <t>avverkningsanmälan</t>
        </is>
      </c>
      <c r="C64" t="inlineStr">
        <is>
          <t>Föryngringsavverkning</t>
        </is>
      </c>
      <c r="D64" s="1" t="n">
        <v>44476</v>
      </c>
      <c r="E64" s="1" t="n">
        <v>46220</v>
      </c>
      <c r="F64" t="inlineStr">
        <is>
          <t>DALARNAS LÄN</t>
        </is>
      </c>
      <c r="G64" t="inlineStr">
        <is>
          <t>SMEDJEBACKEN</t>
        </is>
      </c>
      <c r="H64" t="inlineStr">
        <is>
          <t>Övriga Aktiebolag</t>
        </is>
      </c>
      <c r="I64" t="n">
        <v>2.6</v>
      </c>
      <c r="J64" t="n">
        <v>1</v>
      </c>
      <c r="K64" t="n">
        <v>0</v>
      </c>
      <c r="L64" t="n">
        <v>1</v>
      </c>
      <c r="M64" t="n">
        <v>0</v>
      </c>
      <c r="N64" t="n">
        <v>0</v>
      </c>
      <c r="O64" t="n">
        <v>0</v>
      </c>
      <c r="P64" t="n">
        <v>0</v>
      </c>
      <c r="Q64" t="n">
        <v>1</v>
      </c>
      <c r="R64" t="n">
        <v>0</v>
      </c>
      <c r="S64" t="n">
        <v>1</v>
      </c>
      <c r="T64" t="n">
        <v>1</v>
      </c>
      <c r="U64" s="2" t="inlineStr">
        <is>
          <t>Talltita</t>
        </is>
      </c>
      <c r="V64">
        <f>HYPERLINK("https://klasma.github.io/Logging_2061/artfynd/A 55851-2021 artfynd.xlsx", "A 55851-2021")</f>
        <v/>
      </c>
      <c r="W64">
        <f>HYPERLINK("https://klasma.github.io/Logging_2061/kartor/A 55851-2021 karta.png", "A 55851-2021")</f>
        <v/>
      </c>
      <c r="Y64">
        <f>HYPERLINK("https://klasma.github.io/Logging_2061/klagomål/A 55851-2021 FSC-klagomål.docx", "A 55851-2021")</f>
        <v/>
      </c>
      <c r="Z64">
        <f>HYPERLINK("https://klasma.github.io/Logging_2061/klagomålsmail/A 55851-2021 FSC-klagomål mail.docx", "A 55851-2021")</f>
        <v/>
      </c>
      <c r="AA64">
        <f>HYPERLINK("https://klasma.github.io/Logging_2061/tillsyn/A 55851-2021 tillsynsbegäran.docx", "A 55851-2021")</f>
        <v/>
      </c>
      <c r="AB64">
        <f>HYPERLINK("https://klasma.github.io/Logging_2061/tillsynsmail/A 55851-2021 tillsynsbegäran mail.docx", "A 55851-2021")</f>
        <v/>
      </c>
      <c r="AC64">
        <f>HYPERLINK("https://klasma.github.io/Logging_2061/fåglar/A 55851-2021 prioriterade fågelarter.docx", "A 55851-2021")</f>
        <v/>
      </c>
    </row>
    <row r="65" ht="15" customHeight="1">
      <c r="A65" t="inlineStr">
        <is>
          <t>A 42523-2024</t>
        </is>
      </c>
      <c r="B65" t="inlineStr">
        <is>
          <t>avverkningsanmälan</t>
        </is>
      </c>
      <c r="C65" t="inlineStr">
        <is>
          <t>Avverkning för annat ändamål</t>
        </is>
      </c>
      <c r="D65" s="1" t="n">
        <v>45565</v>
      </c>
      <c r="E65" s="1" t="n">
        <v>46220</v>
      </c>
      <c r="F65" t="inlineStr">
        <is>
          <t>DALARNAS LÄN</t>
        </is>
      </c>
      <c r="G65" t="inlineStr">
        <is>
          <t>SMEDJEBACKEN</t>
        </is>
      </c>
      <c r="I65" t="n">
        <v>3.5</v>
      </c>
      <c r="J65" t="n">
        <v>0</v>
      </c>
      <c r="K65" t="n">
        <v>0</v>
      </c>
      <c r="L65" t="n">
        <v>1</v>
      </c>
      <c r="M65" t="n">
        <v>0</v>
      </c>
      <c r="N65" t="n">
        <v>0</v>
      </c>
      <c r="O65" t="n">
        <v>0</v>
      </c>
      <c r="P65" t="n">
        <v>0</v>
      </c>
      <c r="Q65" t="n">
        <v>1</v>
      </c>
      <c r="R65" t="n">
        <v>0</v>
      </c>
      <c r="S65" t="n">
        <v>1</v>
      </c>
      <c r="T65" t="n">
        <v>1</v>
      </c>
      <c r="U65" s="2" t="inlineStr">
        <is>
          <t>Vedskivlav</t>
        </is>
      </c>
      <c r="V65">
        <f>HYPERLINK("https://klasma.github.io/Logging_2061/artfynd/A 42523-2024 artfynd.xlsx", "A 42523-2024")</f>
        <v/>
      </c>
      <c r="W65">
        <f>HYPERLINK("https://klasma.github.io/Logging_2061/kartor/A 42523-2024 karta.png", "A 42523-2024")</f>
        <v/>
      </c>
      <c r="Y65">
        <f>HYPERLINK("https://klasma.github.io/Logging_2061/klagomål/A 42523-2024 FSC-klagomål.docx", "A 42523-2024")</f>
        <v/>
      </c>
      <c r="Z65">
        <f>HYPERLINK("https://klasma.github.io/Logging_2061/klagomålsmail/A 42523-2024 FSC-klagomål mail.docx", "A 42523-2024")</f>
        <v/>
      </c>
      <c r="AA65">
        <f>HYPERLINK("https://klasma.github.io/Logging_2061/tillsyn/A 42523-2024 tillsynsbegäran.docx", "A 42523-2024")</f>
        <v/>
      </c>
      <c r="AB65">
        <f>HYPERLINK("https://klasma.github.io/Logging_2061/tillsynsmail/A 42523-2024 tillsynsbegäran mail.docx", "A 42523-2024")</f>
        <v/>
      </c>
    </row>
    <row r="66" ht="15" customHeight="1">
      <c r="A66" t="inlineStr">
        <is>
          <t>A 52953-2023</t>
        </is>
      </c>
      <c r="B66" t="inlineStr">
        <is>
          <t>avverkningsanmälan</t>
        </is>
      </c>
      <c r="C66" t="inlineStr">
        <is>
          <t>Föryngringsavverkning</t>
        </is>
      </c>
      <c r="D66" s="1" t="n">
        <v>45226</v>
      </c>
      <c r="E66" s="1" t="n">
        <v>46220</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s="2" t="inlineStr">
        <is>
          <t>Motaggsvamp</t>
        </is>
      </c>
      <c r="V66">
        <f>HYPERLINK("https://klasma.github.io/Logging_2061/artfynd/A 52953-2023 artfynd.xlsx", "A 52953-2023")</f>
        <v/>
      </c>
      <c r="W66">
        <f>HYPERLINK("https://klasma.github.io/Logging_2061/kartor/A 52953-2023 karta.png", "A 52953-2023")</f>
        <v/>
      </c>
      <c r="Y66">
        <f>HYPERLINK("https://klasma.github.io/Logging_2061/klagomål/A 52953-2023 FSC-klagomål.docx", "A 52953-2023")</f>
        <v/>
      </c>
      <c r="Z66">
        <f>HYPERLINK("https://klasma.github.io/Logging_2061/klagomålsmail/A 52953-2023 FSC-klagomål mail.docx", "A 52953-2023")</f>
        <v/>
      </c>
      <c r="AA66">
        <f>HYPERLINK("https://klasma.github.io/Logging_2061/tillsyn/A 52953-2023 tillsynsbegäran.docx", "A 52953-2023")</f>
        <v/>
      </c>
      <c r="AB66">
        <f>HYPERLINK("https://klasma.github.io/Logging_2061/tillsynsmail/A 52953-2023 tillsynsbegäran mail.docx", "A 52953-2023")</f>
        <v/>
      </c>
    </row>
    <row r="67" ht="15" customHeight="1">
      <c r="A67" t="inlineStr">
        <is>
          <t>A 21507-2024</t>
        </is>
      </c>
      <c r="B67" t="inlineStr">
        <is>
          <t>avverkningsanmälan</t>
        </is>
      </c>
      <c r="C67" t="inlineStr">
        <is>
          <t>Föryngringsavverkning</t>
        </is>
      </c>
      <c r="D67" s="1" t="n">
        <v>45441</v>
      </c>
      <c r="E67" s="1" t="n">
        <v>46220</v>
      </c>
      <c r="F67" t="inlineStr">
        <is>
          <t>DALARNAS LÄN</t>
        </is>
      </c>
      <c r="G67" t="inlineStr">
        <is>
          <t>SMEDJEBACKEN</t>
        </is>
      </c>
      <c r="H67" t="inlineStr">
        <is>
          <t>Sveaskog</t>
        </is>
      </c>
      <c r="I67" t="n">
        <v>16</v>
      </c>
      <c r="J67" t="n">
        <v>0</v>
      </c>
      <c r="K67" t="n">
        <v>0</v>
      </c>
      <c r="L67" t="n">
        <v>1</v>
      </c>
      <c r="M67" t="n">
        <v>0</v>
      </c>
      <c r="N67" t="n">
        <v>0</v>
      </c>
      <c r="O67" t="n">
        <v>0</v>
      </c>
      <c r="P67" t="n">
        <v>0</v>
      </c>
      <c r="Q67" t="n">
        <v>1</v>
      </c>
      <c r="R67" t="n">
        <v>0</v>
      </c>
      <c r="S67" t="n">
        <v>1</v>
      </c>
      <c r="T67" t="n">
        <v>1</v>
      </c>
      <c r="U67" s="2" t="inlineStr">
        <is>
          <t>Ullticka</t>
        </is>
      </c>
      <c r="V67">
        <f>HYPERLINK("https://klasma.github.io/Logging_2061/artfynd/A 21507-2024 artfynd.xlsx", "A 21507-2024")</f>
        <v/>
      </c>
      <c r="W67">
        <f>HYPERLINK("https://klasma.github.io/Logging_2061/kartor/A 21507-2024 karta.png", "A 21507-2024")</f>
        <v/>
      </c>
      <c r="Y67">
        <f>HYPERLINK("https://klasma.github.io/Logging_2061/klagomål/A 21507-2024 FSC-klagomål.docx", "A 21507-2024")</f>
        <v/>
      </c>
      <c r="Z67">
        <f>HYPERLINK("https://klasma.github.io/Logging_2061/klagomålsmail/A 21507-2024 FSC-klagomål mail.docx", "A 21507-2024")</f>
        <v/>
      </c>
      <c r="AA67">
        <f>HYPERLINK("https://klasma.github.io/Logging_2061/tillsyn/A 21507-2024 tillsynsbegäran.docx", "A 21507-2024")</f>
        <v/>
      </c>
      <c r="AB67">
        <f>HYPERLINK("https://klasma.github.io/Logging_2061/tillsynsmail/A 21507-2024 tillsynsbegäran mail.docx", "A 21507-2024")</f>
        <v/>
      </c>
    </row>
    <row r="68" ht="15" customHeight="1">
      <c r="A68" t="inlineStr">
        <is>
          <t>A 30003-2023</t>
        </is>
      </c>
      <c r="B68" t="inlineStr">
        <is>
          <t>avverkningsanmälan</t>
        </is>
      </c>
      <c r="C68" t="inlineStr">
        <is>
          <t>Föryngringsavverkning</t>
        </is>
      </c>
      <c r="D68" s="1" t="n">
        <v>45109</v>
      </c>
      <c r="E68" s="1" t="n">
        <v>46220</v>
      </c>
      <c r="F68" t="inlineStr">
        <is>
          <t>DALARNAS LÄN</t>
        </is>
      </c>
      <c r="G68" t="inlineStr">
        <is>
          <t>SMEDJEBACKEN</t>
        </is>
      </c>
      <c r="I68" t="n">
        <v>1.6</v>
      </c>
      <c r="J68" t="n">
        <v>1</v>
      </c>
      <c r="K68" t="n">
        <v>0</v>
      </c>
      <c r="L68" t="n">
        <v>0</v>
      </c>
      <c r="M68" t="n">
        <v>0</v>
      </c>
      <c r="N68" t="n">
        <v>0</v>
      </c>
      <c r="O68" t="n">
        <v>0</v>
      </c>
      <c r="P68" t="n">
        <v>0</v>
      </c>
      <c r="Q68" t="n">
        <v>0</v>
      </c>
      <c r="R68" t="n">
        <v>0</v>
      </c>
      <c r="S68" t="n">
        <v>1</v>
      </c>
      <c r="T68" t="n">
        <v>1</v>
      </c>
      <c r="U68" s="2" t="inlineStr">
        <is>
          <t>Fläcknycklar</t>
        </is>
      </c>
      <c r="V68">
        <f>HYPERLINK("https://klasma.github.io/Logging_2061/artfynd/A 30003-2023 artfynd.xlsx", "A 30003-2023")</f>
        <v/>
      </c>
      <c r="W68">
        <f>HYPERLINK("https://klasma.github.io/Logging_2061/kartor/A 30003-2023 karta.png", "A 30003-2023")</f>
        <v/>
      </c>
      <c r="Y68">
        <f>HYPERLINK("https://klasma.github.io/Logging_2061/klagomål/A 30003-2023 FSC-klagomål.docx", "A 30003-2023")</f>
        <v/>
      </c>
      <c r="Z68">
        <f>HYPERLINK("https://klasma.github.io/Logging_2061/klagomålsmail/A 30003-2023 FSC-klagomål mail.docx", "A 30003-2023")</f>
        <v/>
      </c>
      <c r="AA68">
        <f>HYPERLINK("https://klasma.github.io/Logging_2061/tillsyn/A 30003-2023 tillsynsbegäran.docx", "A 30003-2023")</f>
        <v/>
      </c>
      <c r="AB68">
        <f>HYPERLINK("https://klasma.github.io/Logging_2061/tillsynsmail/A 30003-2023 tillsynsbegäran mail.docx", "A 30003-2023")</f>
        <v/>
      </c>
    </row>
    <row r="69" ht="15" customHeight="1">
      <c r="A69" t="inlineStr">
        <is>
          <t>A 29065-2026</t>
        </is>
      </c>
      <c r="B69" t="inlineStr">
        <is>
          <t>avverkningsanmälan</t>
        </is>
      </c>
      <c r="C69" t="inlineStr">
        <is>
          <t>Föryngringsavverkning</t>
        </is>
      </c>
      <c r="D69" s="1" t="n">
        <v>46199</v>
      </c>
      <c r="E69" s="1" t="n">
        <v>46220</v>
      </c>
      <c r="F69" t="inlineStr">
        <is>
          <t>DALARNAS LÄN</t>
        </is>
      </c>
      <c r="G69" t="inlineStr">
        <is>
          <t>SMEDJEBACKEN</t>
        </is>
      </c>
      <c r="H69" t="inlineStr">
        <is>
          <t>Sveaskog</t>
        </is>
      </c>
      <c r="I69" t="n">
        <v>3.4</v>
      </c>
      <c r="J69" t="n">
        <v>0</v>
      </c>
      <c r="K69" t="n">
        <v>0</v>
      </c>
      <c r="L69" t="n">
        <v>1</v>
      </c>
      <c r="M69" t="n">
        <v>0</v>
      </c>
      <c r="N69" t="n">
        <v>0</v>
      </c>
      <c r="O69" t="n">
        <v>0</v>
      </c>
      <c r="P69" t="n">
        <v>0</v>
      </c>
      <c r="Q69" t="n">
        <v>1</v>
      </c>
      <c r="R69" t="n">
        <v>0</v>
      </c>
      <c r="S69" t="n">
        <v>1</v>
      </c>
      <c r="T69" t="n">
        <v>1</v>
      </c>
      <c r="U69" s="2" t="inlineStr">
        <is>
          <t>Kandelabersvamp</t>
        </is>
      </c>
      <c r="V69">
        <f>HYPERLINK("https://klasma.github.io/Logging_2061/artfynd/A 29065-2026 artfynd.xlsx", "A 29065-2026")</f>
        <v/>
      </c>
      <c r="W69">
        <f>HYPERLINK("https://klasma.github.io/Logging_2061/kartor/A 29065-2026 karta.png", "A 29065-2026")</f>
        <v/>
      </c>
      <c r="Y69">
        <f>HYPERLINK("https://klasma.github.io/Logging_2061/klagomål/A 29065-2026 FSC-klagomål.docx", "A 29065-2026")</f>
        <v/>
      </c>
      <c r="Z69">
        <f>HYPERLINK("https://klasma.github.io/Logging_2061/klagomålsmail/A 29065-2026 FSC-klagomål mail.docx", "A 29065-2026")</f>
        <v/>
      </c>
      <c r="AA69">
        <f>HYPERLINK("https://klasma.github.io/Logging_2061/tillsyn/A 29065-2026 tillsynsbegäran.docx", "A 29065-2026")</f>
        <v/>
      </c>
      <c r="AB69">
        <f>HYPERLINK("https://klasma.github.io/Logging_2061/tillsynsmail/A 29065-2026 tillsynsbegäran mail.docx", "A 29065-2026")</f>
        <v/>
      </c>
    </row>
    <row r="70" ht="15" customHeight="1">
      <c r="A70" t="inlineStr">
        <is>
          <t>A 29070-2026</t>
        </is>
      </c>
      <c r="B70" t="inlineStr">
        <is>
          <t>avverkningsanmälan</t>
        </is>
      </c>
      <c r="C70" t="inlineStr">
        <is>
          <t>Föryngringsavverkning</t>
        </is>
      </c>
      <c r="D70" s="1" t="n">
        <v>46199</v>
      </c>
      <c r="E70" s="1" t="n">
        <v>46220</v>
      </c>
      <c r="F70" t="inlineStr">
        <is>
          <t>DALARNAS LÄN</t>
        </is>
      </c>
      <c r="G70" t="inlineStr">
        <is>
          <t>SMEDJEBACKEN</t>
        </is>
      </c>
      <c r="H70" t="inlineStr">
        <is>
          <t>Sveaskog</t>
        </is>
      </c>
      <c r="I70" t="n">
        <v>1.6</v>
      </c>
      <c r="J70" t="n">
        <v>0</v>
      </c>
      <c r="K70" t="n">
        <v>0</v>
      </c>
      <c r="L70" t="n">
        <v>1</v>
      </c>
      <c r="M70" t="n">
        <v>0</v>
      </c>
      <c r="N70" t="n">
        <v>0</v>
      </c>
      <c r="O70" t="n">
        <v>0</v>
      </c>
      <c r="P70" t="n">
        <v>0</v>
      </c>
      <c r="Q70" t="n">
        <v>1</v>
      </c>
      <c r="R70" t="n">
        <v>0</v>
      </c>
      <c r="S70" t="n">
        <v>1</v>
      </c>
      <c r="T70" t="n">
        <v>1</v>
      </c>
      <c r="U70" s="2" t="inlineStr">
        <is>
          <t>Vit vedfingersvamp</t>
        </is>
      </c>
      <c r="V70">
        <f>HYPERLINK("https://klasma.github.io/Logging_2061/artfynd/A 29070-2026 artfynd.xlsx", "A 29070-2026")</f>
        <v/>
      </c>
      <c r="W70">
        <f>HYPERLINK("https://klasma.github.io/Logging_2061/kartor/A 29070-2026 karta.png", "A 29070-2026")</f>
        <v/>
      </c>
      <c r="Y70">
        <f>HYPERLINK("https://klasma.github.io/Logging_2061/klagomål/A 29070-2026 FSC-klagomål.docx", "A 29070-2026")</f>
        <v/>
      </c>
      <c r="Z70">
        <f>HYPERLINK("https://klasma.github.io/Logging_2061/klagomålsmail/A 29070-2026 FSC-klagomål mail.docx", "A 29070-2026")</f>
        <v/>
      </c>
      <c r="AA70">
        <f>HYPERLINK("https://klasma.github.io/Logging_2061/tillsyn/A 29070-2026 tillsynsbegäran.docx", "A 29070-2026")</f>
        <v/>
      </c>
      <c r="AB70">
        <f>HYPERLINK("https://klasma.github.io/Logging_2061/tillsynsmail/A 29070-2026 tillsynsbegäran mail.docx", "A 29070-2026")</f>
        <v/>
      </c>
    </row>
    <row r="71" ht="15" customHeight="1">
      <c r="A71" t="inlineStr">
        <is>
          <t>A 19529-2026</t>
        </is>
      </c>
      <c r="B71" t="inlineStr">
        <is>
          <t>avverkningsanmälan</t>
        </is>
      </c>
      <c r="C71" t="inlineStr">
        <is>
          <t>Föryngringsavverkning</t>
        </is>
      </c>
      <c r="D71" s="1" t="n">
        <v>46134</v>
      </c>
      <c r="E71" s="1" t="n">
        <v>46220</v>
      </c>
      <c r="F71" t="inlineStr">
        <is>
          <t>DALARNAS LÄN</t>
        </is>
      </c>
      <c r="G71" t="inlineStr">
        <is>
          <t>SMEDJEBACKEN</t>
        </is>
      </c>
      <c r="H71" t="inlineStr">
        <is>
          <t>Sveaskog</t>
        </is>
      </c>
      <c r="I71" t="n">
        <v>3.1</v>
      </c>
      <c r="J71" t="n">
        <v>1</v>
      </c>
      <c r="K71" t="n">
        <v>0</v>
      </c>
      <c r="L71" t="n">
        <v>0</v>
      </c>
      <c r="M71" t="n">
        <v>0</v>
      </c>
      <c r="N71" t="n">
        <v>0</v>
      </c>
      <c r="O71" t="n">
        <v>0</v>
      </c>
      <c r="P71" t="n">
        <v>0</v>
      </c>
      <c r="Q71" t="n">
        <v>0</v>
      </c>
      <c r="R71" t="n">
        <v>0</v>
      </c>
      <c r="S71" t="n">
        <v>1</v>
      </c>
      <c r="T71" t="n">
        <v>1</v>
      </c>
      <c r="U71" s="2" t="inlineStr">
        <is>
          <t>Mattlummer</t>
        </is>
      </c>
      <c r="V71">
        <f>HYPERLINK("https://klasma.github.io/Logging_2061/artfynd/A 19529-2026 artfynd.xlsx", "A 19529-2026")</f>
        <v/>
      </c>
      <c r="W71">
        <f>HYPERLINK("https://klasma.github.io/Logging_2061/kartor/A 19529-2026 karta.png", "A 19529-2026")</f>
        <v/>
      </c>
      <c r="Y71">
        <f>HYPERLINK("https://klasma.github.io/Logging_2061/klagomål/A 19529-2026 FSC-klagomål.docx", "A 19529-2026")</f>
        <v/>
      </c>
      <c r="Z71">
        <f>HYPERLINK("https://klasma.github.io/Logging_2061/klagomålsmail/A 19529-2026 FSC-klagomål mail.docx", "A 19529-2026")</f>
        <v/>
      </c>
      <c r="AA71">
        <f>HYPERLINK("https://klasma.github.io/Logging_2061/tillsyn/A 19529-2026 tillsynsbegäran.docx", "A 19529-2026")</f>
        <v/>
      </c>
      <c r="AB71">
        <f>HYPERLINK("https://klasma.github.io/Logging_2061/tillsynsmail/A 19529-2026 tillsynsbegäran mail.docx", "A 19529-2026")</f>
        <v/>
      </c>
    </row>
    <row r="72" ht="15" customHeight="1">
      <c r="A72" t="inlineStr">
        <is>
          <t>A 45577-2024</t>
        </is>
      </c>
      <c r="B72" t="inlineStr">
        <is>
          <t>avverkningsanmälan</t>
        </is>
      </c>
      <c r="C72" t="inlineStr">
        <is>
          <t>Föryngringsavverkning</t>
        </is>
      </c>
      <c r="D72" s="1" t="n">
        <v>45579</v>
      </c>
      <c r="E72" s="1" t="n">
        <v>46220</v>
      </c>
      <c r="F72" t="inlineStr">
        <is>
          <t>DALARNAS LÄN</t>
        </is>
      </c>
      <c r="G72" t="inlineStr">
        <is>
          <t>SMEDJEBACKEN</t>
        </is>
      </c>
      <c r="H72" t="inlineStr">
        <is>
          <t>Sveaskog</t>
        </is>
      </c>
      <c r="I72" t="n">
        <v>18.6</v>
      </c>
      <c r="J72" t="n">
        <v>1</v>
      </c>
      <c r="K72" t="n">
        <v>0</v>
      </c>
      <c r="L72" t="n">
        <v>0</v>
      </c>
      <c r="M72" t="n">
        <v>0</v>
      </c>
      <c r="N72" t="n">
        <v>0</v>
      </c>
      <c r="O72" t="n">
        <v>0</v>
      </c>
      <c r="P72" t="n">
        <v>0</v>
      </c>
      <c r="Q72" t="n">
        <v>0</v>
      </c>
      <c r="R72" t="n">
        <v>0</v>
      </c>
      <c r="S72" t="n">
        <v>1</v>
      </c>
      <c r="T72" t="n">
        <v>1</v>
      </c>
      <c r="U72" s="2" t="inlineStr">
        <is>
          <t>Tjäder</t>
        </is>
      </c>
      <c r="V72">
        <f>HYPERLINK("https://klasma.github.io/Logging_2061/artfynd/A 45577-2024 artfynd.xlsx", "A 45577-2024")</f>
        <v/>
      </c>
      <c r="W72">
        <f>HYPERLINK("https://klasma.github.io/Logging_2061/kartor/A 45577-2024 karta.png", "A 45577-2024")</f>
        <v/>
      </c>
      <c r="Y72">
        <f>HYPERLINK("https://klasma.github.io/Logging_2061/klagomål/A 45577-2024 FSC-klagomål.docx", "A 45577-2024")</f>
        <v/>
      </c>
      <c r="Z72">
        <f>HYPERLINK("https://klasma.github.io/Logging_2061/klagomålsmail/A 45577-2024 FSC-klagomål mail.docx", "A 45577-2024")</f>
        <v/>
      </c>
      <c r="AA72">
        <f>HYPERLINK("https://klasma.github.io/Logging_2061/tillsyn/A 45577-2024 tillsynsbegäran.docx", "A 45577-2024")</f>
        <v/>
      </c>
      <c r="AB72">
        <f>HYPERLINK("https://klasma.github.io/Logging_2061/tillsynsmail/A 45577-2024 tillsynsbegäran mail.docx", "A 45577-2024")</f>
        <v/>
      </c>
      <c r="AC72">
        <f>HYPERLINK("https://klasma.github.io/Logging_2061/fåglar/A 45577-2024 prioriterade fågelarter.docx", "A 45577-2024")</f>
        <v/>
      </c>
    </row>
    <row r="73" ht="15" customHeight="1">
      <c r="A73" t="inlineStr">
        <is>
          <t>A 23370-2026</t>
        </is>
      </c>
      <c r="B73" t="inlineStr">
        <is>
          <t>avverkningsanmälan</t>
        </is>
      </c>
      <c r="C73" t="inlineStr">
        <is>
          <t>Föryngringsavverkning</t>
        </is>
      </c>
      <c r="D73" s="1" t="n">
        <v>46162</v>
      </c>
      <c r="E73" s="1" t="n">
        <v>46220</v>
      </c>
      <c r="F73" t="inlineStr">
        <is>
          <t>DALARNAS LÄN</t>
        </is>
      </c>
      <c r="G73" t="inlineStr">
        <is>
          <t>SMEDJEBACKEN</t>
        </is>
      </c>
      <c r="H73" t="inlineStr">
        <is>
          <t>Sveaskog</t>
        </is>
      </c>
      <c r="I73" t="n">
        <v>2.3</v>
      </c>
      <c r="J73" t="n">
        <v>1</v>
      </c>
      <c r="K73" t="n">
        <v>0</v>
      </c>
      <c r="L73" t="n">
        <v>0</v>
      </c>
      <c r="M73" t="n">
        <v>0</v>
      </c>
      <c r="N73" t="n">
        <v>1</v>
      </c>
      <c r="O73" t="n">
        <v>0</v>
      </c>
      <c r="P73" t="n">
        <v>0</v>
      </c>
      <c r="Q73" t="n">
        <v>1</v>
      </c>
      <c r="R73" t="n">
        <v>1</v>
      </c>
      <c r="S73" t="n">
        <v>1</v>
      </c>
      <c r="T73" t="n">
        <v>1</v>
      </c>
      <c r="U73" s="2" t="inlineStr">
        <is>
          <t>Pärluggla</t>
        </is>
      </c>
      <c r="V73">
        <f>HYPERLINK("https://klasma.github.io/Logging_2061/artfynd/A 23370-2026 artfynd.xlsx", "A 23370-2026")</f>
        <v/>
      </c>
      <c r="W73">
        <f>HYPERLINK("https://klasma.github.io/Logging_2061/kartor/A 23370-2026 karta.png", "A 23370-2026")</f>
        <v/>
      </c>
      <c r="Y73">
        <f>HYPERLINK("https://klasma.github.io/Logging_2061/klagomål/A 23370-2026 FSC-klagomål.docx", "A 23370-2026")</f>
        <v/>
      </c>
      <c r="Z73">
        <f>HYPERLINK("https://klasma.github.io/Logging_2061/klagomålsmail/A 23370-2026 FSC-klagomål mail.docx", "A 23370-2026")</f>
        <v/>
      </c>
      <c r="AA73">
        <f>HYPERLINK("https://klasma.github.io/Logging_2061/tillsyn/A 23370-2026 tillsynsbegäran.docx", "A 23370-2026")</f>
        <v/>
      </c>
      <c r="AB73">
        <f>HYPERLINK("https://klasma.github.io/Logging_2061/tillsynsmail/A 23370-2026 tillsynsbegäran mail.docx", "A 23370-2026")</f>
        <v/>
      </c>
      <c r="AC73">
        <f>HYPERLINK("https://klasma.github.io/Logging_2061/fåglar/A 23370-2026 prioriterade fågelarter.docx", "A 23370-2026")</f>
        <v/>
      </c>
    </row>
    <row r="74" ht="15" customHeight="1">
      <c r="A74" t="inlineStr">
        <is>
          <t>A 32954-2024</t>
        </is>
      </c>
      <c r="B74" t="inlineStr">
        <is>
          <t>avverkningsanmälan</t>
        </is>
      </c>
      <c r="C74" t="inlineStr">
        <is>
          <t>Föryngringsavverkning</t>
        </is>
      </c>
      <c r="D74" s="1" t="n">
        <v>45517</v>
      </c>
      <c r="E74" s="1" t="n">
        <v>46220</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s="2" t="inlineStr">
        <is>
          <t>Fläcknycklar</t>
        </is>
      </c>
      <c r="V74">
        <f>HYPERLINK("https://klasma.github.io/Logging_2061/artfynd/A 32954-2024 artfynd.xlsx", "A 32954-2024")</f>
        <v/>
      </c>
      <c r="W74">
        <f>HYPERLINK("https://klasma.github.io/Logging_2061/kartor/A 32954-2024 karta.png", "A 32954-2024")</f>
        <v/>
      </c>
      <c r="Y74">
        <f>HYPERLINK("https://klasma.github.io/Logging_2061/klagomål/A 32954-2024 FSC-klagomål.docx", "A 32954-2024")</f>
        <v/>
      </c>
      <c r="Z74">
        <f>HYPERLINK("https://klasma.github.io/Logging_2061/klagomålsmail/A 32954-2024 FSC-klagomål mail.docx", "A 32954-2024")</f>
        <v/>
      </c>
      <c r="AA74">
        <f>HYPERLINK("https://klasma.github.io/Logging_2061/tillsyn/A 32954-2024 tillsynsbegäran.docx", "A 32954-2024")</f>
        <v/>
      </c>
      <c r="AB74">
        <f>HYPERLINK("https://klasma.github.io/Logging_2061/tillsynsmail/A 32954-2024 tillsynsbegäran mail.docx", "A 32954-2024")</f>
        <v/>
      </c>
    </row>
    <row r="75" ht="15" customHeight="1">
      <c r="A75" t="inlineStr">
        <is>
          <t>A 11145-2025</t>
        </is>
      </c>
      <c r="B75" t="inlineStr">
        <is>
          <t>avverkningsanmälan</t>
        </is>
      </c>
      <c r="C75" t="inlineStr">
        <is>
          <t>Föryngringsavverkning</t>
        </is>
      </c>
      <c r="D75" s="1" t="n">
        <v>45723</v>
      </c>
      <c r="E75" s="1" t="n">
        <v>46220</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s="2" t="inlineStr">
        <is>
          <t>Kopparödla</t>
        </is>
      </c>
      <c r="V75">
        <f>HYPERLINK("https://klasma.github.io/Logging_2061/artfynd/A 11145-2025 artfynd.xlsx", "A 11145-2025")</f>
        <v/>
      </c>
      <c r="W75">
        <f>HYPERLINK("https://klasma.github.io/Logging_2061/kartor/A 11145-2025 karta.png", "A 11145-2025")</f>
        <v/>
      </c>
      <c r="Y75">
        <f>HYPERLINK("https://klasma.github.io/Logging_2061/klagomål/A 11145-2025 FSC-klagomål.docx", "A 11145-2025")</f>
        <v/>
      </c>
      <c r="Z75">
        <f>HYPERLINK("https://klasma.github.io/Logging_2061/klagomålsmail/A 11145-2025 FSC-klagomål mail.docx", "A 11145-2025")</f>
        <v/>
      </c>
      <c r="AA75">
        <f>HYPERLINK("https://klasma.github.io/Logging_2061/tillsyn/A 11145-2025 tillsynsbegäran.docx", "A 11145-2025")</f>
        <v/>
      </c>
      <c r="AB75">
        <f>HYPERLINK("https://klasma.github.io/Logging_2061/tillsynsmail/A 11145-2025 tillsynsbegäran mail.docx", "A 11145-2025")</f>
        <v/>
      </c>
    </row>
    <row r="76" ht="15" customHeight="1">
      <c r="A76" t="inlineStr">
        <is>
          <t>A 34942-2024</t>
        </is>
      </c>
      <c r="B76" t="inlineStr">
        <is>
          <t>avverkningsanmälan</t>
        </is>
      </c>
      <c r="C76" t="inlineStr">
        <is>
          <t>Föryngringsavverkning</t>
        </is>
      </c>
      <c r="D76" s="1" t="n">
        <v>45527</v>
      </c>
      <c r="E76" s="1" t="n">
        <v>46220</v>
      </c>
      <c r="F76" t="inlineStr">
        <is>
          <t>DALARNAS LÄN</t>
        </is>
      </c>
      <c r="G76" t="inlineStr">
        <is>
          <t>SMEDJEBACKEN</t>
        </is>
      </c>
      <c r="I76" t="n">
        <v>11</v>
      </c>
      <c r="J76" t="n">
        <v>0</v>
      </c>
      <c r="K76" t="n">
        <v>0</v>
      </c>
      <c r="L76" t="n">
        <v>1</v>
      </c>
      <c r="M76" t="n">
        <v>0</v>
      </c>
      <c r="N76" t="n">
        <v>0</v>
      </c>
      <c r="O76" t="n">
        <v>0</v>
      </c>
      <c r="P76" t="n">
        <v>0</v>
      </c>
      <c r="Q76" t="n">
        <v>1</v>
      </c>
      <c r="R76" t="n">
        <v>0</v>
      </c>
      <c r="S76" t="n">
        <v>1</v>
      </c>
      <c r="T76" t="n">
        <v>1</v>
      </c>
      <c r="U76" s="2" t="inlineStr">
        <is>
          <t>Skogsklocka</t>
        </is>
      </c>
      <c r="V76">
        <f>HYPERLINK("https://klasma.github.io/Logging_2061/artfynd/A 34942-2024 artfynd.xlsx", "A 34942-2024")</f>
        <v/>
      </c>
      <c r="W76">
        <f>HYPERLINK("https://klasma.github.io/Logging_2061/kartor/A 34942-2024 karta.png", "A 34942-2024")</f>
        <v/>
      </c>
      <c r="Y76">
        <f>HYPERLINK("https://klasma.github.io/Logging_2061/klagomål/A 34942-2024 FSC-klagomål.docx", "A 34942-2024")</f>
        <v/>
      </c>
      <c r="Z76">
        <f>HYPERLINK("https://klasma.github.io/Logging_2061/klagomålsmail/A 34942-2024 FSC-klagomål mail.docx", "A 34942-2024")</f>
        <v/>
      </c>
      <c r="AA76">
        <f>HYPERLINK("https://klasma.github.io/Logging_2061/tillsyn/A 34942-2024 tillsynsbegäran.docx", "A 34942-2024")</f>
        <v/>
      </c>
      <c r="AB76">
        <f>HYPERLINK("https://klasma.github.io/Logging_2061/tillsynsmail/A 34942-2024 tillsynsbegäran mail.docx", "A 34942-2024")</f>
        <v/>
      </c>
    </row>
    <row r="77" ht="15" customHeight="1">
      <c r="A77" t="inlineStr">
        <is>
          <t>A 22462-2025</t>
        </is>
      </c>
      <c r="B77" t="inlineStr">
        <is>
          <t>avverkningsanmälan</t>
        </is>
      </c>
      <c r="C77" t="inlineStr">
        <is>
          <t>Föryngringsavverkning</t>
        </is>
      </c>
      <c r="D77" s="1" t="n">
        <v>45786</v>
      </c>
      <c r="E77" s="1" t="n">
        <v>46220</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s="2" t="inlineStr">
        <is>
          <t>Garnlav</t>
        </is>
      </c>
      <c r="V77">
        <f>HYPERLINK("https://klasma.github.io/Logging_2061/artfynd/A 22462-2025 artfynd.xlsx", "A 22462-2025")</f>
        <v/>
      </c>
      <c r="W77">
        <f>HYPERLINK("https://klasma.github.io/Logging_2061/kartor/A 22462-2025 karta.png", "A 22462-2025")</f>
        <v/>
      </c>
      <c r="Y77">
        <f>HYPERLINK("https://klasma.github.io/Logging_2061/klagomål/A 22462-2025 FSC-klagomål.docx", "A 22462-2025")</f>
        <v/>
      </c>
      <c r="Z77">
        <f>HYPERLINK("https://klasma.github.io/Logging_2061/klagomålsmail/A 22462-2025 FSC-klagomål mail.docx", "A 22462-2025")</f>
        <v/>
      </c>
      <c r="AA77">
        <f>HYPERLINK("https://klasma.github.io/Logging_2061/tillsyn/A 22462-2025 tillsynsbegäran.docx", "A 22462-2025")</f>
        <v/>
      </c>
      <c r="AB77">
        <f>HYPERLINK("https://klasma.github.io/Logging_2061/tillsynsmail/A 22462-2025 tillsynsbegäran mail.docx", "A 22462-2025")</f>
        <v/>
      </c>
    </row>
    <row r="78" ht="15" customHeight="1">
      <c r="A78" t="inlineStr">
        <is>
          <t>A 32934-2024</t>
        </is>
      </c>
      <c r="B78" t="inlineStr">
        <is>
          <t>avverkningsanmälan</t>
        </is>
      </c>
      <c r="C78" t="inlineStr">
        <is>
          <t>Föryngringsavverkning</t>
        </is>
      </c>
      <c r="D78" s="1" t="n">
        <v>45517</v>
      </c>
      <c r="E78" s="1" t="n">
        <v>46220</v>
      </c>
      <c r="F78" t="inlineStr">
        <is>
          <t>DALARNAS LÄN</t>
        </is>
      </c>
      <c r="G78" t="inlineStr">
        <is>
          <t>SMEDJEBACKEN</t>
        </is>
      </c>
      <c r="H78" t="inlineStr">
        <is>
          <t>Sveaskog</t>
        </is>
      </c>
      <c r="I78" t="n">
        <v>4.8</v>
      </c>
      <c r="J78" t="n">
        <v>1</v>
      </c>
      <c r="K78" t="n">
        <v>0</v>
      </c>
      <c r="L78" t="n">
        <v>1</v>
      </c>
      <c r="M78" t="n">
        <v>0</v>
      </c>
      <c r="N78" t="n">
        <v>0</v>
      </c>
      <c r="O78" t="n">
        <v>0</v>
      </c>
      <c r="P78" t="n">
        <v>0</v>
      </c>
      <c r="Q78" t="n">
        <v>1</v>
      </c>
      <c r="R78" t="n">
        <v>0</v>
      </c>
      <c r="S78" t="n">
        <v>1</v>
      </c>
      <c r="T78" t="n">
        <v>1</v>
      </c>
      <c r="U78" s="2" t="inlineStr">
        <is>
          <t>Talltita</t>
        </is>
      </c>
      <c r="V78">
        <f>HYPERLINK("https://klasma.github.io/Logging_2061/artfynd/A 32934-2024 artfynd.xlsx", "A 32934-2024")</f>
        <v/>
      </c>
      <c r="W78">
        <f>HYPERLINK("https://klasma.github.io/Logging_2061/kartor/A 32934-2024 karta.png", "A 32934-2024")</f>
        <v/>
      </c>
      <c r="Y78">
        <f>HYPERLINK("https://klasma.github.io/Logging_2061/klagomål/A 32934-2024 FSC-klagomål.docx", "A 32934-2024")</f>
        <v/>
      </c>
      <c r="Z78">
        <f>HYPERLINK("https://klasma.github.io/Logging_2061/klagomålsmail/A 32934-2024 FSC-klagomål mail.docx", "A 32934-2024")</f>
        <v/>
      </c>
      <c r="AA78">
        <f>HYPERLINK("https://klasma.github.io/Logging_2061/tillsyn/A 32934-2024 tillsynsbegäran.docx", "A 32934-2024")</f>
        <v/>
      </c>
      <c r="AB78">
        <f>HYPERLINK("https://klasma.github.io/Logging_2061/tillsynsmail/A 32934-2024 tillsynsbegäran mail.docx", "A 32934-2024")</f>
        <v/>
      </c>
      <c r="AC78">
        <f>HYPERLINK("https://klasma.github.io/Logging_2061/fåglar/A 32934-2024 prioriterade fågelarter.docx", "A 32934-2024")</f>
        <v/>
      </c>
    </row>
    <row r="79" ht="15" customHeight="1">
      <c r="A79" t="inlineStr">
        <is>
          <t>A 22459-2025</t>
        </is>
      </c>
      <c r="B79" t="inlineStr">
        <is>
          <t>avverkningsanmälan</t>
        </is>
      </c>
      <c r="C79" t="inlineStr">
        <is>
          <t>Föryngringsavverkning</t>
        </is>
      </c>
      <c r="D79" s="1" t="n">
        <v>45786</v>
      </c>
      <c r="E79" s="1" t="n">
        <v>46220</v>
      </c>
      <c r="F79" t="inlineStr">
        <is>
          <t>DALARNAS LÄN</t>
        </is>
      </c>
      <c r="G79" t="inlineStr">
        <is>
          <t>SMEDJEBACKEN</t>
        </is>
      </c>
      <c r="H79" t="inlineStr">
        <is>
          <t>Sveaskog</t>
        </is>
      </c>
      <c r="I79" t="n">
        <v>8.800000000000001</v>
      </c>
      <c r="J79" t="n">
        <v>0</v>
      </c>
      <c r="K79" t="n">
        <v>0</v>
      </c>
      <c r="L79" t="n">
        <v>0</v>
      </c>
      <c r="M79" t="n">
        <v>1</v>
      </c>
      <c r="N79" t="n">
        <v>0</v>
      </c>
      <c r="O79" t="n">
        <v>0</v>
      </c>
      <c r="P79" t="n">
        <v>0</v>
      </c>
      <c r="Q79" t="n">
        <v>1</v>
      </c>
      <c r="R79" t="n">
        <v>1</v>
      </c>
      <c r="S79" t="n">
        <v>1</v>
      </c>
      <c r="T79" t="n">
        <v>1</v>
      </c>
      <c r="U79" s="2" t="inlineStr">
        <is>
          <t>Garnlav</t>
        </is>
      </c>
      <c r="V79">
        <f>HYPERLINK("https://klasma.github.io/Logging_2061/artfynd/A 22459-2025 artfynd.xlsx", "A 22459-2025")</f>
        <v/>
      </c>
      <c r="W79">
        <f>HYPERLINK("https://klasma.github.io/Logging_2061/kartor/A 22459-2025 karta.png", "A 22459-2025")</f>
        <v/>
      </c>
      <c r="Y79">
        <f>HYPERLINK("https://klasma.github.io/Logging_2061/klagomål/A 22459-2025 FSC-klagomål.docx", "A 22459-2025")</f>
        <v/>
      </c>
      <c r="Z79">
        <f>HYPERLINK("https://klasma.github.io/Logging_2061/klagomålsmail/A 22459-2025 FSC-klagomål mail.docx", "A 22459-2025")</f>
        <v/>
      </c>
      <c r="AA79">
        <f>HYPERLINK("https://klasma.github.io/Logging_2061/tillsyn/A 22459-2025 tillsynsbegäran.docx", "A 22459-2025")</f>
        <v/>
      </c>
      <c r="AB79">
        <f>HYPERLINK("https://klasma.github.io/Logging_2061/tillsynsmail/A 22459-2025 tillsynsbegäran mail.docx", "A 22459-2025")</f>
        <v/>
      </c>
    </row>
    <row r="80" ht="15" customHeight="1">
      <c r="A80" t="inlineStr">
        <is>
          <t>A 39536-2021</t>
        </is>
      </c>
      <c r="B80" t="inlineStr">
        <is>
          <t>avverkningsanmälan</t>
        </is>
      </c>
      <c r="C80" t="inlineStr">
        <is>
          <t>Föryngringsavverkning</t>
        </is>
      </c>
      <c r="D80" s="1" t="n">
        <v>44415</v>
      </c>
      <c r="E80" s="1" t="n">
        <v>46220</v>
      </c>
      <c r="F80" t="inlineStr">
        <is>
          <t>DALARNAS LÄN</t>
        </is>
      </c>
      <c r="G80" t="inlineStr">
        <is>
          <t>SMEDJEBACKEN</t>
        </is>
      </c>
      <c r="I80" t="n">
        <v>5.1</v>
      </c>
      <c r="J80" t="n">
        <v>1</v>
      </c>
      <c r="K80" t="n">
        <v>0</v>
      </c>
      <c r="L80" t="n">
        <v>0</v>
      </c>
      <c r="M80" t="n">
        <v>0</v>
      </c>
      <c r="N80" t="n">
        <v>0</v>
      </c>
      <c r="O80" t="n">
        <v>0</v>
      </c>
      <c r="P80" t="n">
        <v>0</v>
      </c>
      <c r="Q80" t="n">
        <v>0</v>
      </c>
      <c r="R80" t="n">
        <v>0</v>
      </c>
      <c r="S80" t="n">
        <v>1</v>
      </c>
      <c r="T80" t="n">
        <v>1</v>
      </c>
      <c r="U80" s="2" t="inlineStr">
        <is>
          <t>Fläcknycklar</t>
        </is>
      </c>
      <c r="V80">
        <f>HYPERLINK("https://klasma.github.io/Logging_2061/artfynd/A 39536-2021 artfynd.xlsx", "A 39536-2021")</f>
        <v/>
      </c>
      <c r="W80">
        <f>HYPERLINK("https://klasma.github.io/Logging_2061/kartor/A 39536-2021 karta.png", "A 39536-2021")</f>
        <v/>
      </c>
      <c r="Y80">
        <f>HYPERLINK("https://klasma.github.io/Logging_2061/klagomål/A 39536-2021 FSC-klagomål.docx", "A 39536-2021")</f>
        <v/>
      </c>
      <c r="Z80">
        <f>HYPERLINK("https://klasma.github.io/Logging_2061/klagomålsmail/A 39536-2021 FSC-klagomål mail.docx", "A 39536-2021")</f>
        <v/>
      </c>
      <c r="AA80">
        <f>HYPERLINK("https://klasma.github.io/Logging_2061/tillsyn/A 39536-2021 tillsynsbegäran.docx", "A 39536-2021")</f>
        <v/>
      </c>
      <c r="AB80">
        <f>HYPERLINK("https://klasma.github.io/Logging_2061/tillsynsmail/A 39536-2021 tillsynsbegäran mail.docx", "A 39536-2021")</f>
        <v/>
      </c>
    </row>
    <row r="81" ht="15" customHeight="1">
      <c r="A81" t="inlineStr">
        <is>
          <t>A 23547-2025</t>
        </is>
      </c>
      <c r="B81" t="inlineStr">
        <is>
          <t>avverkningsanmälan</t>
        </is>
      </c>
      <c r="C81" t="inlineStr">
        <is>
          <t>Föryngringsavverkning</t>
        </is>
      </c>
      <c r="D81" s="1" t="n">
        <v>45792</v>
      </c>
      <c r="E81" s="1" t="n">
        <v>46220</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s="2" t="inlineStr">
        <is>
          <t>Tibast</t>
        </is>
      </c>
      <c r="V81">
        <f>HYPERLINK("https://klasma.github.io/Logging_2061/artfynd/A 23547-2025 artfynd.xlsx", "A 23547-2025")</f>
        <v/>
      </c>
      <c r="W81">
        <f>HYPERLINK("https://klasma.github.io/Logging_2061/kartor/A 23547-2025 karta.png", "A 23547-2025")</f>
        <v/>
      </c>
      <c r="Y81">
        <f>HYPERLINK("https://klasma.github.io/Logging_2061/klagomål/A 23547-2025 FSC-klagomål.docx", "A 23547-2025")</f>
        <v/>
      </c>
      <c r="Z81">
        <f>HYPERLINK("https://klasma.github.io/Logging_2061/klagomålsmail/A 23547-2025 FSC-klagomål mail.docx", "A 23547-2025")</f>
        <v/>
      </c>
      <c r="AA81">
        <f>HYPERLINK("https://klasma.github.io/Logging_2061/tillsyn/A 23547-2025 tillsynsbegäran.docx", "A 23547-2025")</f>
        <v/>
      </c>
      <c r="AB81">
        <f>HYPERLINK("https://klasma.github.io/Logging_2061/tillsynsmail/A 23547-2025 tillsynsbegäran mail.docx", "A 23547-2025")</f>
        <v/>
      </c>
    </row>
    <row r="82" ht="15" customHeight="1">
      <c r="A82" t="inlineStr">
        <is>
          <t>S 5113-2024</t>
        </is>
      </c>
      <c r="B82" t="inlineStr">
        <is>
          <t>samrådsanmälan</t>
        </is>
      </c>
      <c r="C82" t="inlineStr">
        <is>
          <t>Skogsgödsling</t>
        </is>
      </c>
      <c r="D82" s="1" t="n">
        <v>45642</v>
      </c>
      <c r="E82" s="1" t="n">
        <v>46220</v>
      </c>
      <c r="F82" t="inlineStr">
        <is>
          <t>DALARNAS LÄN</t>
        </is>
      </c>
      <c r="G82" t="inlineStr">
        <is>
          <t>SMEDJEBACKEN</t>
        </is>
      </c>
      <c r="H82" t="inlineStr">
        <is>
          <t>Sveaskog</t>
        </is>
      </c>
      <c r="I82" t="n">
        <v>627.5</v>
      </c>
      <c r="J82" t="n">
        <v>0</v>
      </c>
      <c r="K82" t="n">
        <v>1</v>
      </c>
      <c r="L82" t="n">
        <v>0</v>
      </c>
      <c r="M82" t="n">
        <v>0</v>
      </c>
      <c r="N82" t="n">
        <v>0</v>
      </c>
      <c r="O82" t="n">
        <v>0</v>
      </c>
      <c r="P82" t="n">
        <v>0</v>
      </c>
      <c r="Q82" t="n">
        <v>0</v>
      </c>
      <c r="R82" t="n">
        <v>0</v>
      </c>
      <c r="S82" t="n">
        <v>1</v>
      </c>
      <c r="T82" t="n">
        <v>1</v>
      </c>
      <c r="U82" s="2" t="inlineStr">
        <is>
          <t>Brandticka</t>
        </is>
      </c>
      <c r="V82">
        <f>HYPERLINK("https://klasma.github.io/Logging_2061/artfynd/S 5113-2024 artfynd.xlsx", "S 5113-2024")</f>
        <v/>
      </c>
      <c r="W82">
        <f>HYPERLINK("https://klasma.github.io/Logging_2061/kartor/S 5113-2024 karta.png", "S 5113-2024")</f>
        <v/>
      </c>
      <c r="Y82">
        <f>HYPERLINK("https://klasma.github.io/Logging_2061/klagomål/S 5113-2024 FSC-klagomål.docx", "S 5113-2024")</f>
        <v/>
      </c>
      <c r="Z82">
        <f>HYPERLINK("https://klasma.github.io/Logging_2061/klagomålsmail/S 5113-2024 FSC-klagomål mail.docx", "S 5113-2024")</f>
        <v/>
      </c>
      <c r="AA82">
        <f>HYPERLINK("https://klasma.github.io/Logging_2061/tillsyn/S 5113-2024 tillsynsbegäran.docx", "S 5113-2024")</f>
        <v/>
      </c>
      <c r="AB82">
        <f>HYPERLINK("https://klasma.github.io/Logging_2061/tillsynsmail/S 5113-2024 tillsynsbegäran mail.docx", "S 5113-2024")</f>
        <v/>
      </c>
    </row>
    <row r="83" ht="15" customHeight="1">
      <c r="A83" t="inlineStr">
        <is>
          <t>S 4205-2023</t>
        </is>
      </c>
      <c r="B83" t="inlineStr">
        <is>
          <t>samrådsanmälan</t>
        </is>
      </c>
      <c r="C83" t="inlineStr">
        <is>
          <t>Annan skogsbruksåtgärd</t>
        </is>
      </c>
      <c r="D83" s="1" t="n">
        <v>45251</v>
      </c>
      <c r="E83" s="1" t="n">
        <v>46220</v>
      </c>
      <c r="F83" t="inlineStr">
        <is>
          <t>DALARNAS LÄN</t>
        </is>
      </c>
      <c r="G83" t="inlineStr">
        <is>
          <t>SMEDJEBACKEN</t>
        </is>
      </c>
      <c r="H83" t="inlineStr">
        <is>
          <t>Bergvik skog väst AB</t>
        </is>
      </c>
      <c r="I83" t="n">
        <v>1</v>
      </c>
      <c r="J83" t="n">
        <v>0</v>
      </c>
      <c r="K83" t="n">
        <v>0</v>
      </c>
      <c r="L83" t="n">
        <v>1</v>
      </c>
      <c r="M83" t="n">
        <v>0</v>
      </c>
      <c r="N83" t="n">
        <v>0</v>
      </c>
      <c r="O83" t="n">
        <v>0</v>
      </c>
      <c r="P83" t="n">
        <v>0</v>
      </c>
      <c r="Q83" t="n">
        <v>1</v>
      </c>
      <c r="R83" t="n">
        <v>0</v>
      </c>
      <c r="S83" t="n">
        <v>1</v>
      </c>
      <c r="T83" t="n">
        <v>1</v>
      </c>
      <c r="U83" s="2" t="inlineStr">
        <is>
          <t>Skogshare</t>
        </is>
      </c>
      <c r="V83">
        <f>HYPERLINK("https://klasma.github.io/Logging_2061/artfynd/S 4205-2023 artfynd.xlsx", "S 4205-2023")</f>
        <v/>
      </c>
      <c r="W83">
        <f>HYPERLINK("https://klasma.github.io/Logging_2061/kartor/S 4205-2023 karta.png", "S 4205-2023")</f>
        <v/>
      </c>
      <c r="Y83">
        <f>HYPERLINK("https://klasma.github.io/Logging_2061/klagomål/S 4205-2023 FSC-klagomål.docx", "S 4205-2023")</f>
        <v/>
      </c>
      <c r="Z83">
        <f>HYPERLINK("https://klasma.github.io/Logging_2061/klagomålsmail/S 4205-2023 FSC-klagomål mail.docx", "S 4205-2023")</f>
        <v/>
      </c>
      <c r="AA83">
        <f>HYPERLINK("https://klasma.github.io/Logging_2061/tillsyn/S 4205-2023 tillsynsbegäran.docx", "S 4205-2023")</f>
        <v/>
      </c>
      <c r="AB83">
        <f>HYPERLINK("https://klasma.github.io/Logging_2061/tillsynsmail/S 4205-2023 tillsynsbegäran mail.docx", "S 4205-2023")</f>
        <v/>
      </c>
    </row>
    <row r="84" ht="15" customHeight="1">
      <c r="A84" t="inlineStr">
        <is>
          <t>S 408-2022</t>
        </is>
      </c>
      <c r="B84" t="inlineStr">
        <is>
          <t>samrådsanmälan</t>
        </is>
      </c>
      <c r="C84" t="inlineStr">
        <is>
          <t>Skogsgödsling</t>
        </is>
      </c>
      <c r="D84" s="1" t="n">
        <v>44585</v>
      </c>
      <c r="E84" s="1" t="n">
        <v>46220</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s="2" t="inlineStr">
        <is>
          <t>Kungsörn</t>
        </is>
      </c>
      <c r="V84">
        <f>HYPERLINK("https://klasma.github.io/Logging_2061/artfynd/S 408-2022 artfynd.xlsx", "S 408-2022")</f>
        <v/>
      </c>
      <c r="W84">
        <f>HYPERLINK("https://klasma.github.io/Logging_2061/kartor/S 408-2022 karta.png", "S 408-2022")</f>
        <v/>
      </c>
      <c r="Y84">
        <f>HYPERLINK("https://klasma.github.io/Logging_2061/klagomål/S 408-2022 FSC-klagomål.docx", "S 408-2022")</f>
        <v/>
      </c>
      <c r="Z84">
        <f>HYPERLINK("https://klasma.github.io/Logging_2061/klagomålsmail/S 408-2022 FSC-klagomål mail.docx", "S 408-2022")</f>
        <v/>
      </c>
      <c r="AA84">
        <f>HYPERLINK("https://klasma.github.io/Logging_2061/tillsyn/S 408-2022 tillsynsbegäran.docx", "S 408-2022")</f>
        <v/>
      </c>
      <c r="AB84">
        <f>HYPERLINK("https://klasma.github.io/Logging_2061/tillsynsmail/S 408-2022 tillsynsbegäran mail.docx", "S 408-2022")</f>
        <v/>
      </c>
      <c r="AC84">
        <f>HYPERLINK("https://klasma.github.io/Logging_2061/fåglar/S 408-2022 prioriterade fågelarter.docx", "S 408-2022")</f>
        <v/>
      </c>
    </row>
    <row r="85" ht="15" customHeight="1">
      <c r="A85" t="inlineStr">
        <is>
          <t>S 15-2026</t>
        </is>
      </c>
      <c r="B85" t="inlineStr">
        <is>
          <t>samrådsanmälan</t>
        </is>
      </c>
      <c r="C85" t="inlineStr">
        <is>
          <t>Annan skogsbruksåtgärd</t>
        </is>
      </c>
      <c r="D85" s="1" t="n">
        <v>46029</v>
      </c>
      <c r="E85" s="1" t="n">
        <v>46220</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Y85">
        <f>HYPERLINK("https://klasma.github.io/Logging_2061/klagomål/S 15-2026 FSC-klagomål.docx", "S 15-2026")</f>
        <v/>
      </c>
      <c r="Z85">
        <f>HYPERLINK("https://klasma.github.io/Logging_2061/klagomålsmail/S 15-2026 FSC-klagomål mail.docx", "S 15-2026")</f>
        <v/>
      </c>
      <c r="AA85">
        <f>HYPERLINK("https://klasma.github.io/Logging_2061/tillsyn/S 15-2026 tillsynsbegäran.docx", "S 15-2026")</f>
        <v/>
      </c>
      <c r="AB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46220</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46220</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46220</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46220</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46220</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46220</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46220</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46220</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46220</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46220</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19019-2022</t>
        </is>
      </c>
      <c r="B96" t="inlineStr">
        <is>
          <t>avverkningsanmälan</t>
        </is>
      </c>
      <c r="C96" t="inlineStr">
        <is>
          <t>Föryngringsavverkning</t>
        </is>
      </c>
      <c r="D96" s="1" t="n">
        <v>44691</v>
      </c>
      <c r="E96" s="1" t="n">
        <v>46220</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s="2" t="inlineStr"/>
    </row>
    <row r="97" ht="15" customHeight="1">
      <c r="A97" t="inlineStr">
        <is>
          <t>A 51731-2021</t>
        </is>
      </c>
      <c r="B97" t="inlineStr">
        <is>
          <t>avverkningsanmälan</t>
        </is>
      </c>
      <c r="C97" t="inlineStr">
        <is>
          <t>Avverkning för att bevara och utveckla /försöksver</t>
        </is>
      </c>
      <c r="D97" s="1" t="n">
        <v>44462</v>
      </c>
      <c r="E97" s="1" t="n">
        <v>46220</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46220</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46220</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46220</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46220</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46220</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46220</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46220</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46220</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53210-2022</t>
        </is>
      </c>
      <c r="B106" t="inlineStr">
        <is>
          <t>avverkningsanmälan</t>
        </is>
      </c>
      <c r="C106" t="inlineStr">
        <is>
          <t>Föryngringsavverkning</t>
        </is>
      </c>
      <c r="D106" s="1" t="n">
        <v>44876</v>
      </c>
      <c r="E106" s="1" t="n">
        <v>46220</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38797-2021</t>
        </is>
      </c>
      <c r="B107" t="inlineStr">
        <is>
          <t>avverkningsanmälan</t>
        </is>
      </c>
      <c r="C107" t="inlineStr">
        <is>
          <t>Föryngringsavverkning</t>
        </is>
      </c>
      <c r="D107" s="1" t="n">
        <v>44410</v>
      </c>
      <c r="E107" s="1" t="n">
        <v>46220</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38800-2021</t>
        </is>
      </c>
      <c r="B108" t="inlineStr">
        <is>
          <t>avverkningsanmälan</t>
        </is>
      </c>
      <c r="C108" t="inlineStr">
        <is>
          <t>Föryngringsavverkning</t>
        </is>
      </c>
      <c r="D108" s="1" t="n">
        <v>44410</v>
      </c>
      <c r="E108" s="1" t="n">
        <v>46220</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46220</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46220</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46220</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46220</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46220</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46220</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46220</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46220</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43137-2021</t>
        </is>
      </c>
      <c r="B117" t="inlineStr">
        <is>
          <t>avverkningsanmälan</t>
        </is>
      </c>
      <c r="C117" t="inlineStr">
        <is>
          <t>Föryngringsavverkning</t>
        </is>
      </c>
      <c r="D117" s="1" t="n">
        <v>44431</v>
      </c>
      <c r="E117" s="1" t="n">
        <v>46220</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70780-2021</t>
        </is>
      </c>
      <c r="B118" t="inlineStr">
        <is>
          <t>avverkningsanmälan</t>
        </is>
      </c>
      <c r="C118" t="inlineStr">
        <is>
          <t>Föryngringsavverkning</t>
        </is>
      </c>
      <c r="D118" s="1" t="n">
        <v>44537</v>
      </c>
      <c r="E118" s="1" t="n">
        <v>46220</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46220</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46220</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46220</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46220</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46220</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46220</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46220</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63693-2021</t>
        </is>
      </c>
      <c r="B126" t="inlineStr">
        <is>
          <t>avverkningsanmälan</t>
        </is>
      </c>
      <c r="C126" t="inlineStr">
        <is>
          <t>Föryngringsavverkning</t>
        </is>
      </c>
      <c r="D126" s="1" t="n">
        <v>44509</v>
      </c>
      <c r="E126" s="1" t="n">
        <v>46220</v>
      </c>
      <c r="F126" t="inlineStr">
        <is>
          <t>DALARNAS LÄN</t>
        </is>
      </c>
      <c r="G126" t="inlineStr">
        <is>
          <t>SMEDJEBACKEN</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14868-2022</t>
        </is>
      </c>
      <c r="B127" t="inlineStr">
        <is>
          <t>avverkningsanmälan</t>
        </is>
      </c>
      <c r="C127" t="inlineStr">
        <is>
          <t>Föryngringsavverkning</t>
        </is>
      </c>
      <c r="D127" s="1" t="n">
        <v>44656</v>
      </c>
      <c r="E127" s="1" t="n">
        <v>46220</v>
      </c>
      <c r="F127" t="inlineStr">
        <is>
          <t>DALARNAS LÄN</t>
        </is>
      </c>
      <c r="G127" t="inlineStr">
        <is>
          <t>SMEDJEBACKEN</t>
        </is>
      </c>
      <c r="H127" t="inlineStr">
        <is>
          <t>Bergvik skog väst AB</t>
        </is>
      </c>
      <c r="I127" t="n">
        <v>2.3</v>
      </c>
      <c r="J127" t="n">
        <v>0</v>
      </c>
      <c r="K127" t="n">
        <v>0</v>
      </c>
      <c r="L127" t="n">
        <v>0</v>
      </c>
      <c r="M127" t="n">
        <v>0</v>
      </c>
      <c r="N127" t="n">
        <v>0</v>
      </c>
      <c r="O127" t="n">
        <v>0</v>
      </c>
      <c r="P127" t="n">
        <v>0</v>
      </c>
      <c r="Q127" t="n">
        <v>0</v>
      </c>
      <c r="R127" t="n">
        <v>0</v>
      </c>
      <c r="S127" t="n">
        <v>0</v>
      </c>
      <c r="T127" t="n">
        <v>0</v>
      </c>
      <c r="U127" s="2" t="inlineStr"/>
    </row>
    <row r="128" ht="15" customHeight="1">
      <c r="A128" t="inlineStr">
        <is>
          <t>A 67977-2021</t>
        </is>
      </c>
      <c r="B128" t="inlineStr">
        <is>
          <t>avverkningsanmälan</t>
        </is>
      </c>
      <c r="C128" t="inlineStr">
        <is>
          <t>Föryngringsavverkning</t>
        </is>
      </c>
      <c r="D128" s="1" t="n">
        <v>44525</v>
      </c>
      <c r="E128" s="1" t="n">
        <v>46220</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26005-2022</t>
        </is>
      </c>
      <c r="B129" t="inlineStr">
        <is>
          <t>avverkningsanmälan</t>
        </is>
      </c>
      <c r="C129" t="inlineStr">
        <is>
          <t>Avverkning för att bevara och utveckla /försöksver</t>
        </is>
      </c>
      <c r="D129" s="1" t="n">
        <v>44734</v>
      </c>
      <c r="E129" s="1" t="n">
        <v>46220</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46220</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46220</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46220</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46220</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46220</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46220</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46220</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46220</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46220</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46220</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46220</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46220</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46220</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37851-2021</t>
        </is>
      </c>
      <c r="B143" t="inlineStr">
        <is>
          <t>avverkningsanmälan</t>
        </is>
      </c>
      <c r="C143" t="inlineStr">
        <is>
          <t>Föryngringsavverkning</t>
        </is>
      </c>
      <c r="D143" s="1" t="n">
        <v>44403</v>
      </c>
      <c r="E143" s="1" t="n">
        <v>46220</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60927-2021</t>
        </is>
      </c>
      <c r="B144" t="inlineStr">
        <is>
          <t>avverkningsanmälan</t>
        </is>
      </c>
      <c r="C144" t="inlineStr">
        <is>
          <t>Föryngringsavverkning</t>
        </is>
      </c>
      <c r="D144" s="1" t="n">
        <v>44496</v>
      </c>
      <c r="E144" s="1" t="n">
        <v>46220</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49275-2022</t>
        </is>
      </c>
      <c r="B145" t="inlineStr">
        <is>
          <t>avverkningsanmälan</t>
        </is>
      </c>
      <c r="C145" t="inlineStr">
        <is>
          <t>Avverkning för annat ändamål</t>
        </is>
      </c>
      <c r="D145" s="1" t="n">
        <v>44861</v>
      </c>
      <c r="E145" s="1" t="n">
        <v>46220</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37881-2022</t>
        </is>
      </c>
      <c r="B146" t="inlineStr">
        <is>
          <t>avverkningsanmälan</t>
        </is>
      </c>
      <c r="C146" t="inlineStr">
        <is>
          <t>Föryngringsavverkning</t>
        </is>
      </c>
      <c r="D146" s="1" t="n">
        <v>44811</v>
      </c>
      <c r="E146" s="1" t="n">
        <v>46220</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53290-2022</t>
        </is>
      </c>
      <c r="B147" t="inlineStr">
        <is>
          <t>avverkningsanmälan</t>
        </is>
      </c>
      <c r="C147" t="inlineStr">
        <is>
          <t>Föryngringsavverkning</t>
        </is>
      </c>
      <c r="D147" s="1" t="n">
        <v>44876</v>
      </c>
      <c r="E147" s="1" t="n">
        <v>46220</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72384-2021</t>
        </is>
      </c>
      <c r="B148" t="inlineStr">
        <is>
          <t>avverkningsanmälan</t>
        </is>
      </c>
      <c r="C148" t="inlineStr">
        <is>
          <t>Föryngringsavverkning</t>
        </is>
      </c>
      <c r="D148" s="1" t="n">
        <v>44545</v>
      </c>
      <c r="E148" s="1" t="n">
        <v>46220</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53583-2021</t>
        </is>
      </c>
      <c r="B149" t="inlineStr">
        <is>
          <t>avverkningsanmälan</t>
        </is>
      </c>
      <c r="C149" t="inlineStr">
        <is>
          <t>Föryngringsavverkning</t>
        </is>
      </c>
      <c r="D149" s="1" t="n">
        <v>44469</v>
      </c>
      <c r="E149" s="1" t="n">
        <v>46220</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1700-2022</t>
        </is>
      </c>
      <c r="B150" t="inlineStr">
        <is>
          <t>avverkningsanmälan</t>
        </is>
      </c>
      <c r="C150" t="inlineStr">
        <is>
          <t>Föryngringsavverkning</t>
        </is>
      </c>
      <c r="D150" s="1" t="n">
        <v>44574</v>
      </c>
      <c r="E150" s="1" t="n">
        <v>46220</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44141-2021</t>
        </is>
      </c>
      <c r="B151" t="inlineStr">
        <is>
          <t>avverkningsanmälan</t>
        </is>
      </c>
      <c r="C151" t="inlineStr">
        <is>
          <t>Föryngringsavverkning</t>
        </is>
      </c>
      <c r="D151" s="1" t="n">
        <v>44434</v>
      </c>
      <c r="E151" s="1" t="n">
        <v>46220</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31143-2022</t>
        </is>
      </c>
      <c r="B152" t="inlineStr">
        <is>
          <t>avverkningsanmälan</t>
        </is>
      </c>
      <c r="C152" t="inlineStr">
        <is>
          <t>Föryngringsavverkning</t>
        </is>
      </c>
      <c r="D152" s="1" t="n">
        <v>44770</v>
      </c>
      <c r="E152" s="1" t="n">
        <v>46220</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33256-2022</t>
        </is>
      </c>
      <c r="B153" t="inlineStr">
        <is>
          <t>avverkningsanmälan</t>
        </is>
      </c>
      <c r="C153" t="inlineStr">
        <is>
          <t>Föryngringsavverkning</t>
        </is>
      </c>
      <c r="D153" s="1" t="n">
        <v>44787</v>
      </c>
      <c r="E153" s="1" t="n">
        <v>46220</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33257-2022</t>
        </is>
      </c>
      <c r="B154" t="inlineStr">
        <is>
          <t>avverkningsanmälan</t>
        </is>
      </c>
      <c r="C154" t="inlineStr">
        <is>
          <t>Föryngringsavverkning</t>
        </is>
      </c>
      <c r="D154" s="1" t="n">
        <v>44787</v>
      </c>
      <c r="E154" s="1" t="n">
        <v>46220</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s="2" t="inlineStr"/>
    </row>
    <row r="155" ht="15" customHeight="1">
      <c r="A155" t="inlineStr">
        <is>
          <t>A 69512-2021</t>
        </is>
      </c>
      <c r="B155" t="inlineStr">
        <is>
          <t>avverkningsanmälan</t>
        </is>
      </c>
      <c r="C155" t="inlineStr">
        <is>
          <t>Föryngringsavverkning</t>
        </is>
      </c>
      <c r="D155" s="1" t="n">
        <v>44531</v>
      </c>
      <c r="E155" s="1" t="n">
        <v>46220</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2836-2022</t>
        </is>
      </c>
      <c r="B156" t="inlineStr">
        <is>
          <t>avverkningsanmälan</t>
        </is>
      </c>
      <c r="C156" t="inlineStr">
        <is>
          <t>Föryngringsavverkning</t>
        </is>
      </c>
      <c r="D156" s="1" t="n">
        <v>44581</v>
      </c>
      <c r="E156" s="1" t="n">
        <v>46220</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34216-2022</t>
        </is>
      </c>
      <c r="B157" t="inlineStr">
        <is>
          <t>avverkningsanmälan</t>
        </is>
      </c>
      <c r="C157" t="inlineStr">
        <is>
          <t>Föryngringsavverkning</t>
        </is>
      </c>
      <c r="D157" s="1" t="n">
        <v>44791</v>
      </c>
      <c r="E157" s="1" t="n">
        <v>46220</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42496-2022</t>
        </is>
      </c>
      <c r="B158" t="inlineStr">
        <is>
          <t>avverkningsanmälan</t>
        </is>
      </c>
      <c r="C158" t="inlineStr">
        <is>
          <t>Avverkning för att bevara och utveckla /försöksver</t>
        </is>
      </c>
      <c r="D158" s="1" t="n">
        <v>44831</v>
      </c>
      <c r="E158" s="1" t="n">
        <v>46220</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19411-2024</t>
        </is>
      </c>
      <c r="B159" t="inlineStr">
        <is>
          <t>avverkningsanmälan</t>
        </is>
      </c>
      <c r="C159" t="inlineStr">
        <is>
          <t>Avverkning för att bevara och utveckla /försöksver</t>
        </is>
      </c>
      <c r="D159" s="1" t="n">
        <v>45429</v>
      </c>
      <c r="E159" s="1" t="n">
        <v>46220</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26430-2024</t>
        </is>
      </c>
      <c r="B160" t="inlineStr">
        <is>
          <t>avverkningsanmälan</t>
        </is>
      </c>
      <c r="C160" t="inlineStr">
        <is>
          <t>Föryngringsavverkning</t>
        </is>
      </c>
      <c r="D160" s="1" t="n">
        <v>45469</v>
      </c>
      <c r="E160" s="1" t="n">
        <v>46220</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25125-2024</t>
        </is>
      </c>
      <c r="B161" t="inlineStr">
        <is>
          <t>avverkningsanmälan</t>
        </is>
      </c>
      <c r="C161" t="inlineStr">
        <is>
          <t>Föryngringsavverkning</t>
        </is>
      </c>
      <c r="D161" s="1" t="n">
        <v>45462</v>
      </c>
      <c r="E161" s="1" t="n">
        <v>46220</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53273-2022</t>
        </is>
      </c>
      <c r="B162" t="inlineStr">
        <is>
          <t>avverkningsanmälan</t>
        </is>
      </c>
      <c r="C162" t="inlineStr">
        <is>
          <t>Föryngringsavverkning</t>
        </is>
      </c>
      <c r="D162" s="1" t="n">
        <v>44876</v>
      </c>
      <c r="E162" s="1" t="n">
        <v>46220</v>
      </c>
      <c r="F162" t="inlineStr">
        <is>
          <t>DALARNAS LÄN</t>
        </is>
      </c>
      <c r="G162" t="inlineStr">
        <is>
          <t>SMEDJEBACKEN</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47839-2022</t>
        </is>
      </c>
      <c r="B163" t="inlineStr">
        <is>
          <t>avverkningsanmälan</t>
        </is>
      </c>
      <c r="C163" t="inlineStr">
        <is>
          <t>Föryngringsavverkning</t>
        </is>
      </c>
      <c r="D163" s="1" t="n">
        <v>44855</v>
      </c>
      <c r="E163" s="1" t="n">
        <v>46220</v>
      </c>
      <c r="F163" t="inlineStr">
        <is>
          <t>DALARNAS LÄN</t>
        </is>
      </c>
      <c r="G163" t="inlineStr">
        <is>
          <t>SMEDJEBACKEN</t>
        </is>
      </c>
      <c r="H163" t="inlineStr">
        <is>
          <t>Sveaskog</t>
        </is>
      </c>
      <c r="I163" t="n">
        <v>6.1</v>
      </c>
      <c r="J163" t="n">
        <v>0</v>
      </c>
      <c r="K163" t="n">
        <v>0</v>
      </c>
      <c r="L163" t="n">
        <v>0</v>
      </c>
      <c r="M163" t="n">
        <v>0</v>
      </c>
      <c r="N163" t="n">
        <v>0</v>
      </c>
      <c r="O163" t="n">
        <v>0</v>
      </c>
      <c r="P163" t="n">
        <v>0</v>
      </c>
      <c r="Q163" t="n">
        <v>0</v>
      </c>
      <c r="R163" t="n">
        <v>0</v>
      </c>
      <c r="S163" t="n">
        <v>0</v>
      </c>
      <c r="T163" t="n">
        <v>0</v>
      </c>
      <c r="U163" s="2" t="inlineStr"/>
    </row>
    <row r="164" ht="15" customHeight="1">
      <c r="A164" t="inlineStr">
        <is>
          <t>A 22984-2022</t>
        </is>
      </c>
      <c r="B164" t="inlineStr">
        <is>
          <t>avverkningsanmälan</t>
        </is>
      </c>
      <c r="C164" t="inlineStr">
        <is>
          <t>Föryngringsavverkning</t>
        </is>
      </c>
      <c r="D164" s="1" t="n">
        <v>44718</v>
      </c>
      <c r="E164" s="1" t="n">
        <v>46220</v>
      </c>
      <c r="F164" t="inlineStr">
        <is>
          <t>DALARNAS LÄN</t>
        </is>
      </c>
      <c r="G164" t="inlineStr">
        <is>
          <t>SMEDJEBACKEN</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35008-2024</t>
        </is>
      </c>
      <c r="B165" t="inlineStr">
        <is>
          <t>avverkningsanmälan</t>
        </is>
      </c>
      <c r="C165" t="inlineStr">
        <is>
          <t>Föryngringsavverkning</t>
        </is>
      </c>
      <c r="D165" s="1" t="n">
        <v>45527</v>
      </c>
      <c r="E165" s="1" t="n">
        <v>46220</v>
      </c>
      <c r="F165" t="inlineStr">
        <is>
          <t>DALARNAS LÄN</t>
        </is>
      </c>
      <c r="G165" t="inlineStr">
        <is>
          <t>SMEDJEBACKEN</t>
        </is>
      </c>
      <c r="H165" t="inlineStr">
        <is>
          <t>Bergvik skog väst AB</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53718-2022</t>
        </is>
      </c>
      <c r="B166" t="inlineStr">
        <is>
          <t>avverkningsanmälan</t>
        </is>
      </c>
      <c r="C166" t="inlineStr">
        <is>
          <t>Föryngringsavverkning</t>
        </is>
      </c>
      <c r="D166" s="1" t="n">
        <v>44880</v>
      </c>
      <c r="E166" s="1" t="n">
        <v>46220</v>
      </c>
      <c r="F166" t="inlineStr">
        <is>
          <t>DALARNAS LÄN</t>
        </is>
      </c>
      <c r="G166" t="inlineStr">
        <is>
          <t>SMEDJEBACKEN</t>
        </is>
      </c>
      <c r="H166" t="inlineStr">
        <is>
          <t>Sveaskog</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29820-2023</t>
        </is>
      </c>
      <c r="B167" t="inlineStr">
        <is>
          <t>avverkningsanmälan</t>
        </is>
      </c>
      <c r="C167" t="inlineStr">
        <is>
          <t>Föryngringsavverkning</t>
        </is>
      </c>
      <c r="D167" s="1" t="n">
        <v>45107</v>
      </c>
      <c r="E167" s="1" t="n">
        <v>46220</v>
      </c>
      <c r="F167" t="inlineStr">
        <is>
          <t>DALARNAS LÄN</t>
        </is>
      </c>
      <c r="G167" t="inlineStr">
        <is>
          <t>SMEDJEBACKEN</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48214-2023</t>
        </is>
      </c>
      <c r="B168" t="inlineStr">
        <is>
          <t>avverkningsanmälan</t>
        </is>
      </c>
      <c r="C168" t="inlineStr">
        <is>
          <t>Föryngringsavverkning</t>
        </is>
      </c>
      <c r="D168" s="1" t="n">
        <v>45205</v>
      </c>
      <c r="E168" s="1" t="n">
        <v>46220</v>
      </c>
      <c r="F168" t="inlineStr">
        <is>
          <t>DALARNAS LÄN</t>
        </is>
      </c>
      <c r="G168" t="inlineStr">
        <is>
          <t>SMEDJEBACKEN</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65249-2021</t>
        </is>
      </c>
      <c r="B169" t="inlineStr">
        <is>
          <t>avverkningsanmälan</t>
        </is>
      </c>
      <c r="C169" t="inlineStr">
        <is>
          <t>Föryngringsavverkning</t>
        </is>
      </c>
      <c r="D169" s="1" t="n">
        <v>44515</v>
      </c>
      <c r="E169" s="1" t="n">
        <v>46220</v>
      </c>
      <c r="F169" t="inlineStr">
        <is>
          <t>DALARNAS LÄN</t>
        </is>
      </c>
      <c r="G169" t="inlineStr">
        <is>
          <t>SMEDJEBACKEN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51164-2023</t>
        </is>
      </c>
      <c r="B170" t="inlineStr">
        <is>
          <t>avverkningsanmälan</t>
        </is>
      </c>
      <c r="C170" t="inlineStr">
        <is>
          <t>Föryngringsavverkning</t>
        </is>
      </c>
      <c r="D170" s="1" t="n">
        <v>45219</v>
      </c>
      <c r="E170" s="1" t="n">
        <v>46220</v>
      </c>
      <c r="F170" t="inlineStr">
        <is>
          <t>DALARNAS LÄN</t>
        </is>
      </c>
      <c r="G170" t="inlineStr">
        <is>
          <t>SMEDJEBACKEN</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17908-2022</t>
        </is>
      </c>
      <c r="B171" t="inlineStr">
        <is>
          <t>avverkningsanmälan</t>
        </is>
      </c>
      <c r="C171" t="inlineStr">
        <is>
          <t>Föryngringsavverkning</t>
        </is>
      </c>
      <c r="D171" s="1" t="n">
        <v>44683</v>
      </c>
      <c r="E171" s="1" t="n">
        <v>46220</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20623-2022</t>
        </is>
      </c>
      <c r="B172" t="inlineStr">
        <is>
          <t>avverkningsanmälan</t>
        </is>
      </c>
      <c r="C172" t="inlineStr">
        <is>
          <t>Föryngringsavverkning</t>
        </is>
      </c>
      <c r="D172" s="1" t="n">
        <v>44700</v>
      </c>
      <c r="E172" s="1" t="n">
        <v>46220</v>
      </c>
      <c r="F172" t="inlineStr">
        <is>
          <t>DALARNAS LÄN</t>
        </is>
      </c>
      <c r="G172" t="inlineStr">
        <is>
          <t>SMEDJEBACKEN</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15360-2023</t>
        </is>
      </c>
      <c r="B173" t="inlineStr">
        <is>
          <t>avverkningsanmälan</t>
        </is>
      </c>
      <c r="C173" t="inlineStr">
        <is>
          <t>Föryngringsavverkning</t>
        </is>
      </c>
      <c r="D173" s="1" t="n">
        <v>45019</v>
      </c>
      <c r="E173" s="1" t="n">
        <v>46220</v>
      </c>
      <c r="F173" t="inlineStr">
        <is>
          <t>DALARNAS LÄN</t>
        </is>
      </c>
      <c r="G173" t="inlineStr">
        <is>
          <t>SMEDJEBACKEN</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39734-2021</t>
        </is>
      </c>
      <c r="B174" t="inlineStr">
        <is>
          <t>avverkningsanmälan</t>
        </is>
      </c>
      <c r="C174" t="inlineStr">
        <is>
          <t>Föryngringsavverkning</t>
        </is>
      </c>
      <c r="D174" s="1" t="n">
        <v>44414</v>
      </c>
      <c r="E174" s="1" t="n">
        <v>46220</v>
      </c>
      <c r="F174" t="inlineStr">
        <is>
          <t>DALARNAS LÄN</t>
        </is>
      </c>
      <c r="G174" t="inlineStr">
        <is>
          <t>SMEDJEBACKEN</t>
        </is>
      </c>
      <c r="I174" t="n">
        <v>4.4</v>
      </c>
      <c r="J174" t="n">
        <v>0</v>
      </c>
      <c r="K174" t="n">
        <v>0</v>
      </c>
      <c r="L174" t="n">
        <v>0</v>
      </c>
      <c r="M174" t="n">
        <v>0</v>
      </c>
      <c r="N174" t="n">
        <v>0</v>
      </c>
      <c r="O174" t="n">
        <v>0</v>
      </c>
      <c r="P174" t="n">
        <v>0</v>
      </c>
      <c r="Q174" t="n">
        <v>0</v>
      </c>
      <c r="R174" t="n">
        <v>0</v>
      </c>
      <c r="S174" t="n">
        <v>0</v>
      </c>
      <c r="T174" t="n">
        <v>0</v>
      </c>
      <c r="U174" s="2" t="inlineStr"/>
    </row>
    <row r="175" ht="15" customHeight="1">
      <c r="A175" t="inlineStr">
        <is>
          <t>A 60922-2021</t>
        </is>
      </c>
      <c r="B175" t="inlineStr">
        <is>
          <t>avverkningsanmälan</t>
        </is>
      </c>
      <c r="C175" t="inlineStr">
        <is>
          <t>Föryngringsavverkning</t>
        </is>
      </c>
      <c r="D175" s="1" t="n">
        <v>44496</v>
      </c>
      <c r="E175" s="1" t="n">
        <v>46220</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31788-2022</t>
        </is>
      </c>
      <c r="B176" t="inlineStr">
        <is>
          <t>avverkningsanmälan</t>
        </is>
      </c>
      <c r="C176" t="inlineStr">
        <is>
          <t>Föryngringsavverkning</t>
        </is>
      </c>
      <c r="D176" s="1" t="n">
        <v>44776</v>
      </c>
      <c r="E176" s="1" t="n">
        <v>46220</v>
      </c>
      <c r="F176" t="inlineStr">
        <is>
          <t>DALARNAS LÄN</t>
        </is>
      </c>
      <c r="G176" t="inlineStr">
        <is>
          <t>SMEDJEBACKEN</t>
        </is>
      </c>
      <c r="H176" t="inlineStr">
        <is>
          <t>Bergvik skog väst AB</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60814-2022</t>
        </is>
      </c>
      <c r="B177" t="inlineStr">
        <is>
          <t>avverkningsanmälan</t>
        </is>
      </c>
      <c r="C177" t="inlineStr">
        <is>
          <t>Föryngringsavverkning</t>
        </is>
      </c>
      <c r="D177" s="1" t="n">
        <v>44914</v>
      </c>
      <c r="E177" s="1" t="n">
        <v>46220</v>
      </c>
      <c r="F177" t="inlineStr">
        <is>
          <t>DALARNAS LÄN</t>
        </is>
      </c>
      <c r="G177" t="inlineStr">
        <is>
          <t>SMEDJEBACKEN</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41480-2023</t>
        </is>
      </c>
      <c r="B178" t="inlineStr">
        <is>
          <t>avverkningsanmälan</t>
        </is>
      </c>
      <c r="C178" t="inlineStr">
        <is>
          <t>Föryngringsavverkning</t>
        </is>
      </c>
      <c r="D178" s="1" t="n">
        <v>45172</v>
      </c>
      <c r="E178" s="1" t="n">
        <v>46220</v>
      </c>
      <c r="F178" t="inlineStr">
        <is>
          <t>DALARNAS LÄN</t>
        </is>
      </c>
      <c r="G178" t="inlineStr">
        <is>
          <t>SMEDJEBACKEN</t>
        </is>
      </c>
      <c r="H178" t="inlineStr">
        <is>
          <t>Bergvik skog väst AB</t>
        </is>
      </c>
      <c r="I178" t="n">
        <v>9.699999999999999</v>
      </c>
      <c r="J178" t="n">
        <v>0</v>
      </c>
      <c r="K178" t="n">
        <v>0</v>
      </c>
      <c r="L178" t="n">
        <v>0</v>
      </c>
      <c r="M178" t="n">
        <v>0</v>
      </c>
      <c r="N178" t="n">
        <v>0</v>
      </c>
      <c r="O178" t="n">
        <v>0</v>
      </c>
      <c r="P178" t="n">
        <v>0</v>
      </c>
      <c r="Q178" t="n">
        <v>0</v>
      </c>
      <c r="R178" t="n">
        <v>0</v>
      </c>
      <c r="S178" t="n">
        <v>0</v>
      </c>
      <c r="T178" t="n">
        <v>0</v>
      </c>
      <c r="U178" s="2" t="inlineStr"/>
    </row>
    <row r="179" ht="15" customHeight="1">
      <c r="A179" t="inlineStr">
        <is>
          <t>A 2275-2024</t>
        </is>
      </c>
      <c r="B179" t="inlineStr">
        <is>
          <t>avverkningsanmälan</t>
        </is>
      </c>
      <c r="C179" t="inlineStr">
        <is>
          <t>Avverkning för annat ändamål</t>
        </is>
      </c>
      <c r="D179" s="1" t="n">
        <v>45310</v>
      </c>
      <c r="E179" s="1" t="n">
        <v>46220</v>
      </c>
      <c r="F179" t="inlineStr">
        <is>
          <t>DALARNAS LÄN</t>
        </is>
      </c>
      <c r="G179" t="inlineStr">
        <is>
          <t>SMEDJEBACKEN</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31034-2024</t>
        </is>
      </c>
      <c r="B180" t="inlineStr">
        <is>
          <t>avverkningsanmälan</t>
        </is>
      </c>
      <c r="C180" t="inlineStr">
        <is>
          <t>Föryngringsavverkning</t>
        </is>
      </c>
      <c r="D180" s="1" t="n">
        <v>45501</v>
      </c>
      <c r="E180" s="1" t="n">
        <v>46220</v>
      </c>
      <c r="F180" t="inlineStr">
        <is>
          <t>DALARNAS LÄN</t>
        </is>
      </c>
      <c r="G180" t="inlineStr">
        <is>
          <t>SMEDJEBACKEN</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49139-2022</t>
        </is>
      </c>
      <c r="B181" t="inlineStr">
        <is>
          <t>avverkningsanmälan</t>
        </is>
      </c>
      <c r="C181" t="inlineStr">
        <is>
          <t>Föryngringsavverkning</t>
        </is>
      </c>
      <c r="D181" s="1" t="n">
        <v>44860</v>
      </c>
      <c r="E181" s="1" t="n">
        <v>46220</v>
      </c>
      <c r="F181" t="inlineStr">
        <is>
          <t>DALARNAS LÄN</t>
        </is>
      </c>
      <c r="G181" t="inlineStr">
        <is>
          <t>SMEDJEBACKEN</t>
        </is>
      </c>
      <c r="I181" t="n">
        <v>3.7</v>
      </c>
      <c r="J181" t="n">
        <v>0</v>
      </c>
      <c r="K181" t="n">
        <v>0</v>
      </c>
      <c r="L181" t="n">
        <v>0</v>
      </c>
      <c r="M181" t="n">
        <v>0</v>
      </c>
      <c r="N181" t="n">
        <v>0</v>
      </c>
      <c r="O181" t="n">
        <v>0</v>
      </c>
      <c r="P181" t="n">
        <v>0</v>
      </c>
      <c r="Q181" t="n">
        <v>0</v>
      </c>
      <c r="R181" t="n">
        <v>0</v>
      </c>
      <c r="S181" t="n">
        <v>0</v>
      </c>
      <c r="T181" t="n">
        <v>0</v>
      </c>
      <c r="U181" s="2" t="inlineStr"/>
    </row>
    <row r="182" ht="15" customHeight="1">
      <c r="A182" t="inlineStr">
        <is>
          <t>A 646-2022</t>
        </is>
      </c>
      <c r="B182" t="inlineStr">
        <is>
          <t>avverkningsanmälan</t>
        </is>
      </c>
      <c r="C182" t="inlineStr">
        <is>
          <t>Föryngringsavverkning</t>
        </is>
      </c>
      <c r="D182" s="1" t="n">
        <v>44568</v>
      </c>
      <c r="E182" s="1" t="n">
        <v>46220</v>
      </c>
      <c r="F182" t="inlineStr">
        <is>
          <t>DALARNAS LÄN</t>
        </is>
      </c>
      <c r="G182" t="inlineStr">
        <is>
          <t>SMEDJEBACKEN</t>
        </is>
      </c>
      <c r="I182" t="n">
        <v>2.2</v>
      </c>
      <c r="J182" t="n">
        <v>0</v>
      </c>
      <c r="K182" t="n">
        <v>0</v>
      </c>
      <c r="L182" t="n">
        <v>0</v>
      </c>
      <c r="M182" t="n">
        <v>0</v>
      </c>
      <c r="N182" t="n">
        <v>0</v>
      </c>
      <c r="O182" t="n">
        <v>0</v>
      </c>
      <c r="P182" t="n">
        <v>0</v>
      </c>
      <c r="Q182" t="n">
        <v>0</v>
      </c>
      <c r="R182" t="n">
        <v>0</v>
      </c>
      <c r="S182" t="n">
        <v>0</v>
      </c>
      <c r="T182" t="n">
        <v>0</v>
      </c>
      <c r="U182" s="2" t="inlineStr"/>
    </row>
    <row r="183" ht="15" customHeight="1">
      <c r="A183" t="inlineStr">
        <is>
          <t>A 36667-2023</t>
        </is>
      </c>
      <c r="B183" t="inlineStr">
        <is>
          <t>avverkningsanmälan</t>
        </is>
      </c>
      <c r="C183" t="inlineStr">
        <is>
          <t>Avverkning för att bevara och utveckla /försöksver</t>
        </is>
      </c>
      <c r="D183" s="1" t="n">
        <v>45153</v>
      </c>
      <c r="E183" s="1" t="n">
        <v>46220</v>
      </c>
      <c r="F183" t="inlineStr">
        <is>
          <t>DALARNAS LÄN</t>
        </is>
      </c>
      <c r="G183" t="inlineStr">
        <is>
          <t>SMEDJEBACKEN</t>
        </is>
      </c>
      <c r="H183" t="inlineStr">
        <is>
          <t>Sveaskog</t>
        </is>
      </c>
      <c r="I183" t="n">
        <v>2.9</v>
      </c>
      <c r="J183" t="n">
        <v>0</v>
      </c>
      <c r="K183" t="n">
        <v>0</v>
      </c>
      <c r="L183" t="n">
        <v>0</v>
      </c>
      <c r="M183" t="n">
        <v>0</v>
      </c>
      <c r="N183" t="n">
        <v>0</v>
      </c>
      <c r="O183" t="n">
        <v>0</v>
      </c>
      <c r="P183" t="n">
        <v>0</v>
      </c>
      <c r="Q183" t="n">
        <v>0</v>
      </c>
      <c r="R183" t="n">
        <v>0</v>
      </c>
      <c r="S183" t="n">
        <v>0</v>
      </c>
      <c r="T183" t="n">
        <v>0</v>
      </c>
      <c r="U183" s="2" t="inlineStr"/>
    </row>
    <row r="184" ht="15" customHeight="1">
      <c r="A184" t="inlineStr">
        <is>
          <t>A 53982-2024</t>
        </is>
      </c>
      <c r="B184" t="inlineStr">
        <is>
          <t>avverkningsanmälan</t>
        </is>
      </c>
      <c r="C184" t="inlineStr">
        <is>
          <t>Föryngringsavverkning</t>
        </is>
      </c>
      <c r="D184" s="1" t="n">
        <v>45615</v>
      </c>
      <c r="E184" s="1" t="n">
        <v>46220</v>
      </c>
      <c r="F184" t="inlineStr">
        <is>
          <t>DALARNAS LÄN</t>
        </is>
      </c>
      <c r="G184" t="inlineStr">
        <is>
          <t>SMEDJEBACKEN</t>
        </is>
      </c>
      <c r="H184" t="inlineStr">
        <is>
          <t>Bergvik skog väst AB</t>
        </is>
      </c>
      <c r="I184" t="n">
        <v>10</v>
      </c>
      <c r="J184" t="n">
        <v>0</v>
      </c>
      <c r="K184" t="n">
        <v>0</v>
      </c>
      <c r="L184" t="n">
        <v>0</v>
      </c>
      <c r="M184" t="n">
        <v>0</v>
      </c>
      <c r="N184" t="n">
        <v>0</v>
      </c>
      <c r="O184" t="n">
        <v>0</v>
      </c>
      <c r="P184" t="n">
        <v>0</v>
      </c>
      <c r="Q184" t="n">
        <v>0</v>
      </c>
      <c r="R184" t="n">
        <v>0</v>
      </c>
      <c r="S184" t="n">
        <v>0</v>
      </c>
      <c r="T184" t="n">
        <v>0</v>
      </c>
      <c r="U184" s="2" t="inlineStr"/>
    </row>
    <row r="185" ht="15" customHeight="1">
      <c r="A185" t="inlineStr">
        <is>
          <t>A 31206-2024</t>
        </is>
      </c>
      <c r="B185" t="inlineStr">
        <is>
          <t>avverkningsanmälan</t>
        </is>
      </c>
      <c r="C185" t="inlineStr">
        <is>
          <t>Föryngringsavverkning</t>
        </is>
      </c>
      <c r="D185" s="1" t="n">
        <v>45503</v>
      </c>
      <c r="E185" s="1" t="n">
        <v>46220</v>
      </c>
      <c r="F185" t="inlineStr">
        <is>
          <t>DALARNAS LÄN</t>
        </is>
      </c>
      <c r="G185" t="inlineStr">
        <is>
          <t>SMEDJEBACKEN</t>
        </is>
      </c>
      <c r="I185" t="n">
        <v>3.9</v>
      </c>
      <c r="J185" t="n">
        <v>0</v>
      </c>
      <c r="K185" t="n">
        <v>0</v>
      </c>
      <c r="L185" t="n">
        <v>0</v>
      </c>
      <c r="M185" t="n">
        <v>0</v>
      </c>
      <c r="N185" t="n">
        <v>0</v>
      </c>
      <c r="O185" t="n">
        <v>0</v>
      </c>
      <c r="P185" t="n">
        <v>0</v>
      </c>
      <c r="Q185" t="n">
        <v>0</v>
      </c>
      <c r="R185" t="n">
        <v>0</v>
      </c>
      <c r="S185" t="n">
        <v>0</v>
      </c>
      <c r="T185" t="n">
        <v>0</v>
      </c>
      <c r="U185" s="2" t="inlineStr"/>
    </row>
    <row r="186" ht="15" customHeight="1">
      <c r="A186" t="inlineStr">
        <is>
          <t>A 37501-2022</t>
        </is>
      </c>
      <c r="B186" t="inlineStr">
        <is>
          <t>avverkningsanmälan</t>
        </is>
      </c>
      <c r="C186" t="inlineStr">
        <is>
          <t>Föryngringsavverkning</t>
        </is>
      </c>
      <c r="D186" s="1" t="n">
        <v>44809</v>
      </c>
      <c r="E186" s="1" t="n">
        <v>46220</v>
      </c>
      <c r="F186" t="inlineStr">
        <is>
          <t>DALARNAS LÄN</t>
        </is>
      </c>
      <c r="G186" t="inlineStr">
        <is>
          <t>SMEDJEBACKEN</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57146-2022</t>
        </is>
      </c>
      <c r="B187" t="inlineStr">
        <is>
          <t>avverkningsanmälan</t>
        </is>
      </c>
      <c r="C187" t="inlineStr">
        <is>
          <t>Föryngringsavverkning</t>
        </is>
      </c>
      <c r="D187" s="1" t="n">
        <v>44895</v>
      </c>
      <c r="E187" s="1" t="n">
        <v>46220</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18096-2024</t>
        </is>
      </c>
      <c r="B188" t="inlineStr">
        <is>
          <t>avverkningsanmälan</t>
        </is>
      </c>
      <c r="C188" t="inlineStr">
        <is>
          <t>Föryngringsavverkning</t>
        </is>
      </c>
      <c r="D188" s="1" t="n">
        <v>45420</v>
      </c>
      <c r="E188" s="1" t="n">
        <v>46220</v>
      </c>
      <c r="F188" t="inlineStr">
        <is>
          <t>DALARNAS LÄN</t>
        </is>
      </c>
      <c r="G188" t="inlineStr">
        <is>
          <t>SMEDJEBACKEN</t>
        </is>
      </c>
      <c r="H188" t="inlineStr">
        <is>
          <t>Sveaskog</t>
        </is>
      </c>
      <c r="I188" t="n">
        <v>4.9</v>
      </c>
      <c r="J188" t="n">
        <v>0</v>
      </c>
      <c r="K188" t="n">
        <v>0</v>
      </c>
      <c r="L188" t="n">
        <v>0</v>
      </c>
      <c r="M188" t="n">
        <v>0</v>
      </c>
      <c r="N188" t="n">
        <v>0</v>
      </c>
      <c r="O188" t="n">
        <v>0</v>
      </c>
      <c r="P188" t="n">
        <v>0</v>
      </c>
      <c r="Q188" t="n">
        <v>0</v>
      </c>
      <c r="R188" t="n">
        <v>0</v>
      </c>
      <c r="S188" t="n">
        <v>0</v>
      </c>
      <c r="T188" t="n">
        <v>0</v>
      </c>
      <c r="U188" s="2" t="inlineStr"/>
    </row>
    <row r="189" ht="15" customHeight="1">
      <c r="A189" t="inlineStr">
        <is>
          <t>A 34923-2024</t>
        </is>
      </c>
      <c r="B189" t="inlineStr">
        <is>
          <t>avverkningsanmälan</t>
        </is>
      </c>
      <c r="C189" t="inlineStr">
        <is>
          <t>Föryngringsavverkning</t>
        </is>
      </c>
      <c r="D189" s="1" t="n">
        <v>45527</v>
      </c>
      <c r="E189" s="1" t="n">
        <v>46220</v>
      </c>
      <c r="F189" t="inlineStr">
        <is>
          <t>DALARNAS LÄN</t>
        </is>
      </c>
      <c r="G189" t="inlineStr">
        <is>
          <t>SMEDJEBACKEN</t>
        </is>
      </c>
      <c r="H189" t="inlineStr">
        <is>
          <t>Övriga Aktiebolag</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49144-2024</t>
        </is>
      </c>
      <c r="B190" t="inlineStr">
        <is>
          <t>avverkningsanmälan</t>
        </is>
      </c>
      <c r="C190" t="inlineStr">
        <is>
          <t>Föryngringsavverkning</t>
        </is>
      </c>
      <c r="D190" s="1" t="n">
        <v>45594</v>
      </c>
      <c r="E190" s="1" t="n">
        <v>46220</v>
      </c>
      <c r="F190" t="inlineStr">
        <is>
          <t>DALARNAS LÄN</t>
        </is>
      </c>
      <c r="G190" t="inlineStr">
        <is>
          <t>SMEDJEBACKEN</t>
        </is>
      </c>
      <c r="H190" t="inlineStr">
        <is>
          <t>Bergvik skog väst AB</t>
        </is>
      </c>
      <c r="I190" t="n">
        <v>16.9</v>
      </c>
      <c r="J190" t="n">
        <v>0</v>
      </c>
      <c r="K190" t="n">
        <v>0</v>
      </c>
      <c r="L190" t="n">
        <v>0</v>
      </c>
      <c r="M190" t="n">
        <v>0</v>
      </c>
      <c r="N190" t="n">
        <v>0</v>
      </c>
      <c r="O190" t="n">
        <v>0</v>
      </c>
      <c r="P190" t="n">
        <v>0</v>
      </c>
      <c r="Q190" t="n">
        <v>0</v>
      </c>
      <c r="R190" t="n">
        <v>0</v>
      </c>
      <c r="S190" t="n">
        <v>0</v>
      </c>
      <c r="T190" t="n">
        <v>0</v>
      </c>
      <c r="U190" s="2" t="inlineStr"/>
    </row>
    <row r="191" ht="15" customHeight="1">
      <c r="A191" t="inlineStr">
        <is>
          <t>A 38768-2025</t>
        </is>
      </c>
      <c r="B191" t="inlineStr">
        <is>
          <t>avverkningsanmälan</t>
        </is>
      </c>
      <c r="C191" t="inlineStr">
        <is>
          <t>Föryngringsavverkning</t>
        </is>
      </c>
      <c r="D191" s="1" t="n">
        <v>45887</v>
      </c>
      <c r="E191" s="1" t="n">
        <v>46220</v>
      </c>
      <c r="F191" t="inlineStr">
        <is>
          <t>DALARNAS LÄN</t>
        </is>
      </c>
      <c r="G191" t="inlineStr">
        <is>
          <t>SMEDJEBACKEN</t>
        </is>
      </c>
      <c r="H191" t="inlineStr">
        <is>
          <t>Sveaskog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24164-2025</t>
        </is>
      </c>
      <c r="B192" t="inlineStr">
        <is>
          <t>avverkningsanmälan</t>
        </is>
      </c>
      <c r="C192" t="inlineStr">
        <is>
          <t>Föryngringsavverkning</t>
        </is>
      </c>
      <c r="D192" s="1" t="n">
        <v>45796</v>
      </c>
      <c r="E192" s="1" t="n">
        <v>46220</v>
      </c>
      <c r="F192" t="inlineStr">
        <is>
          <t>DALARNAS LÄN</t>
        </is>
      </c>
      <c r="G192" t="inlineStr">
        <is>
          <t>SMEDJEBACKEN</t>
        </is>
      </c>
      <c r="H192" t="inlineStr">
        <is>
          <t>Övriga Aktiebolag</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40561-2021</t>
        </is>
      </c>
      <c r="B193" t="inlineStr">
        <is>
          <t>avverkningsanmälan</t>
        </is>
      </c>
      <c r="C193" t="inlineStr">
        <is>
          <t>Föryngringsavverkning</t>
        </is>
      </c>
      <c r="D193" s="1" t="n">
        <v>44420</v>
      </c>
      <c r="E193" s="1" t="n">
        <v>46220</v>
      </c>
      <c r="F193" t="inlineStr">
        <is>
          <t>DALARNAS LÄN</t>
        </is>
      </c>
      <c r="G193" t="inlineStr">
        <is>
          <t>SMEDJEBACKEN</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658-2025</t>
        </is>
      </c>
      <c r="B194" t="inlineStr">
        <is>
          <t>avverkningsanmälan</t>
        </is>
      </c>
      <c r="C194" t="inlineStr">
        <is>
          <t>Föryngringsavverkning</t>
        </is>
      </c>
      <c r="D194" s="1" t="n">
        <v>45664</v>
      </c>
      <c r="E194" s="1" t="n">
        <v>46220</v>
      </c>
      <c r="F194" t="inlineStr">
        <is>
          <t>DALARNAS LÄN</t>
        </is>
      </c>
      <c r="G194" t="inlineStr">
        <is>
          <t>SMEDJEBACKEN</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24372-2025</t>
        </is>
      </c>
      <c r="B195" t="inlineStr">
        <is>
          <t>avverkningsanmälan</t>
        </is>
      </c>
      <c r="C195" t="inlineStr">
        <is>
          <t>Föryngringsavverkning</t>
        </is>
      </c>
      <c r="D195" s="1" t="n">
        <v>45797</v>
      </c>
      <c r="E195" s="1" t="n">
        <v>46220</v>
      </c>
      <c r="F195" t="inlineStr">
        <is>
          <t>DALARNAS LÄN</t>
        </is>
      </c>
      <c r="G195" t="inlineStr">
        <is>
          <t>SMEDJEBACKEN</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63753-2025</t>
        </is>
      </c>
      <c r="B196" t="inlineStr">
        <is>
          <t>avverkningsanmälan</t>
        </is>
      </c>
      <c r="C196" t="inlineStr">
        <is>
          <t>Föryngringsavverkning</t>
        </is>
      </c>
      <c r="D196" s="1" t="n">
        <v>46017</v>
      </c>
      <c r="E196" s="1" t="n">
        <v>46220</v>
      </c>
      <c r="F196" t="inlineStr">
        <is>
          <t>DALARNAS LÄN</t>
        </is>
      </c>
      <c r="G196" t="inlineStr">
        <is>
          <t>SMEDJEBACKEN</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1505-2025</t>
        </is>
      </c>
      <c r="B197" t="inlineStr">
        <is>
          <t>avverkningsanmälan</t>
        </is>
      </c>
      <c r="C197" t="inlineStr">
        <is>
          <t>Föryngringsavverkning</t>
        </is>
      </c>
      <c r="D197" s="1" t="n">
        <v>45670</v>
      </c>
      <c r="E197" s="1" t="n">
        <v>46220</v>
      </c>
      <c r="F197" t="inlineStr">
        <is>
          <t>DALARNAS LÄN</t>
        </is>
      </c>
      <c r="G197" t="inlineStr">
        <is>
          <t>SMEDJEBACKEN</t>
        </is>
      </c>
      <c r="H197" t="inlineStr">
        <is>
          <t>Sveaskog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49447-2025</t>
        </is>
      </c>
      <c r="B198" t="inlineStr">
        <is>
          <t>avverkningsanmälan</t>
        </is>
      </c>
      <c r="C198" t="inlineStr">
        <is>
          <t>Föryngringsavverkning</t>
        </is>
      </c>
      <c r="D198" s="1" t="n">
        <v>45938</v>
      </c>
      <c r="E198" s="1" t="n">
        <v>46220</v>
      </c>
      <c r="F198" t="inlineStr">
        <is>
          <t>DALARNAS LÄN</t>
        </is>
      </c>
      <c r="G198" t="inlineStr">
        <is>
          <t>SMEDJEBACKEN</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48964-2025</t>
        </is>
      </c>
      <c r="B199" t="inlineStr">
        <is>
          <t>avverkningsanmälan</t>
        </is>
      </c>
      <c r="C199" t="inlineStr">
        <is>
          <t>Föryngringsavverkning</t>
        </is>
      </c>
      <c r="D199" s="1" t="n">
        <v>45937</v>
      </c>
      <c r="E199" s="1" t="n">
        <v>46220</v>
      </c>
      <c r="F199" t="inlineStr">
        <is>
          <t>DALARNAS LÄN</t>
        </is>
      </c>
      <c r="G199" t="inlineStr">
        <is>
          <t>SMEDJEBACKEN</t>
        </is>
      </c>
      <c r="H199" t="inlineStr">
        <is>
          <t>Sveaskog</t>
        </is>
      </c>
      <c r="I199" t="n">
        <v>3</v>
      </c>
      <c r="J199" t="n">
        <v>0</v>
      </c>
      <c r="K199" t="n">
        <v>0</v>
      </c>
      <c r="L199" t="n">
        <v>0</v>
      </c>
      <c r="M199" t="n">
        <v>0</v>
      </c>
      <c r="N199" t="n">
        <v>0</v>
      </c>
      <c r="O199" t="n">
        <v>0</v>
      </c>
      <c r="P199" t="n">
        <v>0</v>
      </c>
      <c r="Q199" t="n">
        <v>0</v>
      </c>
      <c r="R199" t="n">
        <v>0</v>
      </c>
      <c r="S199" t="n">
        <v>0</v>
      </c>
      <c r="T199" t="n">
        <v>0</v>
      </c>
      <c r="U199" s="2" t="inlineStr"/>
    </row>
    <row r="200" ht="15" customHeight="1">
      <c r="A200" t="inlineStr">
        <is>
          <t>A 24262-2024</t>
        </is>
      </c>
      <c r="B200" t="inlineStr">
        <is>
          <t>avverkningsanmälan</t>
        </is>
      </c>
      <c r="C200" t="inlineStr">
        <is>
          <t>Avverkning för att bevara och utveckla /försöksver</t>
        </is>
      </c>
      <c r="D200" s="1" t="n">
        <v>45457</v>
      </c>
      <c r="E200" s="1" t="n">
        <v>46220</v>
      </c>
      <c r="F200" t="inlineStr">
        <is>
          <t>DALARNAS LÄN</t>
        </is>
      </c>
      <c r="G200" t="inlineStr">
        <is>
          <t>SMEDJEBACKEN</t>
        </is>
      </c>
      <c r="H200" t="inlineStr">
        <is>
          <t>Sveaskog</t>
        </is>
      </c>
      <c r="I200" t="n">
        <v>6</v>
      </c>
      <c r="J200" t="n">
        <v>0</v>
      </c>
      <c r="K200" t="n">
        <v>0</v>
      </c>
      <c r="L200" t="n">
        <v>0</v>
      </c>
      <c r="M200" t="n">
        <v>0</v>
      </c>
      <c r="N200" t="n">
        <v>0</v>
      </c>
      <c r="O200" t="n">
        <v>0</v>
      </c>
      <c r="P200" t="n">
        <v>0</v>
      </c>
      <c r="Q200" t="n">
        <v>0</v>
      </c>
      <c r="R200" t="n">
        <v>0</v>
      </c>
      <c r="S200" t="n">
        <v>0</v>
      </c>
      <c r="T200" t="n">
        <v>0</v>
      </c>
      <c r="U200" s="2" t="inlineStr"/>
    </row>
    <row r="201" ht="15" customHeight="1">
      <c r="A201" t="inlineStr">
        <is>
          <t>A 60762-2022</t>
        </is>
      </c>
      <c r="B201" t="inlineStr">
        <is>
          <t>avverkningsanmälan</t>
        </is>
      </c>
      <c r="C201" t="inlineStr">
        <is>
          <t>Föryngringsavverkning</t>
        </is>
      </c>
      <c r="D201" s="1" t="n">
        <v>44914</v>
      </c>
      <c r="E201" s="1" t="n">
        <v>46220</v>
      </c>
      <c r="F201" t="inlineStr">
        <is>
          <t>DALARNAS LÄN</t>
        </is>
      </c>
      <c r="G201" t="inlineStr">
        <is>
          <t>SMEDJEBACKEN</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60764-2022</t>
        </is>
      </c>
      <c r="B202" t="inlineStr">
        <is>
          <t>avverkningsanmälan</t>
        </is>
      </c>
      <c r="C202" t="inlineStr">
        <is>
          <t>Föryngringsavverkning</t>
        </is>
      </c>
      <c r="D202" s="1" t="n">
        <v>44914</v>
      </c>
      <c r="E202" s="1" t="n">
        <v>46220</v>
      </c>
      <c r="F202" t="inlineStr">
        <is>
          <t>DALARNAS LÄN</t>
        </is>
      </c>
      <c r="G202" t="inlineStr">
        <is>
          <t>SMEDJEBACKEN</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355-2026</t>
        </is>
      </c>
      <c r="B203" t="inlineStr">
        <is>
          <t>avverkningsanmälan</t>
        </is>
      </c>
      <c r="C203" t="inlineStr">
        <is>
          <t>Föryngringsavverkning</t>
        </is>
      </c>
      <c r="D203" s="1" t="n">
        <v>46027</v>
      </c>
      <c r="E203" s="1" t="n">
        <v>46220</v>
      </c>
      <c r="F203" t="inlineStr">
        <is>
          <t>DALARNAS LÄN</t>
        </is>
      </c>
      <c r="G203" t="inlineStr">
        <is>
          <t>SMEDJEBACKEN</t>
        </is>
      </c>
      <c r="I203" t="n">
        <v>7.5</v>
      </c>
      <c r="J203" t="n">
        <v>0</v>
      </c>
      <c r="K203" t="n">
        <v>0</v>
      </c>
      <c r="L203" t="n">
        <v>0</v>
      </c>
      <c r="M203" t="n">
        <v>0</v>
      </c>
      <c r="N203" t="n">
        <v>0</v>
      </c>
      <c r="O203" t="n">
        <v>0</v>
      </c>
      <c r="P203" t="n">
        <v>0</v>
      </c>
      <c r="Q203" t="n">
        <v>0</v>
      </c>
      <c r="R203" t="n">
        <v>0</v>
      </c>
      <c r="S203" t="n">
        <v>0</v>
      </c>
      <c r="T203" t="n">
        <v>0</v>
      </c>
      <c r="U203" s="2" t="inlineStr"/>
    </row>
    <row r="204" ht="15" customHeight="1">
      <c r="A204" t="inlineStr">
        <is>
          <t>A 41569-2023</t>
        </is>
      </c>
      <c r="B204" t="inlineStr">
        <is>
          <t>avverkningsanmälan</t>
        </is>
      </c>
      <c r="C204" t="inlineStr">
        <is>
          <t>Föryngringsavverkning</t>
        </is>
      </c>
      <c r="D204" s="1" t="n">
        <v>45175</v>
      </c>
      <c r="E204" s="1" t="n">
        <v>46220</v>
      </c>
      <c r="F204" t="inlineStr">
        <is>
          <t>DALARNAS LÄN</t>
        </is>
      </c>
      <c r="G204" t="inlineStr">
        <is>
          <t>SMEDJEBACKEN</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45568-2024</t>
        </is>
      </c>
      <c r="B205" t="inlineStr">
        <is>
          <t>avverkningsanmälan</t>
        </is>
      </c>
      <c r="C205" t="inlineStr">
        <is>
          <t>Föryngringsavverkning</t>
        </is>
      </c>
      <c r="D205" s="1" t="n">
        <v>45578</v>
      </c>
      <c r="E205" s="1" t="n">
        <v>46220</v>
      </c>
      <c r="F205" t="inlineStr">
        <is>
          <t>DALARNAS LÄN</t>
        </is>
      </c>
      <c r="G205" t="inlineStr">
        <is>
          <t>SMEDJEBACKEN</t>
        </is>
      </c>
      <c r="H205" t="inlineStr">
        <is>
          <t>Bergvik skog väst AB</t>
        </is>
      </c>
      <c r="I205" t="n">
        <v>9.1</v>
      </c>
      <c r="J205" t="n">
        <v>0</v>
      </c>
      <c r="K205" t="n">
        <v>0</v>
      </c>
      <c r="L205" t="n">
        <v>0</v>
      </c>
      <c r="M205" t="n">
        <v>0</v>
      </c>
      <c r="N205" t="n">
        <v>0</v>
      </c>
      <c r="O205" t="n">
        <v>0</v>
      </c>
      <c r="P205" t="n">
        <v>0</v>
      </c>
      <c r="Q205" t="n">
        <v>0</v>
      </c>
      <c r="R205" t="n">
        <v>0</v>
      </c>
      <c r="S205" t="n">
        <v>0</v>
      </c>
      <c r="T205" t="n">
        <v>0</v>
      </c>
      <c r="U205" s="2" t="inlineStr"/>
    </row>
    <row r="206" ht="15" customHeight="1">
      <c r="A206" t="inlineStr">
        <is>
          <t>A 18386-2024</t>
        </is>
      </c>
      <c r="B206" t="inlineStr">
        <is>
          <t>avverkningsanmälan</t>
        </is>
      </c>
      <c r="C206" t="inlineStr">
        <is>
          <t>Föryngringsavverkning</t>
        </is>
      </c>
      <c r="D206" s="1" t="n">
        <v>45424</v>
      </c>
      <c r="E206" s="1" t="n">
        <v>46220</v>
      </c>
      <c r="F206" t="inlineStr">
        <is>
          <t>DALARNAS LÄN</t>
        </is>
      </c>
      <c r="G206" t="inlineStr">
        <is>
          <t>SMEDJEBACKEN</t>
        </is>
      </c>
      <c r="H206" t="inlineStr">
        <is>
          <t>Sveaskog</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38477-2025</t>
        </is>
      </c>
      <c r="B207" t="inlineStr">
        <is>
          <t>avverkningsanmälan</t>
        </is>
      </c>
      <c r="C207" t="inlineStr">
        <is>
          <t>Föryngringsavverkning</t>
        </is>
      </c>
      <c r="D207" s="1" t="n">
        <v>45884</v>
      </c>
      <c r="E207" s="1" t="n">
        <v>46220</v>
      </c>
      <c r="F207" t="inlineStr">
        <is>
          <t>DALARNAS LÄN</t>
        </is>
      </c>
      <c r="G207" t="inlineStr">
        <is>
          <t>SMEDJEBACKEN</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57260-2021</t>
        </is>
      </c>
      <c r="B208" t="inlineStr">
        <is>
          <t>avverkningsanmälan</t>
        </is>
      </c>
      <c r="C208" t="inlineStr">
        <is>
          <t>Föryngringsavverkning</t>
        </is>
      </c>
      <c r="D208" s="1" t="n">
        <v>44482</v>
      </c>
      <c r="E208" s="1" t="n">
        <v>46220</v>
      </c>
      <c r="F208" t="inlineStr">
        <is>
          <t>DALARNAS LÄN</t>
        </is>
      </c>
      <c r="G208" t="inlineStr">
        <is>
          <t>SMEDJEBACKEN</t>
        </is>
      </c>
      <c r="H208" t="inlineStr">
        <is>
          <t>Bergvik skog väst AB</t>
        </is>
      </c>
      <c r="I208" t="n">
        <v>3.1</v>
      </c>
      <c r="J208" t="n">
        <v>0</v>
      </c>
      <c r="K208" t="n">
        <v>0</v>
      </c>
      <c r="L208" t="n">
        <v>0</v>
      </c>
      <c r="M208" t="n">
        <v>0</v>
      </c>
      <c r="N208" t="n">
        <v>0</v>
      </c>
      <c r="O208" t="n">
        <v>0</v>
      </c>
      <c r="P208" t="n">
        <v>0</v>
      </c>
      <c r="Q208" t="n">
        <v>0</v>
      </c>
      <c r="R208" t="n">
        <v>0</v>
      </c>
      <c r="S208" t="n">
        <v>0</v>
      </c>
      <c r="T208" t="n">
        <v>0</v>
      </c>
      <c r="U208" s="2" t="inlineStr"/>
    </row>
    <row r="209" ht="15" customHeight="1">
      <c r="A209" t="inlineStr">
        <is>
          <t>A 57269-2021</t>
        </is>
      </c>
      <c r="B209" t="inlineStr">
        <is>
          <t>avverkningsanmälan</t>
        </is>
      </c>
      <c r="C209" t="inlineStr">
        <is>
          <t>Föryngringsavverkning</t>
        </is>
      </c>
      <c r="D209" s="1" t="n">
        <v>44482</v>
      </c>
      <c r="E209" s="1" t="n">
        <v>46220</v>
      </c>
      <c r="F209" t="inlineStr">
        <is>
          <t>DALARNAS LÄN</t>
        </is>
      </c>
      <c r="G209" t="inlineStr">
        <is>
          <t>SMEDJEBACKEN</t>
        </is>
      </c>
      <c r="H209" t="inlineStr">
        <is>
          <t>Bergvik skog väst AB</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60049-2022</t>
        </is>
      </c>
      <c r="B210" t="inlineStr">
        <is>
          <t>avverkningsanmälan</t>
        </is>
      </c>
      <c r="C210" t="inlineStr">
        <is>
          <t>Föryngringsavverkning</t>
        </is>
      </c>
      <c r="D210" s="1" t="n">
        <v>44909</v>
      </c>
      <c r="E210" s="1" t="n">
        <v>46220</v>
      </c>
      <c r="F210" t="inlineStr">
        <is>
          <t>DALARNAS LÄN</t>
        </is>
      </c>
      <c r="G210" t="inlineStr">
        <is>
          <t>SMEDJEBACKEN</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25160-2025</t>
        </is>
      </c>
      <c r="B211" t="inlineStr">
        <is>
          <t>avverkningsanmälan</t>
        </is>
      </c>
      <c r="C211" t="inlineStr">
        <is>
          <t>Föryngringsavverkning</t>
        </is>
      </c>
      <c r="D211" s="1" t="n">
        <v>45800</v>
      </c>
      <c r="E211" s="1" t="n">
        <v>46220</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48716-2022</t>
        </is>
      </c>
      <c r="B212" t="inlineStr">
        <is>
          <t>avverkningsanmälan</t>
        </is>
      </c>
      <c r="C212" t="inlineStr">
        <is>
          <t>Föryngringsavverkning</t>
        </is>
      </c>
      <c r="D212" s="1" t="n">
        <v>44859</v>
      </c>
      <c r="E212" s="1" t="n">
        <v>46220</v>
      </c>
      <c r="F212" t="inlineStr">
        <is>
          <t>DALARNAS LÄN</t>
        </is>
      </c>
      <c r="G212" t="inlineStr">
        <is>
          <t>SMEDJEBACKEN</t>
        </is>
      </c>
      <c r="H212" t="inlineStr">
        <is>
          <t>Sveaskog</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26000-2025</t>
        </is>
      </c>
      <c r="B213" t="inlineStr">
        <is>
          <t>avverkningsanmälan</t>
        </is>
      </c>
      <c r="C213" t="inlineStr">
        <is>
          <t>Föryngringsavverkning</t>
        </is>
      </c>
      <c r="D213" s="1" t="n">
        <v>45804</v>
      </c>
      <c r="E213" s="1" t="n">
        <v>46220</v>
      </c>
      <c r="F213" t="inlineStr">
        <is>
          <t>DALARNAS LÄN</t>
        </is>
      </c>
      <c r="G213" t="inlineStr">
        <is>
          <t>SMEDJEBACKEN</t>
        </is>
      </c>
      <c r="H213" t="inlineStr">
        <is>
          <t>Bergvik skog väst AB</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10401-2023</t>
        </is>
      </c>
      <c r="B214" t="inlineStr">
        <is>
          <t>avverkningsanmälan</t>
        </is>
      </c>
      <c r="C214" t="inlineStr">
        <is>
          <t>Föryngringsavverkning</t>
        </is>
      </c>
      <c r="D214" s="1" t="n">
        <v>44987</v>
      </c>
      <c r="E214" s="1" t="n">
        <v>46220</v>
      </c>
      <c r="F214" t="inlineStr">
        <is>
          <t>DALARNAS LÄN</t>
        </is>
      </c>
      <c r="G214" t="inlineStr">
        <is>
          <t>SMEDJEBACKEN</t>
        </is>
      </c>
      <c r="H214" t="inlineStr">
        <is>
          <t>Kommuner</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22367-2024</t>
        </is>
      </c>
      <c r="B215" t="inlineStr">
        <is>
          <t>avverkningsanmälan</t>
        </is>
      </c>
      <c r="C215" t="inlineStr">
        <is>
          <t>Föryngringsavverkning</t>
        </is>
      </c>
      <c r="D215" s="1" t="n">
        <v>45446</v>
      </c>
      <c r="E215" s="1" t="n">
        <v>46220</v>
      </c>
      <c r="F215" t="inlineStr">
        <is>
          <t>DALARNAS LÄN</t>
        </is>
      </c>
      <c r="G215" t="inlineStr">
        <is>
          <t>SMEDJEBACKEN</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56305-2021</t>
        </is>
      </c>
      <c r="B216" t="inlineStr">
        <is>
          <t>avverkningsanmälan</t>
        </is>
      </c>
      <c r="C216" t="inlineStr">
        <is>
          <t>Föryngringsavverkning</t>
        </is>
      </c>
      <c r="D216" s="1" t="n">
        <v>44477</v>
      </c>
      <c r="E216" s="1" t="n">
        <v>46220</v>
      </c>
      <c r="F216" t="inlineStr">
        <is>
          <t>DALARNAS LÄN</t>
        </is>
      </c>
      <c r="G216" t="inlineStr">
        <is>
          <t>SMEDJEBACKEN</t>
        </is>
      </c>
      <c r="H216" t="inlineStr">
        <is>
          <t>Bergvik skog väst AB</t>
        </is>
      </c>
      <c r="I216" t="n">
        <v>14.2</v>
      </c>
      <c r="J216" t="n">
        <v>0</v>
      </c>
      <c r="K216" t="n">
        <v>0</v>
      </c>
      <c r="L216" t="n">
        <v>0</v>
      </c>
      <c r="M216" t="n">
        <v>0</v>
      </c>
      <c r="N216" t="n">
        <v>0</v>
      </c>
      <c r="O216" t="n">
        <v>0</v>
      </c>
      <c r="P216" t="n">
        <v>0</v>
      </c>
      <c r="Q216" t="n">
        <v>0</v>
      </c>
      <c r="R216" t="n">
        <v>0</v>
      </c>
      <c r="S216" t="n">
        <v>0</v>
      </c>
      <c r="T216" t="n">
        <v>0</v>
      </c>
      <c r="U216" s="2" t="inlineStr"/>
    </row>
    <row r="217" ht="15" customHeight="1">
      <c r="A217" t="inlineStr">
        <is>
          <t>A 39800-2025</t>
        </is>
      </c>
      <c r="B217" t="inlineStr">
        <is>
          <t>avverkningsanmälan</t>
        </is>
      </c>
      <c r="C217" t="inlineStr">
        <is>
          <t>Föryngringsavverkning</t>
        </is>
      </c>
      <c r="D217" s="1" t="n">
        <v>45891</v>
      </c>
      <c r="E217" s="1" t="n">
        <v>46220</v>
      </c>
      <c r="F217" t="inlineStr">
        <is>
          <t>DALARNAS LÄN</t>
        </is>
      </c>
      <c r="G217" t="inlineStr">
        <is>
          <t>SMEDJEBACKEN</t>
        </is>
      </c>
      <c r="H217" t="inlineStr">
        <is>
          <t>Sveaskog</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39805-2025</t>
        </is>
      </c>
      <c r="B218" t="inlineStr">
        <is>
          <t>avverkningsanmälan</t>
        </is>
      </c>
      <c r="C218" t="inlineStr">
        <is>
          <t>Föryngringsavverkning</t>
        </is>
      </c>
      <c r="D218" s="1" t="n">
        <v>45891</v>
      </c>
      <c r="E218" s="1" t="n">
        <v>46220</v>
      </c>
      <c r="F218" t="inlineStr">
        <is>
          <t>DALARNAS LÄN</t>
        </is>
      </c>
      <c r="G218" t="inlineStr">
        <is>
          <t>SMEDJEBACKEN</t>
        </is>
      </c>
      <c r="H218" t="inlineStr">
        <is>
          <t>Sveaskog</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39802-2025</t>
        </is>
      </c>
      <c r="B219" t="inlineStr">
        <is>
          <t>avverkningsanmälan</t>
        </is>
      </c>
      <c r="C219" t="inlineStr">
        <is>
          <t>Avverkning för att bevara och utveckla /försöksver</t>
        </is>
      </c>
      <c r="D219" s="1" t="n">
        <v>45891</v>
      </c>
      <c r="E219" s="1" t="n">
        <v>46220</v>
      </c>
      <c r="F219" t="inlineStr">
        <is>
          <t>DALARNAS LÄN</t>
        </is>
      </c>
      <c r="G219" t="inlineStr">
        <is>
          <t>SMEDJEBACKEN</t>
        </is>
      </c>
      <c r="H219" t="inlineStr">
        <is>
          <t>Sveaskog</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39806-2025</t>
        </is>
      </c>
      <c r="B220" t="inlineStr">
        <is>
          <t>avverkningsanmälan</t>
        </is>
      </c>
      <c r="C220" t="inlineStr">
        <is>
          <t>Föryngringsavverkning</t>
        </is>
      </c>
      <c r="D220" s="1" t="n">
        <v>45891</v>
      </c>
      <c r="E220" s="1" t="n">
        <v>46220</v>
      </c>
      <c r="F220" t="inlineStr">
        <is>
          <t>DALARNAS LÄN</t>
        </is>
      </c>
      <c r="G220" t="inlineStr">
        <is>
          <t>SMEDJEBACKEN</t>
        </is>
      </c>
      <c r="H220" t="inlineStr">
        <is>
          <t>Sveaskog</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39804-2025</t>
        </is>
      </c>
      <c r="B221" t="inlineStr">
        <is>
          <t>avverkningsanmälan</t>
        </is>
      </c>
      <c r="C221" t="inlineStr">
        <is>
          <t>Föryngringsavverkning</t>
        </is>
      </c>
      <c r="D221" s="1" t="n">
        <v>45891</v>
      </c>
      <c r="E221" s="1" t="n">
        <v>46220</v>
      </c>
      <c r="F221" t="inlineStr">
        <is>
          <t>DALARNAS LÄN</t>
        </is>
      </c>
      <c r="G221" t="inlineStr">
        <is>
          <t>SMEDJEBACKEN</t>
        </is>
      </c>
      <c r="H221" t="inlineStr">
        <is>
          <t>Sveaskog</t>
        </is>
      </c>
      <c r="I221" t="n">
        <v>8.800000000000001</v>
      </c>
      <c r="J221" t="n">
        <v>0</v>
      </c>
      <c r="K221" t="n">
        <v>0</v>
      </c>
      <c r="L221" t="n">
        <v>0</v>
      </c>
      <c r="M221" t="n">
        <v>0</v>
      </c>
      <c r="N221" t="n">
        <v>0</v>
      </c>
      <c r="O221" t="n">
        <v>0</v>
      </c>
      <c r="P221" t="n">
        <v>0</v>
      </c>
      <c r="Q221" t="n">
        <v>0</v>
      </c>
      <c r="R221" t="n">
        <v>0</v>
      </c>
      <c r="S221" t="n">
        <v>0</v>
      </c>
      <c r="T221" t="n">
        <v>0</v>
      </c>
      <c r="U221" s="2" t="inlineStr"/>
    </row>
    <row r="222" ht="15" customHeight="1">
      <c r="A222" t="inlineStr">
        <is>
          <t>A 60023-2024</t>
        </is>
      </c>
      <c r="B222" t="inlineStr">
        <is>
          <t>avverkningsanmälan</t>
        </is>
      </c>
      <c r="C222" t="inlineStr">
        <is>
          <t>Föryngringsavverkning</t>
        </is>
      </c>
      <c r="D222" s="1" t="n">
        <v>45642</v>
      </c>
      <c r="E222" s="1" t="n">
        <v>46220</v>
      </c>
      <c r="F222" t="inlineStr">
        <is>
          <t>DALARNAS LÄN</t>
        </is>
      </c>
      <c r="G222" t="inlineStr">
        <is>
          <t>SMEDJEBACKEN</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61378-2023</t>
        </is>
      </c>
      <c r="B223" t="inlineStr">
        <is>
          <t>avverkningsanmälan</t>
        </is>
      </c>
      <c r="C223" t="inlineStr">
        <is>
          <t>Föryngringsavverkning</t>
        </is>
      </c>
      <c r="D223" s="1" t="n">
        <v>45264</v>
      </c>
      <c r="E223" s="1" t="n">
        <v>46220</v>
      </c>
      <c r="F223" t="inlineStr">
        <is>
          <t>DALARNAS LÄN</t>
        </is>
      </c>
      <c r="G223" t="inlineStr">
        <is>
          <t>SMEDJEBACKEN</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60683-2024</t>
        </is>
      </c>
      <c r="B224" t="inlineStr">
        <is>
          <t>avverkningsanmälan</t>
        </is>
      </c>
      <c r="C224" t="inlineStr">
        <is>
          <t>Föryngringsavverkning</t>
        </is>
      </c>
      <c r="D224" s="1" t="n">
        <v>45644</v>
      </c>
      <c r="E224" s="1" t="n">
        <v>46220</v>
      </c>
      <c r="F224" t="inlineStr">
        <is>
          <t>DALARNAS LÄN</t>
        </is>
      </c>
      <c r="G224" t="inlineStr">
        <is>
          <t>SMEDJEBACKEN</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11426-2022</t>
        </is>
      </c>
      <c r="B225" t="inlineStr">
        <is>
          <t>avverkningsanmälan</t>
        </is>
      </c>
      <c r="C225" t="inlineStr">
        <is>
          <t>Avverkning för annat ändamål</t>
        </is>
      </c>
      <c r="D225" s="1" t="n">
        <v>44630</v>
      </c>
      <c r="E225" s="1" t="n">
        <v>46220</v>
      </c>
      <c r="F225" t="inlineStr">
        <is>
          <t>DALARNAS LÄN</t>
        </is>
      </c>
      <c r="G225" t="inlineStr">
        <is>
          <t>SMEDJEBACKEN</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41479-2025</t>
        </is>
      </c>
      <c r="B226" t="inlineStr">
        <is>
          <t>avverkningsanmälan</t>
        </is>
      </c>
      <c r="C226" t="inlineStr">
        <is>
          <t>Föryngringsavverkning</t>
        </is>
      </c>
      <c r="D226" s="1" t="n">
        <v>45901</v>
      </c>
      <c r="E226" s="1" t="n">
        <v>46220</v>
      </c>
      <c r="F226" t="inlineStr">
        <is>
          <t>DALARNAS LÄN</t>
        </is>
      </c>
      <c r="G226" t="inlineStr">
        <is>
          <t>SMEDJEBACKEN</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18830-2025</t>
        </is>
      </c>
      <c r="B227" t="inlineStr">
        <is>
          <t>avverkningsanmälan</t>
        </is>
      </c>
      <c r="C227" t="inlineStr">
        <is>
          <t>Föryngringsavverkning</t>
        </is>
      </c>
      <c r="D227" s="1" t="n">
        <v>45764</v>
      </c>
      <c r="E227" s="1" t="n">
        <v>46220</v>
      </c>
      <c r="F227" t="inlineStr">
        <is>
          <t>DALARNAS LÄN</t>
        </is>
      </c>
      <c r="G227" t="inlineStr">
        <is>
          <t>SMEDJEBACKEN</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42047-2025</t>
        </is>
      </c>
      <c r="B228" t="inlineStr">
        <is>
          <t>avverkningsanmälan</t>
        </is>
      </c>
      <c r="C228" t="inlineStr">
        <is>
          <t>Föryngringsavverkning</t>
        </is>
      </c>
      <c r="D228" s="1" t="n">
        <v>45903</v>
      </c>
      <c r="E228" s="1" t="n">
        <v>46220</v>
      </c>
      <c r="F228" t="inlineStr">
        <is>
          <t>DALARNAS LÄN</t>
        </is>
      </c>
      <c r="G228" t="inlineStr">
        <is>
          <t>SMEDJEBACKEN</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6177-2025</t>
        </is>
      </c>
      <c r="B229" t="inlineStr">
        <is>
          <t>avverkningsanmälan</t>
        </is>
      </c>
      <c r="C229" t="inlineStr">
        <is>
          <t>Föryngringsavverkning</t>
        </is>
      </c>
      <c r="D229" s="1" t="n">
        <v>45698</v>
      </c>
      <c r="E229" s="1" t="n">
        <v>46220</v>
      </c>
      <c r="F229" t="inlineStr">
        <is>
          <t>DALARNAS LÄN</t>
        </is>
      </c>
      <c r="G229" t="inlineStr">
        <is>
          <t>SMEDJEBACKEN</t>
        </is>
      </c>
      <c r="I229" t="n">
        <v>3.1</v>
      </c>
      <c r="J229" t="n">
        <v>0</v>
      </c>
      <c r="K229" t="n">
        <v>0</v>
      </c>
      <c r="L229" t="n">
        <v>0</v>
      </c>
      <c r="M229" t="n">
        <v>0</v>
      </c>
      <c r="N229" t="n">
        <v>0</v>
      </c>
      <c r="O229" t="n">
        <v>0</v>
      </c>
      <c r="P229" t="n">
        <v>0</v>
      </c>
      <c r="Q229" t="n">
        <v>0</v>
      </c>
      <c r="R229" t="n">
        <v>0</v>
      </c>
      <c r="S229" t="n">
        <v>0</v>
      </c>
      <c r="T229" t="n">
        <v>0</v>
      </c>
      <c r="U229" s="2" t="inlineStr"/>
    </row>
    <row r="230" ht="15" customHeight="1">
      <c r="A230" t="inlineStr">
        <is>
          <t>A 28775-2025</t>
        </is>
      </c>
      <c r="B230" t="inlineStr">
        <is>
          <t>avverkningsanmälan</t>
        </is>
      </c>
      <c r="C230" t="inlineStr">
        <is>
          <t>Föryngringsavverkning</t>
        </is>
      </c>
      <c r="D230" s="1" t="n">
        <v>45819</v>
      </c>
      <c r="E230" s="1" t="n">
        <v>46220</v>
      </c>
      <c r="F230" t="inlineStr">
        <is>
          <t>DALARNAS LÄN</t>
        </is>
      </c>
      <c r="G230" t="inlineStr">
        <is>
          <t>SMEDJEBACKEN</t>
        </is>
      </c>
      <c r="H230" t="inlineStr">
        <is>
          <t>Bergvik skog väst AB</t>
        </is>
      </c>
      <c r="I230" t="n">
        <v>22.8</v>
      </c>
      <c r="J230" t="n">
        <v>0</v>
      </c>
      <c r="K230" t="n">
        <v>0</v>
      </c>
      <c r="L230" t="n">
        <v>0</v>
      </c>
      <c r="M230" t="n">
        <v>0</v>
      </c>
      <c r="N230" t="n">
        <v>0</v>
      </c>
      <c r="O230" t="n">
        <v>0</v>
      </c>
      <c r="P230" t="n">
        <v>0</v>
      </c>
      <c r="Q230" t="n">
        <v>0</v>
      </c>
      <c r="R230" t="n">
        <v>0</v>
      </c>
      <c r="S230" t="n">
        <v>0</v>
      </c>
      <c r="T230" t="n">
        <v>0</v>
      </c>
      <c r="U230" s="2" t="inlineStr"/>
    </row>
    <row r="231" ht="15" customHeight="1">
      <c r="A231" t="inlineStr">
        <is>
          <t>A 40943-2024</t>
        </is>
      </c>
      <c r="B231" t="inlineStr">
        <is>
          <t>avverkningsanmälan</t>
        </is>
      </c>
      <c r="C231" t="inlineStr">
        <is>
          <t>Föryngringsavverkning</t>
        </is>
      </c>
      <c r="D231" s="1" t="n">
        <v>45558</v>
      </c>
      <c r="E231" s="1" t="n">
        <v>46220</v>
      </c>
      <c r="F231" t="inlineStr">
        <is>
          <t>DALARNAS LÄN</t>
        </is>
      </c>
      <c r="G231" t="inlineStr">
        <is>
          <t>SMEDJEBACKEN</t>
        </is>
      </c>
      <c r="H231" t="inlineStr">
        <is>
          <t>Sveaskog</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13633-2023</t>
        </is>
      </c>
      <c r="B232" t="inlineStr">
        <is>
          <t>avverkningsanmälan</t>
        </is>
      </c>
      <c r="C232" t="inlineStr">
        <is>
          <t>Föryngringsavverkning</t>
        </is>
      </c>
      <c r="D232" s="1" t="n">
        <v>45006</v>
      </c>
      <c r="E232" s="1" t="n">
        <v>46220</v>
      </c>
      <c r="F232" t="inlineStr">
        <is>
          <t>DALARNAS LÄN</t>
        </is>
      </c>
      <c r="G232" t="inlineStr">
        <is>
          <t>SMEDJEBACKEN</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42663-2025</t>
        </is>
      </c>
      <c r="B233" t="inlineStr">
        <is>
          <t>avverkningsanmälan</t>
        </is>
      </c>
      <c r="C233" t="inlineStr">
        <is>
          <t>Föryngringsavverkning</t>
        </is>
      </c>
      <c r="D233" s="1" t="n">
        <v>45907</v>
      </c>
      <c r="E233" s="1" t="n">
        <v>46220</v>
      </c>
      <c r="F233" t="inlineStr">
        <is>
          <t>DALARNAS LÄN</t>
        </is>
      </c>
      <c r="G233" t="inlineStr">
        <is>
          <t>SMEDJEBACKEN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30903-2025</t>
        </is>
      </c>
      <c r="B234" t="inlineStr">
        <is>
          <t>avverkningsanmälan</t>
        </is>
      </c>
      <c r="C234" t="inlineStr">
        <is>
          <t>Föryngringsavverkning</t>
        </is>
      </c>
      <c r="D234" s="1" t="n">
        <v>45832</v>
      </c>
      <c r="E234" s="1" t="n">
        <v>46220</v>
      </c>
      <c r="F234" t="inlineStr">
        <is>
          <t>DALARNAS LÄN</t>
        </is>
      </c>
      <c r="G234" t="inlineStr">
        <is>
          <t>SMEDJEBACKEN</t>
        </is>
      </c>
      <c r="H234" t="inlineStr">
        <is>
          <t>Sveaskog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19470-2024</t>
        </is>
      </c>
      <c r="B235" t="inlineStr">
        <is>
          <t>avverkningsanmälan</t>
        </is>
      </c>
      <c r="C235" t="inlineStr">
        <is>
          <t>Föryngringsavverkning</t>
        </is>
      </c>
      <c r="D235" s="1" t="n">
        <v>45429</v>
      </c>
      <c r="E235" s="1" t="n">
        <v>46220</v>
      </c>
      <c r="F235" t="inlineStr">
        <is>
          <t>DALARNAS LÄN</t>
        </is>
      </c>
      <c r="G235" t="inlineStr">
        <is>
          <t>SMEDJEBACKEN</t>
        </is>
      </c>
      <c r="H235" t="inlineStr">
        <is>
          <t>Sveaskog</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31470-2025</t>
        </is>
      </c>
      <c r="B236" t="inlineStr">
        <is>
          <t>avverkningsanmälan</t>
        </is>
      </c>
      <c r="C236" t="inlineStr">
        <is>
          <t>Föryngringsavverkning</t>
        </is>
      </c>
      <c r="D236" s="1" t="n">
        <v>45833</v>
      </c>
      <c r="E236" s="1" t="n">
        <v>46220</v>
      </c>
      <c r="F236" t="inlineStr">
        <is>
          <t>DALARNAS LÄN</t>
        </is>
      </c>
      <c r="G236" t="inlineStr">
        <is>
          <t>SMEDJEBACKEN</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31473-2025</t>
        </is>
      </c>
      <c r="B237" t="inlineStr">
        <is>
          <t>avverkningsanmälan</t>
        </is>
      </c>
      <c r="C237" t="inlineStr">
        <is>
          <t>Föryngringsavverkning</t>
        </is>
      </c>
      <c r="D237" s="1" t="n">
        <v>45833</v>
      </c>
      <c r="E237" s="1" t="n">
        <v>46220</v>
      </c>
      <c r="F237" t="inlineStr">
        <is>
          <t>DALARNAS LÄN</t>
        </is>
      </c>
      <c r="G237" t="inlineStr">
        <is>
          <t>SMEDJEBACKEN</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45175-2025</t>
        </is>
      </c>
      <c r="B238" t="inlineStr">
        <is>
          <t>avverkningsanmälan</t>
        </is>
      </c>
      <c r="C238" t="inlineStr">
        <is>
          <t>Föryngringsavverkning</t>
        </is>
      </c>
      <c r="D238" s="1" t="n">
        <v>45919</v>
      </c>
      <c r="E238" s="1" t="n">
        <v>46220</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37046-2023</t>
        </is>
      </c>
      <c r="B239" t="inlineStr">
        <is>
          <t>avverkningsanmälan</t>
        </is>
      </c>
      <c r="C239" t="inlineStr">
        <is>
          <t>Föryngringsavverkning</t>
        </is>
      </c>
      <c r="D239" s="1" t="n">
        <v>45154</v>
      </c>
      <c r="E239" s="1" t="n">
        <v>46220</v>
      </c>
      <c r="F239" t="inlineStr">
        <is>
          <t>DALARNAS LÄN</t>
        </is>
      </c>
      <c r="G239" t="inlineStr">
        <is>
          <t>SMEDJEBACKEN</t>
        </is>
      </c>
      <c r="I239" t="n">
        <v>21.9</v>
      </c>
      <c r="J239" t="n">
        <v>0</v>
      </c>
      <c r="K239" t="n">
        <v>0</v>
      </c>
      <c r="L239" t="n">
        <v>0</v>
      </c>
      <c r="M239" t="n">
        <v>0</v>
      </c>
      <c r="N239" t="n">
        <v>0</v>
      </c>
      <c r="O239" t="n">
        <v>0</v>
      </c>
      <c r="P239" t="n">
        <v>0</v>
      </c>
      <c r="Q239" t="n">
        <v>0</v>
      </c>
      <c r="R239" t="n">
        <v>0</v>
      </c>
      <c r="S239" t="n">
        <v>0</v>
      </c>
      <c r="T239" t="n">
        <v>0</v>
      </c>
      <c r="U239" s="2" t="inlineStr"/>
    </row>
    <row r="240" ht="15" customHeight="1">
      <c r="A240" t="inlineStr">
        <is>
          <t>A 32996-2025</t>
        </is>
      </c>
      <c r="B240" t="inlineStr">
        <is>
          <t>avverkningsanmälan</t>
        </is>
      </c>
      <c r="C240" t="inlineStr">
        <is>
          <t>Föryngringsavverkning</t>
        </is>
      </c>
      <c r="D240" s="1" t="n">
        <v>45840</v>
      </c>
      <c r="E240" s="1" t="n">
        <v>46220</v>
      </c>
      <c r="F240" t="inlineStr">
        <is>
          <t>DALARNAS LÄN</t>
        </is>
      </c>
      <c r="G240" t="inlineStr">
        <is>
          <t>SMEDJEBACKEN</t>
        </is>
      </c>
      <c r="H240" t="inlineStr">
        <is>
          <t>Övriga Aktiebolag</t>
        </is>
      </c>
      <c r="I240" t="n">
        <v>3.9</v>
      </c>
      <c r="J240" t="n">
        <v>0</v>
      </c>
      <c r="K240" t="n">
        <v>0</v>
      </c>
      <c r="L240" t="n">
        <v>0</v>
      </c>
      <c r="M240" t="n">
        <v>0</v>
      </c>
      <c r="N240" t="n">
        <v>0</v>
      </c>
      <c r="O240" t="n">
        <v>0</v>
      </c>
      <c r="P240" t="n">
        <v>0</v>
      </c>
      <c r="Q240" t="n">
        <v>0</v>
      </c>
      <c r="R240" t="n">
        <v>0</v>
      </c>
      <c r="S240" t="n">
        <v>0</v>
      </c>
      <c r="T240" t="n">
        <v>0</v>
      </c>
      <c r="U240" s="2" t="inlineStr"/>
    </row>
    <row r="241" ht="15" customHeight="1">
      <c r="A241" t="inlineStr">
        <is>
          <t>A 17687-2025</t>
        </is>
      </c>
      <c r="B241" t="inlineStr">
        <is>
          <t>avverkningsanmälan</t>
        </is>
      </c>
      <c r="C241" t="inlineStr">
        <is>
          <t>Föryngringsavverkning</t>
        </is>
      </c>
      <c r="D241" s="1" t="n">
        <v>45758</v>
      </c>
      <c r="E241" s="1" t="n">
        <v>46220</v>
      </c>
      <c r="F241" t="inlineStr">
        <is>
          <t>DALARNAS LÄN</t>
        </is>
      </c>
      <c r="G241" t="inlineStr">
        <is>
          <t>SMEDJEBACKEN</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45608-2025</t>
        </is>
      </c>
      <c r="B242" t="inlineStr">
        <is>
          <t>avverkningsanmälan</t>
        </is>
      </c>
      <c r="C242" t="inlineStr">
        <is>
          <t>Föryngringsavverkning</t>
        </is>
      </c>
      <c r="D242" s="1" t="n">
        <v>45922</v>
      </c>
      <c r="E242" s="1" t="n">
        <v>46220</v>
      </c>
      <c r="F242" t="inlineStr">
        <is>
          <t>DALARNAS LÄN</t>
        </is>
      </c>
      <c r="G242" t="inlineStr">
        <is>
          <t>SMEDJEBACKEN</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33912-2025</t>
        </is>
      </c>
      <c r="B243" t="inlineStr">
        <is>
          <t>avverkningsanmälan</t>
        </is>
      </c>
      <c r="C243" t="inlineStr">
        <is>
          <t>Föryngringsavverkning</t>
        </is>
      </c>
      <c r="D243" s="1" t="n">
        <v>45842</v>
      </c>
      <c r="E243" s="1" t="n">
        <v>46220</v>
      </c>
      <c r="F243" t="inlineStr">
        <is>
          <t>DALARNAS LÄN</t>
        </is>
      </c>
      <c r="G243" t="inlineStr">
        <is>
          <t>SMEDJEBACKEN</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58234-2023</t>
        </is>
      </c>
      <c r="B244" t="inlineStr">
        <is>
          <t>avverkningsanmälan</t>
        </is>
      </c>
      <c r="C244" t="inlineStr">
        <is>
          <t>Avverkning för att bevara och utveckla /försöksver</t>
        </is>
      </c>
      <c r="D244" s="1" t="n">
        <v>45250</v>
      </c>
      <c r="E244" s="1" t="n">
        <v>46220</v>
      </c>
      <c r="F244" t="inlineStr">
        <is>
          <t>DALARNAS LÄN</t>
        </is>
      </c>
      <c r="G244" t="inlineStr">
        <is>
          <t>SMEDJEBACKEN</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48527-2023</t>
        </is>
      </c>
      <c r="B245" t="inlineStr">
        <is>
          <t>avverkningsanmälan</t>
        </is>
      </c>
      <c r="C245" t="inlineStr">
        <is>
          <t>Föryngringsavverkning</t>
        </is>
      </c>
      <c r="D245" s="1" t="n">
        <v>45208</v>
      </c>
      <c r="E245" s="1" t="n">
        <v>46220</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53139-2023</t>
        </is>
      </c>
      <c r="B246" t="inlineStr">
        <is>
          <t>avverkningsanmälan</t>
        </is>
      </c>
      <c r="C246" t="inlineStr">
        <is>
          <t>Föryngringsavverkning</t>
        </is>
      </c>
      <c r="D246" s="1" t="n">
        <v>45229</v>
      </c>
      <c r="E246" s="1" t="n">
        <v>46220</v>
      </c>
      <c r="F246" t="inlineStr">
        <is>
          <t>DALARNAS LÄN</t>
        </is>
      </c>
      <c r="G246" t="inlineStr">
        <is>
          <t>SMEDJEBACKEN</t>
        </is>
      </c>
      <c r="H246" t="inlineStr">
        <is>
          <t>Övriga Aktiebolag</t>
        </is>
      </c>
      <c r="I246" t="n">
        <v>13.8</v>
      </c>
      <c r="J246" t="n">
        <v>0</v>
      </c>
      <c r="K246" t="n">
        <v>0</v>
      </c>
      <c r="L246" t="n">
        <v>0</v>
      </c>
      <c r="M246" t="n">
        <v>0</v>
      </c>
      <c r="N246" t="n">
        <v>0</v>
      </c>
      <c r="O246" t="n">
        <v>0</v>
      </c>
      <c r="P246" t="n">
        <v>0</v>
      </c>
      <c r="Q246" t="n">
        <v>0</v>
      </c>
      <c r="R246" t="n">
        <v>0</v>
      </c>
      <c r="S246" t="n">
        <v>0</v>
      </c>
      <c r="T246" t="n">
        <v>0</v>
      </c>
      <c r="U246" s="2" t="inlineStr"/>
    </row>
    <row r="247" ht="15" customHeight="1">
      <c r="A247" t="inlineStr">
        <is>
          <t>A 34523-2025</t>
        </is>
      </c>
      <c r="B247" t="inlineStr">
        <is>
          <t>avverkningsanmälan</t>
        </is>
      </c>
      <c r="C247" t="inlineStr">
        <is>
          <t>Föryngringsavverkning</t>
        </is>
      </c>
      <c r="D247" s="1" t="n">
        <v>45846</v>
      </c>
      <c r="E247" s="1" t="n">
        <v>46220</v>
      </c>
      <c r="F247" t="inlineStr">
        <is>
          <t>DALARNAS LÄN</t>
        </is>
      </c>
      <c r="G247" t="inlineStr">
        <is>
          <t>SMEDJEBACKEN</t>
        </is>
      </c>
      <c r="H247" t="inlineStr">
        <is>
          <t>Bergvik skog väst AB</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34510-2025</t>
        </is>
      </c>
      <c r="B248" t="inlineStr">
        <is>
          <t>avverkningsanmälan</t>
        </is>
      </c>
      <c r="C248" t="inlineStr">
        <is>
          <t>Föryngringsavverkning</t>
        </is>
      </c>
      <c r="D248" s="1" t="n">
        <v>45846</v>
      </c>
      <c r="E248" s="1" t="n">
        <v>46220</v>
      </c>
      <c r="F248" t="inlineStr">
        <is>
          <t>DALARNAS LÄN</t>
        </is>
      </c>
      <c r="G248" t="inlineStr">
        <is>
          <t>SMEDJEBACKEN</t>
        </is>
      </c>
      <c r="H248" t="inlineStr">
        <is>
          <t>Bergvik skog väst AB</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46367-2025</t>
        </is>
      </c>
      <c r="B249" t="inlineStr">
        <is>
          <t>avverkningsanmälan</t>
        </is>
      </c>
      <c r="C249" t="inlineStr">
        <is>
          <t>Föryngringsavverkning</t>
        </is>
      </c>
      <c r="D249" s="1" t="n">
        <v>45925</v>
      </c>
      <c r="E249" s="1" t="n">
        <v>46220</v>
      </c>
      <c r="F249" t="inlineStr">
        <is>
          <t>DALARNAS LÄN</t>
        </is>
      </c>
      <c r="G249" t="inlineStr">
        <is>
          <t>SMEDJEBACKEN</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34511-2025</t>
        </is>
      </c>
      <c r="B250" t="inlineStr">
        <is>
          <t>avverkningsanmälan</t>
        </is>
      </c>
      <c r="C250" t="inlineStr">
        <is>
          <t>Föryngringsavverkning</t>
        </is>
      </c>
      <c r="D250" s="1" t="n">
        <v>45846</v>
      </c>
      <c r="E250" s="1" t="n">
        <v>46220</v>
      </c>
      <c r="F250" t="inlineStr">
        <is>
          <t>DALARNAS LÄN</t>
        </is>
      </c>
      <c r="G250" t="inlineStr">
        <is>
          <t>SMEDJEBACKEN</t>
        </is>
      </c>
      <c r="H250" t="inlineStr">
        <is>
          <t>Bergvik skog väst AB</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34444-2025</t>
        </is>
      </c>
      <c r="B251" t="inlineStr">
        <is>
          <t>avverkningsanmälan</t>
        </is>
      </c>
      <c r="C251" t="inlineStr">
        <is>
          <t>Föryngringsavverkning</t>
        </is>
      </c>
      <c r="D251" s="1" t="n">
        <v>45846</v>
      </c>
      <c r="E251" s="1" t="n">
        <v>46220</v>
      </c>
      <c r="F251" t="inlineStr">
        <is>
          <t>DALARNAS LÄN</t>
        </is>
      </c>
      <c r="G251" t="inlineStr">
        <is>
          <t>SMEDJEBACKEN</t>
        </is>
      </c>
      <c r="I251" t="n">
        <v>4.7</v>
      </c>
      <c r="J251" t="n">
        <v>0</v>
      </c>
      <c r="K251" t="n">
        <v>0</v>
      </c>
      <c r="L251" t="n">
        <v>0</v>
      </c>
      <c r="M251" t="n">
        <v>0</v>
      </c>
      <c r="N251" t="n">
        <v>0</v>
      </c>
      <c r="O251" t="n">
        <v>0</v>
      </c>
      <c r="P251" t="n">
        <v>0</v>
      </c>
      <c r="Q251" t="n">
        <v>0</v>
      </c>
      <c r="R251" t="n">
        <v>0</v>
      </c>
      <c r="S251" t="n">
        <v>0</v>
      </c>
      <c r="T251" t="n">
        <v>0</v>
      </c>
      <c r="U251" s="2" t="inlineStr"/>
    </row>
    <row r="252" ht="15" customHeight="1">
      <c r="A252" t="inlineStr">
        <is>
          <t>A 34711-2025</t>
        </is>
      </c>
      <c r="B252" t="inlineStr">
        <is>
          <t>avverkningsanmälan</t>
        </is>
      </c>
      <c r="C252" t="inlineStr">
        <is>
          <t>Föryngringsavverkning</t>
        </is>
      </c>
      <c r="D252" s="1" t="n">
        <v>45848</v>
      </c>
      <c r="E252" s="1" t="n">
        <v>46220</v>
      </c>
      <c r="F252" t="inlineStr">
        <is>
          <t>DALARNAS LÄN</t>
        </is>
      </c>
      <c r="G252" t="inlineStr">
        <is>
          <t>SMEDJEBACKEN</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21969-2025</t>
        </is>
      </c>
      <c r="B253" t="inlineStr">
        <is>
          <t>avverkningsanmälan</t>
        </is>
      </c>
      <c r="C253" t="inlineStr">
        <is>
          <t>Föryngringsavverkning</t>
        </is>
      </c>
      <c r="D253" s="1" t="n">
        <v>45784</v>
      </c>
      <c r="E253" s="1" t="n">
        <v>46220</v>
      </c>
      <c r="F253" t="inlineStr">
        <is>
          <t>DALARNAS LÄN</t>
        </is>
      </c>
      <c r="G253" t="inlineStr">
        <is>
          <t>SMEDJEBACKEN</t>
        </is>
      </c>
      <c r="I253" t="n">
        <v>4</v>
      </c>
      <c r="J253" t="n">
        <v>0</v>
      </c>
      <c r="K253" t="n">
        <v>0</v>
      </c>
      <c r="L253" t="n">
        <v>0</v>
      </c>
      <c r="M253" t="n">
        <v>0</v>
      </c>
      <c r="N253" t="n">
        <v>0</v>
      </c>
      <c r="O253" t="n">
        <v>0</v>
      </c>
      <c r="P253" t="n">
        <v>0</v>
      </c>
      <c r="Q253" t="n">
        <v>0</v>
      </c>
      <c r="R253" t="n">
        <v>0</v>
      </c>
      <c r="S253" t="n">
        <v>0</v>
      </c>
      <c r="T253" t="n">
        <v>0</v>
      </c>
      <c r="U253" s="2" t="inlineStr"/>
    </row>
    <row r="254" ht="15" customHeight="1">
      <c r="A254" t="inlineStr">
        <is>
          <t>A 44117-2021</t>
        </is>
      </c>
      <c r="B254" t="inlineStr">
        <is>
          <t>avverkningsanmälan</t>
        </is>
      </c>
      <c r="C254" t="inlineStr">
        <is>
          <t>Föryngringsavverkning</t>
        </is>
      </c>
      <c r="D254" s="1" t="n">
        <v>44434</v>
      </c>
      <c r="E254" s="1" t="n">
        <v>46220</v>
      </c>
      <c r="F254" t="inlineStr">
        <is>
          <t>DALARNAS LÄN</t>
        </is>
      </c>
      <c r="G254" t="inlineStr">
        <is>
          <t>SMEDJEBACKEN</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35814-2025</t>
        </is>
      </c>
      <c r="B255" t="inlineStr">
        <is>
          <t>avverkningsanmälan</t>
        </is>
      </c>
      <c r="C255" t="inlineStr">
        <is>
          <t>Föryngringsavverkning</t>
        </is>
      </c>
      <c r="D255" s="1" t="n">
        <v>45861</v>
      </c>
      <c r="E255" s="1" t="n">
        <v>46220</v>
      </c>
      <c r="F255" t="inlineStr">
        <is>
          <t>DALARNAS LÄN</t>
        </is>
      </c>
      <c r="G255" t="inlineStr">
        <is>
          <t>SMEDJEBACKEN</t>
        </is>
      </c>
      <c r="H255" t="inlineStr">
        <is>
          <t>Övriga Aktiebolag</t>
        </is>
      </c>
      <c r="I255" t="n">
        <v>16.7</v>
      </c>
      <c r="J255" t="n">
        <v>0</v>
      </c>
      <c r="K255" t="n">
        <v>0</v>
      </c>
      <c r="L255" t="n">
        <v>0</v>
      </c>
      <c r="M255" t="n">
        <v>0</v>
      </c>
      <c r="N255" t="n">
        <v>0</v>
      </c>
      <c r="O255" t="n">
        <v>0</v>
      </c>
      <c r="P255" t="n">
        <v>0</v>
      </c>
      <c r="Q255" t="n">
        <v>0</v>
      </c>
      <c r="R255" t="n">
        <v>0</v>
      </c>
      <c r="S255" t="n">
        <v>0</v>
      </c>
      <c r="T255" t="n">
        <v>0</v>
      </c>
      <c r="U255" s="2" t="inlineStr"/>
    </row>
    <row r="256" ht="15" customHeight="1">
      <c r="A256" t="inlineStr">
        <is>
          <t>A 11100-2024</t>
        </is>
      </c>
      <c r="B256" t="inlineStr">
        <is>
          <t>avverkningsanmälan</t>
        </is>
      </c>
      <c r="C256" t="inlineStr">
        <is>
          <t>Föryngringsavverkning</t>
        </is>
      </c>
      <c r="D256" s="1" t="n">
        <v>45371</v>
      </c>
      <c r="E256" s="1" t="n">
        <v>46220</v>
      </c>
      <c r="F256" t="inlineStr">
        <is>
          <t>DALARNAS LÄN</t>
        </is>
      </c>
      <c r="G256" t="inlineStr">
        <is>
          <t>SMEDJEBACKEN</t>
        </is>
      </c>
      <c r="I256" t="n">
        <v>5.7</v>
      </c>
      <c r="J256" t="n">
        <v>0</v>
      </c>
      <c r="K256" t="n">
        <v>0</v>
      </c>
      <c r="L256" t="n">
        <v>0</v>
      </c>
      <c r="M256" t="n">
        <v>0</v>
      </c>
      <c r="N256" t="n">
        <v>0</v>
      </c>
      <c r="O256" t="n">
        <v>0</v>
      </c>
      <c r="P256" t="n">
        <v>0</v>
      </c>
      <c r="Q256" t="n">
        <v>0</v>
      </c>
      <c r="R256" t="n">
        <v>0</v>
      </c>
      <c r="S256" t="n">
        <v>0</v>
      </c>
      <c r="T256" t="n">
        <v>0</v>
      </c>
      <c r="U256" s="2" t="inlineStr"/>
    </row>
    <row r="257" ht="15" customHeight="1">
      <c r="A257" t="inlineStr">
        <is>
          <t>A 47805-2025</t>
        </is>
      </c>
      <c r="B257" t="inlineStr">
        <is>
          <t>avverkningsanmälan</t>
        </is>
      </c>
      <c r="C257" t="inlineStr">
        <is>
          <t>Föryngringsavverkning</t>
        </is>
      </c>
      <c r="D257" s="1" t="n">
        <v>45931</v>
      </c>
      <c r="E257" s="1" t="n">
        <v>46220</v>
      </c>
      <c r="F257" t="inlineStr">
        <is>
          <t>DALARNAS LÄN</t>
        </is>
      </c>
      <c r="G257" t="inlineStr">
        <is>
          <t>SMEDJEBACKEN</t>
        </is>
      </c>
      <c r="I257" t="n">
        <v>4.9</v>
      </c>
      <c r="J257" t="n">
        <v>0</v>
      </c>
      <c r="K257" t="n">
        <v>0</v>
      </c>
      <c r="L257" t="n">
        <v>0</v>
      </c>
      <c r="M257" t="n">
        <v>0</v>
      </c>
      <c r="N257" t="n">
        <v>0</v>
      </c>
      <c r="O257" t="n">
        <v>0</v>
      </c>
      <c r="P257" t="n">
        <v>0</v>
      </c>
      <c r="Q257" t="n">
        <v>0</v>
      </c>
      <c r="R257" t="n">
        <v>0</v>
      </c>
      <c r="S257" t="n">
        <v>0</v>
      </c>
      <c r="T257" t="n">
        <v>0</v>
      </c>
      <c r="U257" s="2" t="inlineStr"/>
    </row>
    <row r="258" ht="15" customHeight="1">
      <c r="A258" t="inlineStr">
        <is>
          <t>A 15321-2025</t>
        </is>
      </c>
      <c r="B258" t="inlineStr">
        <is>
          <t>avverkningsanmälan</t>
        </is>
      </c>
      <c r="C258" t="inlineStr">
        <is>
          <t>Föryngringsavverkning</t>
        </is>
      </c>
      <c r="D258" s="1" t="n">
        <v>45747</v>
      </c>
      <c r="E258" s="1" t="n">
        <v>46220</v>
      </c>
      <c r="F258" t="inlineStr">
        <is>
          <t>DALARNAS LÄN</t>
        </is>
      </c>
      <c r="G258" t="inlineStr">
        <is>
          <t>SMEDJEBACKEN</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2765-2026</t>
        </is>
      </c>
      <c r="B259" t="inlineStr">
        <is>
          <t>avverkningsanmälan</t>
        </is>
      </c>
      <c r="C259" t="inlineStr">
        <is>
          <t>Föryngringsavverkning</t>
        </is>
      </c>
      <c r="D259" s="1" t="n">
        <v>46038</v>
      </c>
      <c r="E259" s="1" t="n">
        <v>46220</v>
      </c>
      <c r="F259" t="inlineStr">
        <is>
          <t>DALARNAS LÄN</t>
        </is>
      </c>
      <c r="G259" t="inlineStr">
        <is>
          <t>SMEDJEBACKEN</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36171-2025</t>
        </is>
      </c>
      <c r="B260" t="inlineStr">
        <is>
          <t>avverkningsanmälan</t>
        </is>
      </c>
      <c r="C260" t="inlineStr">
        <is>
          <t>Föryngringsavverkning</t>
        </is>
      </c>
      <c r="D260" s="1" t="n">
        <v>45867</v>
      </c>
      <c r="E260" s="1" t="n">
        <v>46220</v>
      </c>
      <c r="F260" t="inlineStr">
        <is>
          <t>DALARNAS LÄN</t>
        </is>
      </c>
      <c r="G260" t="inlineStr">
        <is>
          <t>SMEDJEBACKEN</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31809-2022</t>
        </is>
      </c>
      <c r="B261" t="inlineStr">
        <is>
          <t>avverkningsanmälan</t>
        </is>
      </c>
      <c r="C261" t="inlineStr">
        <is>
          <t>Föryngringsavverkning</t>
        </is>
      </c>
      <c r="D261" s="1" t="n">
        <v>44776</v>
      </c>
      <c r="E261" s="1" t="n">
        <v>46220</v>
      </c>
      <c r="F261" t="inlineStr">
        <is>
          <t>DALARNAS LÄN</t>
        </is>
      </c>
      <c r="G261" t="inlineStr">
        <is>
          <t>SMEDJEBACKEN</t>
        </is>
      </c>
      <c r="H261" t="inlineStr">
        <is>
          <t>Bergvik skog väst AB</t>
        </is>
      </c>
      <c r="I261" t="n">
        <v>5.5</v>
      </c>
      <c r="J261" t="n">
        <v>0</v>
      </c>
      <c r="K261" t="n">
        <v>0</v>
      </c>
      <c r="L261" t="n">
        <v>0</v>
      </c>
      <c r="M261" t="n">
        <v>0</v>
      </c>
      <c r="N261" t="n">
        <v>0</v>
      </c>
      <c r="O261" t="n">
        <v>0</v>
      </c>
      <c r="P261" t="n">
        <v>0</v>
      </c>
      <c r="Q261" t="n">
        <v>0</v>
      </c>
      <c r="R261" t="n">
        <v>0</v>
      </c>
      <c r="S261" t="n">
        <v>0</v>
      </c>
      <c r="T261" t="n">
        <v>0</v>
      </c>
      <c r="U261" s="2" t="inlineStr"/>
    </row>
    <row r="262" ht="15" customHeight="1">
      <c r="A262" t="inlineStr">
        <is>
          <t>A 34374-2022</t>
        </is>
      </c>
      <c r="B262" t="inlineStr">
        <is>
          <t>avverkningsanmälan</t>
        </is>
      </c>
      <c r="C262" t="inlineStr">
        <is>
          <t>Föryngringsavverkning</t>
        </is>
      </c>
      <c r="D262" s="1" t="n">
        <v>44792</v>
      </c>
      <c r="E262" s="1" t="n">
        <v>46220</v>
      </c>
      <c r="F262" t="inlineStr">
        <is>
          <t>DALARNAS LÄN</t>
        </is>
      </c>
      <c r="G262" t="inlineStr">
        <is>
          <t>SMEDJEBACKEN</t>
        </is>
      </c>
      <c r="H262" t="inlineStr">
        <is>
          <t>Sveaskog</t>
        </is>
      </c>
      <c r="I262" t="n">
        <v>4.9</v>
      </c>
      <c r="J262" t="n">
        <v>0</v>
      </c>
      <c r="K262" t="n">
        <v>0</v>
      </c>
      <c r="L262" t="n">
        <v>0</v>
      </c>
      <c r="M262" t="n">
        <v>0</v>
      </c>
      <c r="N262" t="n">
        <v>0</v>
      </c>
      <c r="O262" t="n">
        <v>0</v>
      </c>
      <c r="P262" t="n">
        <v>0</v>
      </c>
      <c r="Q262" t="n">
        <v>0</v>
      </c>
      <c r="R262" t="n">
        <v>0</v>
      </c>
      <c r="S262" t="n">
        <v>0</v>
      </c>
      <c r="T262" t="n">
        <v>0</v>
      </c>
      <c r="U262" s="2" t="inlineStr"/>
    </row>
    <row r="263" ht="15" customHeight="1">
      <c r="A263" t="inlineStr">
        <is>
          <t>A 33936-2024</t>
        </is>
      </c>
      <c r="B263" t="inlineStr">
        <is>
          <t>avverkningsanmälan</t>
        </is>
      </c>
      <c r="C263" t="inlineStr">
        <is>
          <t>Föryngringsavverkning</t>
        </is>
      </c>
      <c r="D263" s="1" t="n">
        <v>45522</v>
      </c>
      <c r="E263" s="1" t="n">
        <v>46220</v>
      </c>
      <c r="F263" t="inlineStr">
        <is>
          <t>DALARNAS LÄN</t>
        </is>
      </c>
      <c r="G263" t="inlineStr">
        <is>
          <t>SMEDJEBACKEN</t>
        </is>
      </c>
      <c r="H263" t="inlineStr">
        <is>
          <t>Bergvik skog väst AB</t>
        </is>
      </c>
      <c r="I263" t="n">
        <v>5</v>
      </c>
      <c r="J263" t="n">
        <v>0</v>
      </c>
      <c r="K263" t="n">
        <v>0</v>
      </c>
      <c r="L263" t="n">
        <v>0</v>
      </c>
      <c r="M263" t="n">
        <v>0</v>
      </c>
      <c r="N263" t="n">
        <v>0</v>
      </c>
      <c r="O263" t="n">
        <v>0</v>
      </c>
      <c r="P263" t="n">
        <v>0</v>
      </c>
      <c r="Q263" t="n">
        <v>0</v>
      </c>
      <c r="R263" t="n">
        <v>0</v>
      </c>
      <c r="S263" t="n">
        <v>0</v>
      </c>
      <c r="T263" t="n">
        <v>0</v>
      </c>
      <c r="U263" s="2" t="inlineStr"/>
    </row>
    <row r="264" ht="15" customHeight="1">
      <c r="A264" t="inlineStr">
        <is>
          <t>A 55811-2022</t>
        </is>
      </c>
      <c r="B264" t="inlineStr">
        <is>
          <t>avverkningsanmälan</t>
        </is>
      </c>
      <c r="C264" t="inlineStr">
        <is>
          <t>Föryngringsavverkning</t>
        </is>
      </c>
      <c r="D264" s="1" t="n">
        <v>44888</v>
      </c>
      <c r="E264" s="1" t="n">
        <v>46220</v>
      </c>
      <c r="F264" t="inlineStr">
        <is>
          <t>DALARNAS LÄN</t>
        </is>
      </c>
      <c r="G264" t="inlineStr">
        <is>
          <t>SMEDJEBACKEN</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48617-2025</t>
        </is>
      </c>
      <c r="B265" t="inlineStr">
        <is>
          <t>avverkningsanmälan</t>
        </is>
      </c>
      <c r="C265" t="inlineStr">
        <is>
          <t>Föryngringsavverkning</t>
        </is>
      </c>
      <c r="D265" s="1" t="n">
        <v>45935</v>
      </c>
      <c r="E265" s="1" t="n">
        <v>46220</v>
      </c>
      <c r="F265" t="inlineStr">
        <is>
          <t>DALARNAS LÄN</t>
        </is>
      </c>
      <c r="G265" t="inlineStr">
        <is>
          <t>SMEDJEBACKEN</t>
        </is>
      </c>
      <c r="H265" t="inlineStr">
        <is>
          <t>Bergvik skog väst AB</t>
        </is>
      </c>
      <c r="I265" t="n">
        <v>18.6</v>
      </c>
      <c r="J265" t="n">
        <v>0</v>
      </c>
      <c r="K265" t="n">
        <v>0</v>
      </c>
      <c r="L265" t="n">
        <v>0</v>
      </c>
      <c r="M265" t="n">
        <v>0</v>
      </c>
      <c r="N265" t="n">
        <v>0</v>
      </c>
      <c r="O265" t="n">
        <v>0</v>
      </c>
      <c r="P265" t="n">
        <v>0</v>
      </c>
      <c r="Q265" t="n">
        <v>0</v>
      </c>
      <c r="R265" t="n">
        <v>0</v>
      </c>
      <c r="S265" t="n">
        <v>0</v>
      </c>
      <c r="T265" t="n">
        <v>0</v>
      </c>
      <c r="U265" s="2" t="inlineStr"/>
    </row>
    <row r="266" ht="15" customHeight="1">
      <c r="A266" t="inlineStr">
        <is>
          <t>A 48481-2025</t>
        </is>
      </c>
      <c r="B266" t="inlineStr">
        <is>
          <t>avverkningsanmälan</t>
        </is>
      </c>
      <c r="C266" t="inlineStr">
        <is>
          <t>Föryngringsavverkning</t>
        </is>
      </c>
      <c r="D266" s="1" t="n">
        <v>45936</v>
      </c>
      <c r="E266" s="1" t="n">
        <v>46220</v>
      </c>
      <c r="F266" t="inlineStr">
        <is>
          <t>DALARNAS LÄN</t>
        </is>
      </c>
      <c r="G266" t="inlineStr">
        <is>
          <t>SMEDJEBACKEN</t>
        </is>
      </c>
      <c r="H266" t="inlineStr">
        <is>
          <t>Sveaskog</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48476-2025</t>
        </is>
      </c>
      <c r="B267" t="inlineStr">
        <is>
          <t>avverkningsanmälan</t>
        </is>
      </c>
      <c r="C267" t="inlineStr">
        <is>
          <t>Föryngringsavverkning</t>
        </is>
      </c>
      <c r="D267" s="1" t="n">
        <v>45936</v>
      </c>
      <c r="E267" s="1" t="n">
        <v>46220</v>
      </c>
      <c r="F267" t="inlineStr">
        <is>
          <t>DALARNAS LÄN</t>
        </is>
      </c>
      <c r="G267" t="inlineStr">
        <is>
          <t>SMEDJEBACKEN</t>
        </is>
      </c>
      <c r="H267" t="inlineStr">
        <is>
          <t>Sveaskog</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48478-2025</t>
        </is>
      </c>
      <c r="B268" t="inlineStr">
        <is>
          <t>avverkningsanmälan</t>
        </is>
      </c>
      <c r="C268" t="inlineStr">
        <is>
          <t>Föryngringsavverkning</t>
        </is>
      </c>
      <c r="D268" s="1" t="n">
        <v>45936</v>
      </c>
      <c r="E268" s="1" t="n">
        <v>46220</v>
      </c>
      <c r="F268" t="inlineStr">
        <is>
          <t>DALARNAS LÄN</t>
        </is>
      </c>
      <c r="G268" t="inlineStr">
        <is>
          <t>SMEDJEBACKEN</t>
        </is>
      </c>
      <c r="H268" t="inlineStr">
        <is>
          <t>Sveaskog</t>
        </is>
      </c>
      <c r="I268" t="n">
        <v>4.4</v>
      </c>
      <c r="J268" t="n">
        <v>0</v>
      </c>
      <c r="K268" t="n">
        <v>0</v>
      </c>
      <c r="L268" t="n">
        <v>0</v>
      </c>
      <c r="M268" t="n">
        <v>0</v>
      </c>
      <c r="N268" t="n">
        <v>0</v>
      </c>
      <c r="O268" t="n">
        <v>0</v>
      </c>
      <c r="P268" t="n">
        <v>0</v>
      </c>
      <c r="Q268" t="n">
        <v>0</v>
      </c>
      <c r="R268" t="n">
        <v>0</v>
      </c>
      <c r="S268" t="n">
        <v>0</v>
      </c>
      <c r="T268" t="n">
        <v>0</v>
      </c>
      <c r="U268" s="2" t="inlineStr"/>
    </row>
    <row r="269" ht="15" customHeight="1">
      <c r="A269" t="inlineStr">
        <is>
          <t>A 9790-2022</t>
        </is>
      </c>
      <c r="B269" t="inlineStr">
        <is>
          <t>avverkningsanmälan</t>
        </is>
      </c>
      <c r="C269" t="inlineStr">
        <is>
          <t>Avverkning för annat ändamål</t>
        </is>
      </c>
      <c r="D269" s="1" t="n">
        <v>44617</v>
      </c>
      <c r="E269" s="1" t="n">
        <v>46220</v>
      </c>
      <c r="F269" t="inlineStr">
        <is>
          <t>DALARNAS LÄN</t>
        </is>
      </c>
      <c r="G269" t="inlineStr">
        <is>
          <t>SMEDJEBACKEN</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48480-2025</t>
        </is>
      </c>
      <c r="B270" t="inlineStr">
        <is>
          <t>avverkningsanmälan</t>
        </is>
      </c>
      <c r="C270" t="inlineStr">
        <is>
          <t>Föryngringsavverkning</t>
        </is>
      </c>
      <c r="D270" s="1" t="n">
        <v>45936</v>
      </c>
      <c r="E270" s="1" t="n">
        <v>46220</v>
      </c>
      <c r="F270" t="inlineStr">
        <is>
          <t>DALARNAS LÄN</t>
        </is>
      </c>
      <c r="G270" t="inlineStr">
        <is>
          <t>SMEDJEBACKEN</t>
        </is>
      </c>
      <c r="H270" t="inlineStr">
        <is>
          <t>Sveaskog</t>
        </is>
      </c>
      <c r="I270" t="n">
        <v>4.7</v>
      </c>
      <c r="J270" t="n">
        <v>0</v>
      </c>
      <c r="K270" t="n">
        <v>0</v>
      </c>
      <c r="L270" t="n">
        <v>0</v>
      </c>
      <c r="M270" t="n">
        <v>0</v>
      </c>
      <c r="N270" t="n">
        <v>0</v>
      </c>
      <c r="O270" t="n">
        <v>0</v>
      </c>
      <c r="P270" t="n">
        <v>0</v>
      </c>
      <c r="Q270" t="n">
        <v>0</v>
      </c>
      <c r="R270" t="n">
        <v>0</v>
      </c>
      <c r="S270" t="n">
        <v>0</v>
      </c>
      <c r="T270" t="n">
        <v>0</v>
      </c>
      <c r="U270" s="2" t="inlineStr"/>
    </row>
    <row r="271" ht="15" customHeight="1">
      <c r="A271" t="inlineStr">
        <is>
          <t>A 45152-2024</t>
        </is>
      </c>
      <c r="B271" t="inlineStr">
        <is>
          <t>avverkningsanmälan</t>
        </is>
      </c>
      <c r="C271" t="inlineStr">
        <is>
          <t>Föryngringsavverkning</t>
        </is>
      </c>
      <c r="D271" s="1" t="n">
        <v>45575</v>
      </c>
      <c r="E271" s="1" t="n">
        <v>46220</v>
      </c>
      <c r="F271" t="inlineStr">
        <is>
          <t>DALARNAS LÄN</t>
        </is>
      </c>
      <c r="G271" t="inlineStr">
        <is>
          <t>SMEDJEBACKEN</t>
        </is>
      </c>
      <c r="H271" t="inlineStr">
        <is>
          <t>Sveaskog</t>
        </is>
      </c>
      <c r="I271" t="n">
        <v>2.7</v>
      </c>
      <c r="J271" t="n">
        <v>0</v>
      </c>
      <c r="K271" t="n">
        <v>0</v>
      </c>
      <c r="L271" t="n">
        <v>0</v>
      </c>
      <c r="M271" t="n">
        <v>0</v>
      </c>
      <c r="N271" t="n">
        <v>0</v>
      </c>
      <c r="O271" t="n">
        <v>0</v>
      </c>
      <c r="P271" t="n">
        <v>0</v>
      </c>
      <c r="Q271" t="n">
        <v>0</v>
      </c>
      <c r="R271" t="n">
        <v>0</v>
      </c>
      <c r="S271" t="n">
        <v>0</v>
      </c>
      <c r="T271" t="n">
        <v>0</v>
      </c>
      <c r="U271" s="2" t="inlineStr"/>
    </row>
    <row r="272" ht="15" customHeight="1">
      <c r="A272" t="inlineStr">
        <is>
          <t>A 46396-2024</t>
        </is>
      </c>
      <c r="B272" t="inlineStr">
        <is>
          <t>avverkningsanmälan</t>
        </is>
      </c>
      <c r="C272" t="inlineStr">
        <is>
          <t>Föryngringsavverkning</t>
        </is>
      </c>
      <c r="D272" s="1" t="n">
        <v>45582</v>
      </c>
      <c r="E272" s="1" t="n">
        <v>46220</v>
      </c>
      <c r="F272" t="inlineStr">
        <is>
          <t>DALARNAS LÄN</t>
        </is>
      </c>
      <c r="G272" t="inlineStr">
        <is>
          <t>SMEDJEBACKEN</t>
        </is>
      </c>
      <c r="H272" t="inlineStr">
        <is>
          <t>Bergvik skog väst AB</t>
        </is>
      </c>
      <c r="I272" t="n">
        <v>10.2</v>
      </c>
      <c r="J272" t="n">
        <v>0</v>
      </c>
      <c r="K272" t="n">
        <v>0</v>
      </c>
      <c r="L272" t="n">
        <v>0</v>
      </c>
      <c r="M272" t="n">
        <v>0</v>
      </c>
      <c r="N272" t="n">
        <v>0</v>
      </c>
      <c r="O272" t="n">
        <v>0</v>
      </c>
      <c r="P272" t="n">
        <v>0</v>
      </c>
      <c r="Q272" t="n">
        <v>0</v>
      </c>
      <c r="R272" t="n">
        <v>0</v>
      </c>
      <c r="S272" t="n">
        <v>0</v>
      </c>
      <c r="T272" t="n">
        <v>0</v>
      </c>
      <c r="U272" s="2" t="inlineStr"/>
    </row>
    <row r="273" ht="15" customHeight="1">
      <c r="A273" t="inlineStr">
        <is>
          <t>A 49205-2025</t>
        </is>
      </c>
      <c r="B273" t="inlineStr">
        <is>
          <t>avverkningsanmälan</t>
        </is>
      </c>
      <c r="C273" t="inlineStr">
        <is>
          <t>Föryngringsavverkning</t>
        </is>
      </c>
      <c r="D273" s="1" t="n">
        <v>45938</v>
      </c>
      <c r="E273" s="1" t="n">
        <v>46220</v>
      </c>
      <c r="F273" t="inlineStr">
        <is>
          <t>DALARNAS LÄN</t>
        </is>
      </c>
      <c r="G273" t="inlineStr">
        <is>
          <t>SMEDJEBACKEN</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17951-2022</t>
        </is>
      </c>
      <c r="B274" t="inlineStr">
        <is>
          <t>avverkningsanmälan</t>
        </is>
      </c>
      <c r="C274" t="inlineStr">
        <is>
          <t>Föryngringsavverkning</t>
        </is>
      </c>
      <c r="D274" s="1" t="n">
        <v>44683</v>
      </c>
      <c r="E274" s="1" t="n">
        <v>46220</v>
      </c>
      <c r="F274" t="inlineStr">
        <is>
          <t>DALARNAS LÄN</t>
        </is>
      </c>
      <c r="G274" t="inlineStr">
        <is>
          <t>SMEDJEBACKEN</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17956-2022</t>
        </is>
      </c>
      <c r="B275" t="inlineStr">
        <is>
          <t>avverkningsanmälan</t>
        </is>
      </c>
      <c r="C275" t="inlineStr">
        <is>
          <t>Föryngringsavverkning</t>
        </is>
      </c>
      <c r="D275" s="1" t="n">
        <v>44683</v>
      </c>
      <c r="E275" s="1" t="n">
        <v>46220</v>
      </c>
      <c r="F275" t="inlineStr">
        <is>
          <t>DALARNAS LÄN</t>
        </is>
      </c>
      <c r="G275" t="inlineStr">
        <is>
          <t>SMEDJEBACKEN</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60086-2021</t>
        </is>
      </c>
      <c r="B276" t="inlineStr">
        <is>
          <t>avverkningsanmälan</t>
        </is>
      </c>
      <c r="C276" t="inlineStr">
        <is>
          <t>Föryngringsavverkning</t>
        </is>
      </c>
      <c r="D276" s="1" t="n">
        <v>44494</v>
      </c>
      <c r="E276" s="1" t="n">
        <v>46220</v>
      </c>
      <c r="F276" t="inlineStr">
        <is>
          <t>DALARNAS LÄN</t>
        </is>
      </c>
      <c r="G276" t="inlineStr">
        <is>
          <t>SMEDJEBACKEN</t>
        </is>
      </c>
      <c r="H276" t="inlineStr">
        <is>
          <t>Bergvik skog väst AB</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12218-2024</t>
        </is>
      </c>
      <c r="B277" t="inlineStr">
        <is>
          <t>avverkningsanmälan</t>
        </is>
      </c>
      <c r="C277" t="inlineStr">
        <is>
          <t>Föryngringsavverkning</t>
        </is>
      </c>
      <c r="D277" s="1" t="n">
        <v>45378</v>
      </c>
      <c r="E277" s="1" t="n">
        <v>46220</v>
      </c>
      <c r="F277" t="inlineStr">
        <is>
          <t>DALARNAS LÄN</t>
        </is>
      </c>
      <c r="G277" t="inlineStr">
        <is>
          <t>SMEDJEBACKEN</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56315-2022</t>
        </is>
      </c>
      <c r="B278" t="inlineStr">
        <is>
          <t>avverkningsanmälan</t>
        </is>
      </c>
      <c r="C278" t="inlineStr">
        <is>
          <t>Föryngringsavverkning</t>
        </is>
      </c>
      <c r="D278" s="1" t="n">
        <v>44890</v>
      </c>
      <c r="E278" s="1" t="n">
        <v>46220</v>
      </c>
      <c r="F278" t="inlineStr">
        <is>
          <t>DALARNAS LÄN</t>
        </is>
      </c>
      <c r="G278" t="inlineStr">
        <is>
          <t>SMEDJEBACKEN</t>
        </is>
      </c>
      <c r="H278" t="inlineStr">
        <is>
          <t>Kyrkan</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3423-2024</t>
        </is>
      </c>
      <c r="B279" t="inlineStr">
        <is>
          <t>avverkningsanmälan</t>
        </is>
      </c>
      <c r="C279" t="inlineStr">
        <is>
          <t>Föryngringsavverkning</t>
        </is>
      </c>
      <c r="D279" s="1" t="n">
        <v>45319</v>
      </c>
      <c r="E279" s="1" t="n">
        <v>46220</v>
      </c>
      <c r="F279" t="inlineStr">
        <is>
          <t>DALARNAS LÄN</t>
        </is>
      </c>
      <c r="G279" t="inlineStr">
        <is>
          <t>SMEDJEBACKEN</t>
        </is>
      </c>
      <c r="I279" t="n">
        <v>4.3</v>
      </c>
      <c r="J279" t="n">
        <v>0</v>
      </c>
      <c r="K279" t="n">
        <v>0</v>
      </c>
      <c r="L279" t="n">
        <v>0</v>
      </c>
      <c r="M279" t="n">
        <v>0</v>
      </c>
      <c r="N279" t="n">
        <v>0</v>
      </c>
      <c r="O279" t="n">
        <v>0</v>
      </c>
      <c r="P279" t="n">
        <v>0</v>
      </c>
      <c r="Q279" t="n">
        <v>0</v>
      </c>
      <c r="R279" t="n">
        <v>0</v>
      </c>
      <c r="S279" t="n">
        <v>0</v>
      </c>
      <c r="T279" t="n">
        <v>0</v>
      </c>
      <c r="U279" s="2" t="inlineStr"/>
    </row>
    <row r="280" ht="15" customHeight="1">
      <c r="A280" t="inlineStr">
        <is>
          <t>A 50680-2025</t>
        </is>
      </c>
      <c r="B280" t="inlineStr">
        <is>
          <t>avverkningsanmälan</t>
        </is>
      </c>
      <c r="C280" t="inlineStr">
        <is>
          <t>Föryngringsavverkning</t>
        </is>
      </c>
      <c r="D280" s="1" t="n">
        <v>45945</v>
      </c>
      <c r="E280" s="1" t="n">
        <v>46220</v>
      </c>
      <c r="F280" t="inlineStr">
        <is>
          <t>DALARNAS LÄN</t>
        </is>
      </c>
      <c r="G280" t="inlineStr">
        <is>
          <t>SMEDJEBACKEN</t>
        </is>
      </c>
      <c r="H280" t="inlineStr">
        <is>
          <t>Bergvik skog väst AB</t>
        </is>
      </c>
      <c r="I280" t="n">
        <v>24.5</v>
      </c>
      <c r="J280" t="n">
        <v>0</v>
      </c>
      <c r="K280" t="n">
        <v>0</v>
      </c>
      <c r="L280" t="n">
        <v>0</v>
      </c>
      <c r="M280" t="n">
        <v>0</v>
      </c>
      <c r="N280" t="n">
        <v>0</v>
      </c>
      <c r="O280" t="n">
        <v>0</v>
      </c>
      <c r="P280" t="n">
        <v>0</v>
      </c>
      <c r="Q280" t="n">
        <v>0</v>
      </c>
      <c r="R280" t="n">
        <v>0</v>
      </c>
      <c r="S280" t="n">
        <v>0</v>
      </c>
      <c r="T280" t="n">
        <v>0</v>
      </c>
      <c r="U280" s="2" t="inlineStr"/>
    </row>
    <row r="281" ht="15" customHeight="1">
      <c r="A281" t="inlineStr">
        <is>
          <t>A 50682-2025</t>
        </is>
      </c>
      <c r="B281" t="inlineStr">
        <is>
          <t>avverkningsanmälan</t>
        </is>
      </c>
      <c r="C281" t="inlineStr">
        <is>
          <t>Föryngringsavverkning</t>
        </is>
      </c>
      <c r="D281" s="1" t="n">
        <v>45945</v>
      </c>
      <c r="E281" s="1" t="n">
        <v>46220</v>
      </c>
      <c r="F281" t="inlineStr">
        <is>
          <t>DALARNAS LÄN</t>
        </is>
      </c>
      <c r="G281" t="inlineStr">
        <is>
          <t>SMEDJEBACKEN</t>
        </is>
      </c>
      <c r="H281" t="inlineStr">
        <is>
          <t>Bergvik skog väst AB</t>
        </is>
      </c>
      <c r="I281" t="n">
        <v>17.4</v>
      </c>
      <c r="J281" t="n">
        <v>0</v>
      </c>
      <c r="K281" t="n">
        <v>0</v>
      </c>
      <c r="L281" t="n">
        <v>0</v>
      </c>
      <c r="M281" t="n">
        <v>0</v>
      </c>
      <c r="N281" t="n">
        <v>0</v>
      </c>
      <c r="O281" t="n">
        <v>0</v>
      </c>
      <c r="P281" t="n">
        <v>0</v>
      </c>
      <c r="Q281" t="n">
        <v>0</v>
      </c>
      <c r="R281" t="n">
        <v>0</v>
      </c>
      <c r="S281" t="n">
        <v>0</v>
      </c>
      <c r="T281" t="n">
        <v>0</v>
      </c>
      <c r="U281" s="2" t="inlineStr"/>
    </row>
    <row r="282" ht="15" customHeight="1">
      <c r="A282" t="inlineStr">
        <is>
          <t>A 54382-2021</t>
        </is>
      </c>
      <c r="B282" t="inlineStr">
        <is>
          <t>avverkningsanmälan</t>
        </is>
      </c>
      <c r="C282" t="inlineStr">
        <is>
          <t>Föryngringsavverkning</t>
        </is>
      </c>
      <c r="D282" s="1" t="n">
        <v>44473</v>
      </c>
      <c r="E282" s="1" t="n">
        <v>46220</v>
      </c>
      <c r="F282" t="inlineStr">
        <is>
          <t>DALARNAS LÄN</t>
        </is>
      </c>
      <c r="G282" t="inlineStr">
        <is>
          <t>SMEDJEBACKEN</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50668-2025</t>
        </is>
      </c>
      <c r="B283" t="inlineStr">
        <is>
          <t>avverkningsanmälan</t>
        </is>
      </c>
      <c r="C283" t="inlineStr">
        <is>
          <t>Föryngringsavverkning</t>
        </is>
      </c>
      <c r="D283" s="1" t="n">
        <v>45945</v>
      </c>
      <c r="E283" s="1" t="n">
        <v>46220</v>
      </c>
      <c r="F283" t="inlineStr">
        <is>
          <t>DALARNAS LÄN</t>
        </is>
      </c>
      <c r="G283" t="inlineStr">
        <is>
          <t>SMEDJEBACKEN</t>
        </is>
      </c>
      <c r="H283" t="inlineStr">
        <is>
          <t>Bergvik skog väst AB</t>
        </is>
      </c>
      <c r="I283" t="n">
        <v>14.5</v>
      </c>
      <c r="J283" t="n">
        <v>0</v>
      </c>
      <c r="K283" t="n">
        <v>0</v>
      </c>
      <c r="L283" t="n">
        <v>0</v>
      </c>
      <c r="M283" t="n">
        <v>0</v>
      </c>
      <c r="N283" t="n">
        <v>0</v>
      </c>
      <c r="O283" t="n">
        <v>0</v>
      </c>
      <c r="P283" t="n">
        <v>0</v>
      </c>
      <c r="Q283" t="n">
        <v>0</v>
      </c>
      <c r="R283" t="n">
        <v>0</v>
      </c>
      <c r="S283" t="n">
        <v>0</v>
      </c>
      <c r="T283" t="n">
        <v>0</v>
      </c>
      <c r="U283" s="2" t="inlineStr"/>
    </row>
    <row r="284" ht="15" customHeight="1">
      <c r="A284" t="inlineStr">
        <is>
          <t>A 51138-2025</t>
        </is>
      </c>
      <c r="B284" t="inlineStr">
        <is>
          <t>avverkningsanmälan</t>
        </is>
      </c>
      <c r="C284" t="inlineStr">
        <is>
          <t>Föryngringsavverkning</t>
        </is>
      </c>
      <c r="D284" s="1" t="n">
        <v>45947</v>
      </c>
      <c r="E284" s="1" t="n">
        <v>46220</v>
      </c>
      <c r="F284" t="inlineStr">
        <is>
          <t>DALARNAS LÄN</t>
        </is>
      </c>
      <c r="G284" t="inlineStr">
        <is>
          <t>SMEDJEBACKEN</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4466-2026</t>
        </is>
      </c>
      <c r="B285" t="inlineStr">
        <is>
          <t>avverkningsanmälan</t>
        </is>
      </c>
      <c r="C285" t="inlineStr">
        <is>
          <t>Föryngringsavverkning</t>
        </is>
      </c>
      <c r="D285" s="1" t="n">
        <v>46045</v>
      </c>
      <c r="E285" s="1" t="n">
        <v>46220</v>
      </c>
      <c r="F285" t="inlineStr">
        <is>
          <t>DALARNAS LÄN</t>
        </is>
      </c>
      <c r="G285" t="inlineStr">
        <is>
          <t>SMEDJEBACKEN</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51151-2025</t>
        </is>
      </c>
      <c r="B286" t="inlineStr">
        <is>
          <t>avverkningsanmälan</t>
        </is>
      </c>
      <c r="C286" t="inlineStr">
        <is>
          <t>Avverkning för att bevara och utveckla /försöksver</t>
        </is>
      </c>
      <c r="D286" s="1" t="n">
        <v>45947</v>
      </c>
      <c r="E286" s="1" t="n">
        <v>46220</v>
      </c>
      <c r="F286" t="inlineStr">
        <is>
          <t>DALARNAS LÄN</t>
        </is>
      </c>
      <c r="G286" t="inlineStr">
        <is>
          <t>SMEDJEBACKEN</t>
        </is>
      </c>
      <c r="H286" t="inlineStr">
        <is>
          <t>Sveaskog</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51173-2025</t>
        </is>
      </c>
      <c r="B287" t="inlineStr">
        <is>
          <t>avverkningsanmälan</t>
        </is>
      </c>
      <c r="C287" t="inlineStr">
        <is>
          <t>Avverkning för att bevara och utveckla /försöksver</t>
        </is>
      </c>
      <c r="D287" s="1" t="n">
        <v>45947</v>
      </c>
      <c r="E287" s="1" t="n">
        <v>46220</v>
      </c>
      <c r="F287" t="inlineStr">
        <is>
          <t>DALARNAS LÄN</t>
        </is>
      </c>
      <c r="G287" t="inlineStr">
        <is>
          <t>SMEDJEBACKEN</t>
        </is>
      </c>
      <c r="H287" t="inlineStr">
        <is>
          <t>Sveaskog</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50779-2025</t>
        </is>
      </c>
      <c r="B288" t="inlineStr">
        <is>
          <t>avverkningsanmälan</t>
        </is>
      </c>
      <c r="C288" t="inlineStr">
        <is>
          <t>Föryngringsavverkning</t>
        </is>
      </c>
      <c r="D288" s="1" t="n">
        <v>45946</v>
      </c>
      <c r="E288" s="1" t="n">
        <v>46220</v>
      </c>
      <c r="F288" t="inlineStr">
        <is>
          <t>DALARNAS LÄN</t>
        </is>
      </c>
      <c r="G288" t="inlineStr">
        <is>
          <t>SMEDJEBACKEN</t>
        </is>
      </c>
      <c r="H288" t="inlineStr">
        <is>
          <t>Sveaskog</t>
        </is>
      </c>
      <c r="I288" t="n">
        <v>6.5</v>
      </c>
      <c r="J288" t="n">
        <v>0</v>
      </c>
      <c r="K288" t="n">
        <v>0</v>
      </c>
      <c r="L288" t="n">
        <v>0</v>
      </c>
      <c r="M288" t="n">
        <v>0</v>
      </c>
      <c r="N288" t="n">
        <v>0</v>
      </c>
      <c r="O288" t="n">
        <v>0</v>
      </c>
      <c r="P288" t="n">
        <v>0</v>
      </c>
      <c r="Q288" t="n">
        <v>0</v>
      </c>
      <c r="R288" t="n">
        <v>0</v>
      </c>
      <c r="S288" t="n">
        <v>0</v>
      </c>
      <c r="T288" t="n">
        <v>0</v>
      </c>
      <c r="U288" s="2" t="inlineStr"/>
    </row>
    <row r="289" ht="15" customHeight="1">
      <c r="A289" t="inlineStr">
        <is>
          <t>A 51051-2025</t>
        </is>
      </c>
      <c r="B289" t="inlineStr">
        <is>
          <t>avverkningsanmälan</t>
        </is>
      </c>
      <c r="C289" t="inlineStr">
        <is>
          <t>Avverkning för att bevara och utveckla /försöksver</t>
        </is>
      </c>
      <c r="D289" s="1" t="n">
        <v>45947</v>
      </c>
      <c r="E289" s="1" t="n">
        <v>46220</v>
      </c>
      <c r="F289" t="inlineStr">
        <is>
          <t>DALARNAS LÄN</t>
        </is>
      </c>
      <c r="G289" t="inlineStr">
        <is>
          <t>SMEDJEBACKEN</t>
        </is>
      </c>
      <c r="H289" t="inlineStr">
        <is>
          <t>Sveaskog</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51063-2025</t>
        </is>
      </c>
      <c r="B290" t="inlineStr">
        <is>
          <t>avverkningsanmälan</t>
        </is>
      </c>
      <c r="C290" t="inlineStr">
        <is>
          <t>Avverkning för att bevara och utveckla /försöksver</t>
        </is>
      </c>
      <c r="D290" s="1" t="n">
        <v>45947</v>
      </c>
      <c r="E290" s="1" t="n">
        <v>46220</v>
      </c>
      <c r="F290" t="inlineStr">
        <is>
          <t>DALARNAS LÄN</t>
        </is>
      </c>
      <c r="G290" t="inlineStr">
        <is>
          <t>SMEDJEBACKEN</t>
        </is>
      </c>
      <c r="H290" t="inlineStr">
        <is>
          <t>Sveaskog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51071-2025</t>
        </is>
      </c>
      <c r="B291" t="inlineStr">
        <is>
          <t>avverkningsanmälan</t>
        </is>
      </c>
      <c r="C291" t="inlineStr">
        <is>
          <t>Avverkning för att bevara och utveckla /försöksver</t>
        </is>
      </c>
      <c r="D291" s="1" t="n">
        <v>45947</v>
      </c>
      <c r="E291" s="1" t="n">
        <v>46220</v>
      </c>
      <c r="F291" t="inlineStr">
        <is>
          <t>DALARNAS LÄN</t>
        </is>
      </c>
      <c r="G291" t="inlineStr">
        <is>
          <t>SMEDJEBACKEN</t>
        </is>
      </c>
      <c r="H291" t="inlineStr">
        <is>
          <t>Sveaskog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26009-2022</t>
        </is>
      </c>
      <c r="B292" t="inlineStr">
        <is>
          <t>avverkningsanmälan</t>
        </is>
      </c>
      <c r="C292" t="inlineStr">
        <is>
          <t>Avverkning för att bevara och utveckla /försöksver</t>
        </is>
      </c>
      <c r="D292" s="1" t="n">
        <v>44734</v>
      </c>
      <c r="E292" s="1" t="n">
        <v>46220</v>
      </c>
      <c r="F292" t="inlineStr">
        <is>
          <t>DALARNAS LÄN</t>
        </is>
      </c>
      <c r="G292" t="inlineStr">
        <is>
          <t>SMEDJEBACKEN</t>
        </is>
      </c>
      <c r="H292" t="inlineStr">
        <is>
          <t>Sveaskog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51053-2025</t>
        </is>
      </c>
      <c r="B293" t="inlineStr">
        <is>
          <t>avverkningsanmälan</t>
        </is>
      </c>
      <c r="C293" t="inlineStr">
        <is>
          <t>Föryngringsavverkning</t>
        </is>
      </c>
      <c r="D293" s="1" t="n">
        <v>45947</v>
      </c>
      <c r="E293" s="1" t="n">
        <v>46220</v>
      </c>
      <c r="F293" t="inlineStr">
        <is>
          <t>DALARNAS LÄN</t>
        </is>
      </c>
      <c r="G293" t="inlineStr">
        <is>
          <t>SMEDJEBACKEN</t>
        </is>
      </c>
      <c r="H293" t="inlineStr">
        <is>
          <t>Sveaskog</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51054-2025</t>
        </is>
      </c>
      <c r="B294" t="inlineStr">
        <is>
          <t>avverkningsanmälan</t>
        </is>
      </c>
      <c r="C294" t="inlineStr">
        <is>
          <t>Föryngringsavverkning</t>
        </is>
      </c>
      <c r="D294" s="1" t="n">
        <v>45947</v>
      </c>
      <c r="E294" s="1" t="n">
        <v>46220</v>
      </c>
      <c r="F294" t="inlineStr">
        <is>
          <t>DALARNAS LÄN</t>
        </is>
      </c>
      <c r="G294" t="inlineStr">
        <is>
          <t>SMEDJEBACKEN</t>
        </is>
      </c>
      <c r="H294" t="inlineStr">
        <is>
          <t>Sveaskog</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38803-2021</t>
        </is>
      </c>
      <c r="B295" t="inlineStr">
        <is>
          <t>avverkningsanmälan</t>
        </is>
      </c>
      <c r="C295" t="inlineStr">
        <is>
          <t>Föryngringsavverkning</t>
        </is>
      </c>
      <c r="D295" s="1" t="n">
        <v>44410</v>
      </c>
      <c r="E295" s="1" t="n">
        <v>46220</v>
      </c>
      <c r="F295" t="inlineStr">
        <is>
          <t>DALARNAS LÄN</t>
        </is>
      </c>
      <c r="G295" t="inlineStr">
        <is>
          <t>SMEDJEBACKEN</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51444-2025</t>
        </is>
      </c>
      <c r="B296" t="inlineStr">
        <is>
          <t>avverkningsanmälan</t>
        </is>
      </c>
      <c r="C296" t="inlineStr">
        <is>
          <t>Föryngringsavverkning</t>
        </is>
      </c>
      <c r="D296" s="1" t="n">
        <v>45950</v>
      </c>
      <c r="E296" s="1" t="n">
        <v>46220</v>
      </c>
      <c r="F296" t="inlineStr">
        <is>
          <t>DALARNAS LÄN</t>
        </is>
      </c>
      <c r="G296" t="inlineStr">
        <is>
          <t>SMEDJEBACKEN</t>
        </is>
      </c>
      <c r="H296" t="inlineStr">
        <is>
          <t>Bergvik skog väst AB</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25396-2024</t>
        </is>
      </c>
      <c r="B297" t="inlineStr">
        <is>
          <t>avverkningsanmälan</t>
        </is>
      </c>
      <c r="C297" t="inlineStr">
        <is>
          <t>Föryngringsavverkning</t>
        </is>
      </c>
      <c r="D297" s="1" t="n">
        <v>45463</v>
      </c>
      <c r="E297" s="1" t="n">
        <v>46220</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51443-2025</t>
        </is>
      </c>
      <c r="B298" t="inlineStr">
        <is>
          <t>avverkningsanmälan</t>
        </is>
      </c>
      <c r="C298" t="inlineStr">
        <is>
          <t>Föryngringsavverkning</t>
        </is>
      </c>
      <c r="D298" s="1" t="n">
        <v>45950</v>
      </c>
      <c r="E298" s="1" t="n">
        <v>46220</v>
      </c>
      <c r="F298" t="inlineStr">
        <is>
          <t>DALARNAS LÄN</t>
        </is>
      </c>
      <c r="G298" t="inlineStr">
        <is>
          <t>SMEDJEBACKEN</t>
        </is>
      </c>
      <c r="H298" t="inlineStr">
        <is>
          <t>Bergvik skog väst AB</t>
        </is>
      </c>
      <c r="I298" t="n">
        <v>5.2</v>
      </c>
      <c r="J298" t="n">
        <v>0</v>
      </c>
      <c r="K298" t="n">
        <v>0</v>
      </c>
      <c r="L298" t="n">
        <v>0</v>
      </c>
      <c r="M298" t="n">
        <v>0</v>
      </c>
      <c r="N298" t="n">
        <v>0</v>
      </c>
      <c r="O298" t="n">
        <v>0</v>
      </c>
      <c r="P298" t="n">
        <v>0</v>
      </c>
      <c r="Q298" t="n">
        <v>0</v>
      </c>
      <c r="R298" t="n">
        <v>0</v>
      </c>
      <c r="S298" t="n">
        <v>0</v>
      </c>
      <c r="T298" t="n">
        <v>0</v>
      </c>
      <c r="U298" s="2" t="inlineStr"/>
    </row>
    <row r="299" ht="15" customHeight="1">
      <c r="A299" t="inlineStr">
        <is>
          <t>A 16445-2024</t>
        </is>
      </c>
      <c r="B299" t="inlineStr">
        <is>
          <t>avverkningsanmälan</t>
        </is>
      </c>
      <c r="C299" t="inlineStr">
        <is>
          <t>Föryngringsavverkning</t>
        </is>
      </c>
      <c r="D299" s="1" t="n">
        <v>45407</v>
      </c>
      <c r="E299" s="1" t="n">
        <v>46220</v>
      </c>
      <c r="F299" t="inlineStr">
        <is>
          <t>DALARNAS LÄN</t>
        </is>
      </c>
      <c r="G299" t="inlineStr">
        <is>
          <t>SMEDJEBACKEN</t>
        </is>
      </c>
      <c r="I299" t="n">
        <v>4.2</v>
      </c>
      <c r="J299" t="n">
        <v>0</v>
      </c>
      <c r="K299" t="n">
        <v>0</v>
      </c>
      <c r="L299" t="n">
        <v>0</v>
      </c>
      <c r="M299" t="n">
        <v>0</v>
      </c>
      <c r="N299" t="n">
        <v>0</v>
      </c>
      <c r="O299" t="n">
        <v>0</v>
      </c>
      <c r="P299" t="n">
        <v>0</v>
      </c>
      <c r="Q299" t="n">
        <v>0</v>
      </c>
      <c r="R299" t="n">
        <v>0</v>
      </c>
      <c r="S299" t="n">
        <v>0</v>
      </c>
      <c r="T299" t="n">
        <v>0</v>
      </c>
      <c r="U299" s="2" t="inlineStr"/>
    </row>
    <row r="300" ht="15" customHeight="1">
      <c r="A300" t="inlineStr">
        <is>
          <t>A 51456-2025</t>
        </is>
      </c>
      <c r="B300" t="inlineStr">
        <is>
          <t>avverkningsanmälan</t>
        </is>
      </c>
      <c r="C300" t="inlineStr">
        <is>
          <t>Föryngringsavverkning</t>
        </is>
      </c>
      <c r="D300" s="1" t="n">
        <v>45950</v>
      </c>
      <c r="E300" s="1" t="n">
        <v>46220</v>
      </c>
      <c r="F300" t="inlineStr">
        <is>
          <t>DALARNAS LÄN</t>
        </is>
      </c>
      <c r="G300" t="inlineStr">
        <is>
          <t>SMEDJEBACKEN</t>
        </is>
      </c>
      <c r="H300" t="inlineStr">
        <is>
          <t>Bergvik skog väst AB</t>
        </is>
      </c>
      <c r="I300" t="n">
        <v>6.1</v>
      </c>
      <c r="J300" t="n">
        <v>0</v>
      </c>
      <c r="K300" t="n">
        <v>0</v>
      </c>
      <c r="L300" t="n">
        <v>0</v>
      </c>
      <c r="M300" t="n">
        <v>0</v>
      </c>
      <c r="N300" t="n">
        <v>0</v>
      </c>
      <c r="O300" t="n">
        <v>0</v>
      </c>
      <c r="P300" t="n">
        <v>0</v>
      </c>
      <c r="Q300" t="n">
        <v>0</v>
      </c>
      <c r="R300" t="n">
        <v>0</v>
      </c>
      <c r="S300" t="n">
        <v>0</v>
      </c>
      <c r="T300" t="n">
        <v>0</v>
      </c>
      <c r="U300" s="2" t="inlineStr"/>
    </row>
    <row r="301" ht="15" customHeight="1">
      <c r="A301" t="inlineStr">
        <is>
          <t>A 51555-2025</t>
        </is>
      </c>
      <c r="B301" t="inlineStr">
        <is>
          <t>avverkningsanmälan</t>
        </is>
      </c>
      <c r="C301" t="inlineStr">
        <is>
          <t>Föryngringsavverkning</t>
        </is>
      </c>
      <c r="D301" s="1" t="n">
        <v>45950</v>
      </c>
      <c r="E301" s="1" t="n">
        <v>46220</v>
      </c>
      <c r="F301" t="inlineStr">
        <is>
          <t>DALARNAS LÄN</t>
        </is>
      </c>
      <c r="G301" t="inlineStr">
        <is>
          <t>SMEDJEBACKEN</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21626-2023</t>
        </is>
      </c>
      <c r="B302" t="inlineStr">
        <is>
          <t>avverkningsanmälan</t>
        </is>
      </c>
      <c r="C302" t="inlineStr">
        <is>
          <t>Föryngringsavverkning</t>
        </is>
      </c>
      <c r="D302" s="1" t="n">
        <v>45063</v>
      </c>
      <c r="E302" s="1" t="n">
        <v>46220</v>
      </c>
      <c r="F302" t="inlineStr">
        <is>
          <t>DALARNAS LÄN</t>
        </is>
      </c>
      <c r="G302" t="inlineStr">
        <is>
          <t>SMEDJEBACKEN</t>
        </is>
      </c>
      <c r="H302" t="inlineStr">
        <is>
          <t>Övriga Aktiebolag</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52713-2025</t>
        </is>
      </c>
      <c r="B303" t="inlineStr">
        <is>
          <t>avverkningsanmälan</t>
        </is>
      </c>
      <c r="C303" t="inlineStr">
        <is>
          <t>Föryngringsavverkning</t>
        </is>
      </c>
      <c r="D303" s="1" t="n">
        <v>45953</v>
      </c>
      <c r="E303" s="1" t="n">
        <v>46220</v>
      </c>
      <c r="F303" t="inlineStr">
        <is>
          <t>DALARNAS LÄN</t>
        </is>
      </c>
      <c r="G303" t="inlineStr">
        <is>
          <t>SMEDJEBACKEN</t>
        </is>
      </c>
      <c r="H303" t="inlineStr">
        <is>
          <t>Bergvik skog väst AB</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52000-2025</t>
        </is>
      </c>
      <c r="B304" t="inlineStr">
        <is>
          <t>avverkningsanmälan</t>
        </is>
      </c>
      <c r="C304" t="inlineStr">
        <is>
          <t>Föryngringsavverkning</t>
        </is>
      </c>
      <c r="D304" s="1" t="n">
        <v>45952</v>
      </c>
      <c r="E304" s="1" t="n">
        <v>46220</v>
      </c>
      <c r="F304" t="inlineStr">
        <is>
          <t>DALARNAS LÄN</t>
        </is>
      </c>
      <c r="G304" t="inlineStr">
        <is>
          <t>SMEDJEBACKEN</t>
        </is>
      </c>
      <c r="H304" t="inlineStr">
        <is>
          <t>Sveaskog</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52004-2025</t>
        </is>
      </c>
      <c r="B305" t="inlineStr">
        <is>
          <t>avverkningsanmälan</t>
        </is>
      </c>
      <c r="C305" t="inlineStr">
        <is>
          <t>Föryngringsavverkning</t>
        </is>
      </c>
      <c r="D305" s="1" t="n">
        <v>45952</v>
      </c>
      <c r="E305" s="1" t="n">
        <v>46220</v>
      </c>
      <c r="F305" t="inlineStr">
        <is>
          <t>DALARNAS LÄN</t>
        </is>
      </c>
      <c r="G305" t="inlineStr">
        <is>
          <t>SMEDJEBACKEN</t>
        </is>
      </c>
      <c r="H305" t="inlineStr">
        <is>
          <t>Sveaskog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26439-2024</t>
        </is>
      </c>
      <c r="B306" t="inlineStr">
        <is>
          <t>avverkningsanmälan</t>
        </is>
      </c>
      <c r="C306" t="inlineStr">
        <is>
          <t>Föryngringsavverkning</t>
        </is>
      </c>
      <c r="D306" s="1" t="n">
        <v>45469</v>
      </c>
      <c r="E306" s="1" t="n">
        <v>46220</v>
      </c>
      <c r="F306" t="inlineStr">
        <is>
          <t>DALARNAS LÄN</t>
        </is>
      </c>
      <c r="G306" t="inlineStr">
        <is>
          <t>SMEDJEBACKEN</t>
        </is>
      </c>
      <c r="H306" t="inlineStr">
        <is>
          <t>Bergvik skog väst AB</t>
        </is>
      </c>
      <c r="I306" t="n">
        <v>3.5</v>
      </c>
      <c r="J306" t="n">
        <v>0</v>
      </c>
      <c r="K306" t="n">
        <v>0</v>
      </c>
      <c r="L306" t="n">
        <v>0</v>
      </c>
      <c r="M306" t="n">
        <v>0</v>
      </c>
      <c r="N306" t="n">
        <v>0</v>
      </c>
      <c r="O306" t="n">
        <v>0</v>
      </c>
      <c r="P306" t="n">
        <v>0</v>
      </c>
      <c r="Q306" t="n">
        <v>0</v>
      </c>
      <c r="R306" t="n">
        <v>0</v>
      </c>
      <c r="S306" t="n">
        <v>0</v>
      </c>
      <c r="T306" t="n">
        <v>0</v>
      </c>
      <c r="U306" s="2" t="inlineStr"/>
    </row>
    <row r="307" ht="15" customHeight="1">
      <c r="A307" t="inlineStr">
        <is>
          <t>A 52968-2025</t>
        </is>
      </c>
      <c r="B307" t="inlineStr">
        <is>
          <t>avverkningsanmälan</t>
        </is>
      </c>
      <c r="C307" t="inlineStr">
        <is>
          <t>Föryngringsavverkning</t>
        </is>
      </c>
      <c r="D307" s="1" t="n">
        <v>45957</v>
      </c>
      <c r="E307" s="1" t="n">
        <v>46220</v>
      </c>
      <c r="F307" t="inlineStr">
        <is>
          <t>DALARNAS LÄN</t>
        </is>
      </c>
      <c r="G307" t="inlineStr">
        <is>
          <t>SMEDJEBACKEN</t>
        </is>
      </c>
      <c r="H307" t="inlineStr">
        <is>
          <t>Sveaskog</t>
        </is>
      </c>
      <c r="I307" t="n">
        <v>3.6</v>
      </c>
      <c r="J307" t="n">
        <v>0</v>
      </c>
      <c r="K307" t="n">
        <v>0</v>
      </c>
      <c r="L307" t="n">
        <v>0</v>
      </c>
      <c r="M307" t="n">
        <v>0</v>
      </c>
      <c r="N307" t="n">
        <v>0</v>
      </c>
      <c r="O307" t="n">
        <v>0</v>
      </c>
      <c r="P307" t="n">
        <v>0</v>
      </c>
      <c r="Q307" t="n">
        <v>0</v>
      </c>
      <c r="R307" t="n">
        <v>0</v>
      </c>
      <c r="S307" t="n">
        <v>0</v>
      </c>
      <c r="T307" t="n">
        <v>0</v>
      </c>
      <c r="U307" s="2" t="inlineStr"/>
    </row>
    <row r="308" ht="15" customHeight="1">
      <c r="A308" t="inlineStr">
        <is>
          <t>A 6604-2025</t>
        </is>
      </c>
      <c r="B308" t="inlineStr">
        <is>
          <t>avverkningsanmälan</t>
        </is>
      </c>
      <c r="C308" t="inlineStr">
        <is>
          <t>Föryngringsavverkning</t>
        </is>
      </c>
      <c r="D308" s="1" t="n">
        <v>45700</v>
      </c>
      <c r="E308" s="1" t="n">
        <v>46220</v>
      </c>
      <c r="F308" t="inlineStr">
        <is>
          <t>DALARNAS LÄN</t>
        </is>
      </c>
      <c r="G308" t="inlineStr">
        <is>
          <t>SMEDJEBACKEN</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45214-2025</t>
        </is>
      </c>
      <c r="B309" t="inlineStr">
        <is>
          <t>avverkningsanmälan</t>
        </is>
      </c>
      <c r="C309" t="inlineStr">
        <is>
          <t>Föryngringsavverkning</t>
        </is>
      </c>
      <c r="D309" s="1" t="n">
        <v>45919</v>
      </c>
      <c r="E309" s="1" t="n">
        <v>46220</v>
      </c>
      <c r="F309" t="inlineStr">
        <is>
          <t>DALARNAS LÄN</t>
        </is>
      </c>
      <c r="G309" t="inlineStr">
        <is>
          <t>SMEDJEBACKEN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1898-2023</t>
        </is>
      </c>
      <c r="B310" t="inlineStr">
        <is>
          <t>avverkningsanmälan</t>
        </is>
      </c>
      <c r="C310" t="inlineStr">
        <is>
          <t>Föryngringsavverkning</t>
        </is>
      </c>
      <c r="D310" s="1" t="n">
        <v>44937</v>
      </c>
      <c r="E310" s="1" t="n">
        <v>46220</v>
      </c>
      <c r="F310" t="inlineStr">
        <is>
          <t>DALARNAS LÄN</t>
        </is>
      </c>
      <c r="G310" t="inlineStr">
        <is>
          <t>SMEDJEBACKEN</t>
        </is>
      </c>
      <c r="I310" t="n">
        <v>3</v>
      </c>
      <c r="J310" t="n">
        <v>0</v>
      </c>
      <c r="K310" t="n">
        <v>0</v>
      </c>
      <c r="L310" t="n">
        <v>0</v>
      </c>
      <c r="M310" t="n">
        <v>0</v>
      </c>
      <c r="N310" t="n">
        <v>0</v>
      </c>
      <c r="O310" t="n">
        <v>0</v>
      </c>
      <c r="P310" t="n">
        <v>0</v>
      </c>
      <c r="Q310" t="n">
        <v>0</v>
      </c>
      <c r="R310" t="n">
        <v>0</v>
      </c>
      <c r="S310" t="n">
        <v>0</v>
      </c>
      <c r="T310" t="n">
        <v>0</v>
      </c>
      <c r="U310" s="2" t="inlineStr"/>
    </row>
    <row r="311" ht="15" customHeight="1">
      <c r="A311" t="inlineStr">
        <is>
          <t>A 52610-2025</t>
        </is>
      </c>
      <c r="B311" t="inlineStr">
        <is>
          <t>avverkningsanmälan</t>
        </is>
      </c>
      <c r="C311" t="inlineStr">
        <is>
          <t>Föryngringsavverkning</t>
        </is>
      </c>
      <c r="D311" s="1" t="n">
        <v>45954</v>
      </c>
      <c r="E311" s="1" t="n">
        <v>46220</v>
      </c>
      <c r="F311" t="inlineStr">
        <is>
          <t>DALARNAS LÄN</t>
        </is>
      </c>
      <c r="G311" t="inlineStr">
        <is>
          <t>SMEDJEBACKEN</t>
        </is>
      </c>
      <c r="I311" t="n">
        <v>5.5</v>
      </c>
      <c r="J311" t="n">
        <v>0</v>
      </c>
      <c r="K311" t="n">
        <v>0</v>
      </c>
      <c r="L311" t="n">
        <v>0</v>
      </c>
      <c r="M311" t="n">
        <v>0</v>
      </c>
      <c r="N311" t="n">
        <v>0</v>
      </c>
      <c r="O311" t="n">
        <v>0</v>
      </c>
      <c r="P311" t="n">
        <v>0</v>
      </c>
      <c r="Q311" t="n">
        <v>0</v>
      </c>
      <c r="R311" t="n">
        <v>0</v>
      </c>
      <c r="S311" t="n">
        <v>0</v>
      </c>
      <c r="T311" t="n">
        <v>0</v>
      </c>
      <c r="U311" s="2" t="inlineStr"/>
    </row>
    <row r="312" ht="15" customHeight="1">
      <c r="A312" t="inlineStr">
        <is>
          <t>A 5701-2026</t>
        </is>
      </c>
      <c r="B312" t="inlineStr">
        <is>
          <t>avverkningsanmälan</t>
        </is>
      </c>
      <c r="C312" t="inlineStr">
        <is>
          <t>Föryngringsavverkning</t>
        </is>
      </c>
      <c r="D312" s="1" t="n">
        <v>46051</v>
      </c>
      <c r="E312" s="1" t="n">
        <v>46220</v>
      </c>
      <c r="F312" t="inlineStr">
        <is>
          <t>DALARNAS LÄN</t>
        </is>
      </c>
      <c r="G312" t="inlineStr">
        <is>
          <t>SMEDJEBACKEN</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21443-2023</t>
        </is>
      </c>
      <c r="B313" t="inlineStr">
        <is>
          <t>avverkningsanmälan</t>
        </is>
      </c>
      <c r="C313" t="inlineStr">
        <is>
          <t>Föryngringsavverkning</t>
        </is>
      </c>
      <c r="D313" s="1" t="n">
        <v>45063</v>
      </c>
      <c r="E313" s="1" t="n">
        <v>46220</v>
      </c>
      <c r="F313" t="inlineStr">
        <is>
          <t>DALARNAS LÄN</t>
        </is>
      </c>
      <c r="G313" t="inlineStr">
        <is>
          <t>SMEDJEBACKEN</t>
        </is>
      </c>
      <c r="H313" t="inlineStr">
        <is>
          <t>Bergvik skog väst AB</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53285-2025</t>
        </is>
      </c>
      <c r="B314" t="inlineStr">
        <is>
          <t>avverkningsanmälan</t>
        </is>
      </c>
      <c r="C314" t="inlineStr">
        <is>
          <t>Föryngringsavverkning</t>
        </is>
      </c>
      <c r="D314" s="1" t="n">
        <v>45958</v>
      </c>
      <c r="E314" s="1" t="n">
        <v>46220</v>
      </c>
      <c r="F314" t="inlineStr">
        <is>
          <t>DALARNAS LÄN</t>
        </is>
      </c>
      <c r="G314" t="inlineStr">
        <is>
          <t>SMEDJEBACKEN</t>
        </is>
      </c>
      <c r="H314" t="inlineStr">
        <is>
          <t>Bergvik skog väst AB</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53769-2025</t>
        </is>
      </c>
      <c r="B315" t="inlineStr">
        <is>
          <t>avverkningsanmälan</t>
        </is>
      </c>
      <c r="C315" t="inlineStr">
        <is>
          <t>Föryngringsavverkning</t>
        </is>
      </c>
      <c r="D315" s="1" t="n">
        <v>45960</v>
      </c>
      <c r="E315" s="1" t="n">
        <v>46220</v>
      </c>
      <c r="F315" t="inlineStr">
        <is>
          <t>DALARNAS LÄN</t>
        </is>
      </c>
      <c r="G315" t="inlineStr">
        <is>
          <t>SMEDJEBACKEN</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38755-2025</t>
        </is>
      </c>
      <c r="B316" t="inlineStr">
        <is>
          <t>avverkningsanmälan</t>
        </is>
      </c>
      <c r="C316" t="inlineStr">
        <is>
          <t>Föryngringsavverkning</t>
        </is>
      </c>
      <c r="D316" s="1" t="n">
        <v>45887</v>
      </c>
      <c r="E316" s="1" t="n">
        <v>46220</v>
      </c>
      <c r="F316" t="inlineStr">
        <is>
          <t>DALARNAS LÄN</t>
        </is>
      </c>
      <c r="G316" t="inlineStr">
        <is>
          <t>SMEDJEBACKEN</t>
        </is>
      </c>
      <c r="H316" t="inlineStr">
        <is>
          <t>Sveaskog</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38750-2025</t>
        </is>
      </c>
      <c r="B317" t="inlineStr">
        <is>
          <t>avverkningsanmälan</t>
        </is>
      </c>
      <c r="C317" t="inlineStr">
        <is>
          <t>Föryngringsavverkning</t>
        </is>
      </c>
      <c r="D317" s="1" t="n">
        <v>45887</v>
      </c>
      <c r="E317" s="1" t="n">
        <v>46220</v>
      </c>
      <c r="F317" t="inlineStr">
        <is>
          <t>DALARNAS LÄN</t>
        </is>
      </c>
      <c r="G317" t="inlineStr">
        <is>
          <t>SMEDJEBACKEN</t>
        </is>
      </c>
      <c r="H317" t="inlineStr">
        <is>
          <t>Sveaskog</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54107-2025</t>
        </is>
      </c>
      <c r="B318" t="inlineStr">
        <is>
          <t>avverkningsanmälan</t>
        </is>
      </c>
      <c r="C318" t="inlineStr">
        <is>
          <t>Föryngringsavverkning</t>
        </is>
      </c>
      <c r="D318" s="1" t="n">
        <v>45964</v>
      </c>
      <c r="E318" s="1" t="n">
        <v>46220</v>
      </c>
      <c r="F318" t="inlineStr">
        <is>
          <t>DALARNAS LÄN</t>
        </is>
      </c>
      <c r="G318" t="inlineStr">
        <is>
          <t>SMEDJEBACKEN</t>
        </is>
      </c>
      <c r="H318" t="inlineStr">
        <is>
          <t>Sveaskog</t>
        </is>
      </c>
      <c r="I318" t="n">
        <v>9.9</v>
      </c>
      <c r="J318" t="n">
        <v>0</v>
      </c>
      <c r="K318" t="n">
        <v>0</v>
      </c>
      <c r="L318" t="n">
        <v>0</v>
      </c>
      <c r="M318" t="n">
        <v>0</v>
      </c>
      <c r="N318" t="n">
        <v>0</v>
      </c>
      <c r="O318" t="n">
        <v>0</v>
      </c>
      <c r="P318" t="n">
        <v>0</v>
      </c>
      <c r="Q318" t="n">
        <v>0</v>
      </c>
      <c r="R318" t="n">
        <v>0</v>
      </c>
      <c r="S318" t="n">
        <v>0</v>
      </c>
      <c r="T318" t="n">
        <v>0</v>
      </c>
      <c r="U318" s="2" t="inlineStr"/>
    </row>
    <row r="319" ht="15" customHeight="1">
      <c r="A319" t="inlineStr">
        <is>
          <t>A 54083-2025</t>
        </is>
      </c>
      <c r="B319" t="inlineStr">
        <is>
          <t>avverkningsanmälan</t>
        </is>
      </c>
      <c r="C319" t="inlineStr">
        <is>
          <t>Föryngringsavverkning</t>
        </is>
      </c>
      <c r="D319" s="1" t="n">
        <v>45964</v>
      </c>
      <c r="E319" s="1" t="n">
        <v>46220</v>
      </c>
      <c r="F319" t="inlineStr">
        <is>
          <t>DALARNAS LÄN</t>
        </is>
      </c>
      <c r="G319" t="inlineStr">
        <is>
          <t>SMEDJEBACKEN</t>
        </is>
      </c>
      <c r="H319" t="inlineStr">
        <is>
          <t>Sveaskog</t>
        </is>
      </c>
      <c r="I319" t="n">
        <v>7.1</v>
      </c>
      <c r="J319" t="n">
        <v>0</v>
      </c>
      <c r="K319" t="n">
        <v>0</v>
      </c>
      <c r="L319" t="n">
        <v>0</v>
      </c>
      <c r="M319" t="n">
        <v>0</v>
      </c>
      <c r="N319" t="n">
        <v>0</v>
      </c>
      <c r="O319" t="n">
        <v>0</v>
      </c>
      <c r="P319" t="n">
        <v>0</v>
      </c>
      <c r="Q319" t="n">
        <v>0</v>
      </c>
      <c r="R319" t="n">
        <v>0</v>
      </c>
      <c r="S319" t="n">
        <v>0</v>
      </c>
      <c r="T319" t="n">
        <v>0</v>
      </c>
      <c r="U319" s="2" t="inlineStr"/>
    </row>
    <row r="320" ht="15" customHeight="1">
      <c r="A320" t="inlineStr">
        <is>
          <t>A 54084-2025</t>
        </is>
      </c>
      <c r="B320" t="inlineStr">
        <is>
          <t>avverkningsanmälan</t>
        </is>
      </c>
      <c r="C320" t="inlineStr">
        <is>
          <t>Föryngringsavverkning</t>
        </is>
      </c>
      <c r="D320" s="1" t="n">
        <v>45964</v>
      </c>
      <c r="E320" s="1" t="n">
        <v>46220</v>
      </c>
      <c r="F320" t="inlineStr">
        <is>
          <t>DALARNAS LÄN</t>
        </is>
      </c>
      <c r="G320" t="inlineStr">
        <is>
          <t>SMEDJEBACKEN</t>
        </is>
      </c>
      <c r="H320" t="inlineStr">
        <is>
          <t>Sveaskog</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14875-2025</t>
        </is>
      </c>
      <c r="B321" t="inlineStr">
        <is>
          <t>avverkningsanmälan</t>
        </is>
      </c>
      <c r="C321" t="inlineStr">
        <is>
          <t>Föryngringsavverkning</t>
        </is>
      </c>
      <c r="D321" s="1" t="n">
        <v>45743</v>
      </c>
      <c r="E321" s="1" t="n">
        <v>46220</v>
      </c>
      <c r="F321" t="inlineStr">
        <is>
          <t>DALARNAS LÄN</t>
        </is>
      </c>
      <c r="G321" t="inlineStr">
        <is>
          <t>SMEDJEBACKEN</t>
        </is>
      </c>
      <c r="I321" t="n">
        <v>2.7</v>
      </c>
      <c r="J321" t="n">
        <v>0</v>
      </c>
      <c r="K321" t="n">
        <v>0</v>
      </c>
      <c r="L321" t="n">
        <v>0</v>
      </c>
      <c r="M321" t="n">
        <v>0</v>
      </c>
      <c r="N321" t="n">
        <v>0</v>
      </c>
      <c r="O321" t="n">
        <v>0</v>
      </c>
      <c r="P321" t="n">
        <v>0</v>
      </c>
      <c r="Q321" t="n">
        <v>0</v>
      </c>
      <c r="R321" t="n">
        <v>0</v>
      </c>
      <c r="S321" t="n">
        <v>0</v>
      </c>
      <c r="T321" t="n">
        <v>0</v>
      </c>
      <c r="U321" s="2" t="inlineStr"/>
    </row>
    <row r="322" ht="15" customHeight="1">
      <c r="A322" t="inlineStr">
        <is>
          <t>A 25809-2024</t>
        </is>
      </c>
      <c r="B322" t="inlineStr">
        <is>
          <t>avverkningsanmälan</t>
        </is>
      </c>
      <c r="C322" t="inlineStr">
        <is>
          <t>Föryngringsavverkning</t>
        </is>
      </c>
      <c r="D322" s="1" t="n">
        <v>45467</v>
      </c>
      <c r="E322" s="1" t="n">
        <v>46220</v>
      </c>
      <c r="F322" t="inlineStr">
        <is>
          <t>DALARNAS LÄN</t>
        </is>
      </c>
      <c r="G322" t="inlineStr">
        <is>
          <t>SMEDJEBACKEN</t>
        </is>
      </c>
      <c r="H322" t="inlineStr">
        <is>
          <t>Sveaskog</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18909-2024</t>
        </is>
      </c>
      <c r="B323" t="inlineStr">
        <is>
          <t>avverkningsanmälan</t>
        </is>
      </c>
      <c r="C323" t="inlineStr">
        <is>
          <t>Föryngringsavverkning</t>
        </is>
      </c>
      <c r="D323" s="1" t="n">
        <v>45427</v>
      </c>
      <c r="E323" s="1" t="n">
        <v>46220</v>
      </c>
      <c r="F323" t="inlineStr">
        <is>
          <t>DALARNAS LÄN</t>
        </is>
      </c>
      <c r="G323" t="inlineStr">
        <is>
          <t>SMEDJEBACKEN</t>
        </is>
      </c>
      <c r="H323" t="inlineStr">
        <is>
          <t>Sveaskog</t>
        </is>
      </c>
      <c r="I323" t="n">
        <v>4</v>
      </c>
      <c r="J323" t="n">
        <v>0</v>
      </c>
      <c r="K323" t="n">
        <v>0</v>
      </c>
      <c r="L323" t="n">
        <v>0</v>
      </c>
      <c r="M323" t="n">
        <v>0</v>
      </c>
      <c r="N323" t="n">
        <v>0</v>
      </c>
      <c r="O323" t="n">
        <v>0</v>
      </c>
      <c r="P323" t="n">
        <v>0</v>
      </c>
      <c r="Q323" t="n">
        <v>0</v>
      </c>
      <c r="R323" t="n">
        <v>0</v>
      </c>
      <c r="S323" t="n">
        <v>0</v>
      </c>
      <c r="T323" t="n">
        <v>0</v>
      </c>
      <c r="U323" s="2" t="inlineStr"/>
    </row>
    <row r="324" ht="15" customHeight="1">
      <c r="A324" t="inlineStr">
        <is>
          <t>A 56012-2021</t>
        </is>
      </c>
      <c r="B324" t="inlineStr">
        <is>
          <t>avverkningsanmälan</t>
        </is>
      </c>
      <c r="C324" t="inlineStr">
        <is>
          <t>Föryngringsavverkning</t>
        </is>
      </c>
      <c r="D324" s="1" t="n">
        <v>44477</v>
      </c>
      <c r="E324" s="1" t="n">
        <v>46220</v>
      </c>
      <c r="F324" t="inlineStr">
        <is>
          <t>DALARNAS LÄN</t>
        </is>
      </c>
      <c r="G324" t="inlineStr">
        <is>
          <t>SMEDJEBACKEN</t>
        </is>
      </c>
      <c r="H324" t="inlineStr">
        <is>
          <t>Bergvik skog väst AB</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55364-2025</t>
        </is>
      </c>
      <c r="B325" t="inlineStr">
        <is>
          <t>avverkningsanmälan</t>
        </is>
      </c>
      <c r="C325" t="inlineStr">
        <is>
          <t>Föryngringsavverkning</t>
        </is>
      </c>
      <c r="D325" s="1" t="n">
        <v>45971</v>
      </c>
      <c r="E325" s="1" t="n">
        <v>46220</v>
      </c>
      <c r="F325" t="inlineStr">
        <is>
          <t>DALARNAS LÄN</t>
        </is>
      </c>
      <c r="G325" t="inlineStr">
        <is>
          <t>SMEDJEBACKEN</t>
        </is>
      </c>
      <c r="H325" t="inlineStr">
        <is>
          <t>Sveaskog</t>
        </is>
      </c>
      <c r="I325" t="n">
        <v>7.9</v>
      </c>
      <c r="J325" t="n">
        <v>0</v>
      </c>
      <c r="K325" t="n">
        <v>0</v>
      </c>
      <c r="L325" t="n">
        <v>0</v>
      </c>
      <c r="M325" t="n">
        <v>0</v>
      </c>
      <c r="N325" t="n">
        <v>0</v>
      </c>
      <c r="O325" t="n">
        <v>0</v>
      </c>
      <c r="P325" t="n">
        <v>0</v>
      </c>
      <c r="Q325" t="n">
        <v>0</v>
      </c>
      <c r="R325" t="n">
        <v>0</v>
      </c>
      <c r="S325" t="n">
        <v>0</v>
      </c>
      <c r="T325" t="n">
        <v>0</v>
      </c>
      <c r="U325" s="2" t="inlineStr"/>
    </row>
    <row r="326" ht="15" customHeight="1">
      <c r="A326" t="inlineStr">
        <is>
          <t>A 7020-2026</t>
        </is>
      </c>
      <c r="B326" t="inlineStr">
        <is>
          <t>avverkningsanmälan</t>
        </is>
      </c>
      <c r="C326" t="inlineStr">
        <is>
          <t>Föryngringsavverkning</t>
        </is>
      </c>
      <c r="D326" s="1" t="n">
        <v>46057</v>
      </c>
      <c r="E326" s="1" t="n">
        <v>46220</v>
      </c>
      <c r="F326" t="inlineStr">
        <is>
          <t>DALARNAS LÄN</t>
        </is>
      </c>
      <c r="G326" t="inlineStr">
        <is>
          <t>SMEDJEBACKEN</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33960-2023</t>
        </is>
      </c>
      <c r="B327" t="inlineStr">
        <is>
          <t>avverkningsanmälan</t>
        </is>
      </c>
      <c r="C327" t="inlineStr">
        <is>
          <t>Avverkning för annat ändamål</t>
        </is>
      </c>
      <c r="D327" s="1" t="n">
        <v>45124</v>
      </c>
      <c r="E327" s="1" t="n">
        <v>46220</v>
      </c>
      <c r="F327" t="inlineStr">
        <is>
          <t>DALARNAS LÄN</t>
        </is>
      </c>
      <c r="G327" t="inlineStr">
        <is>
          <t>SMEDJEBACKEN</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60025-2024</t>
        </is>
      </c>
      <c r="B328" t="inlineStr">
        <is>
          <t>avverkningsanmälan</t>
        </is>
      </c>
      <c r="C328" t="inlineStr">
        <is>
          <t>Föryngringsavverkning</t>
        </is>
      </c>
      <c r="D328" s="1" t="n">
        <v>45642</v>
      </c>
      <c r="E328" s="1" t="n">
        <v>46220</v>
      </c>
      <c r="F328" t="inlineStr">
        <is>
          <t>DALARNAS LÄN</t>
        </is>
      </c>
      <c r="G328" t="inlineStr">
        <is>
          <t>SMEDJEBACKEN</t>
        </is>
      </c>
      <c r="I328" t="n">
        <v>1.2</v>
      </c>
      <c r="J328" t="n">
        <v>0</v>
      </c>
      <c r="K328" t="n">
        <v>0</v>
      </c>
      <c r="L328" t="n">
        <v>0</v>
      </c>
      <c r="M328" t="n">
        <v>0</v>
      </c>
      <c r="N328" t="n">
        <v>0</v>
      </c>
      <c r="O328" t="n">
        <v>0</v>
      </c>
      <c r="P328" t="n">
        <v>0</v>
      </c>
      <c r="Q328" t="n">
        <v>0</v>
      </c>
      <c r="R328" t="n">
        <v>0</v>
      </c>
      <c r="S328" t="n">
        <v>0</v>
      </c>
      <c r="T328" t="n">
        <v>0</v>
      </c>
      <c r="U328" s="2" t="inlineStr"/>
    </row>
    <row r="329" ht="15" customHeight="1">
      <c r="A329" t="inlineStr">
        <is>
          <t>A 38440-2023</t>
        </is>
      </c>
      <c r="B329" t="inlineStr">
        <is>
          <t>avverkningsanmälan</t>
        </is>
      </c>
      <c r="C329" t="inlineStr">
        <is>
          <t>Föryngringsavverkning</t>
        </is>
      </c>
      <c r="D329" s="1" t="n">
        <v>45162</v>
      </c>
      <c r="E329" s="1" t="n">
        <v>46220</v>
      </c>
      <c r="F329" t="inlineStr">
        <is>
          <t>DALARNAS LÄN</t>
        </is>
      </c>
      <c r="G329" t="inlineStr">
        <is>
          <t>SMEDJEBACKEN</t>
        </is>
      </c>
      <c r="I329" t="n">
        <v>7.3</v>
      </c>
      <c r="J329" t="n">
        <v>0</v>
      </c>
      <c r="K329" t="n">
        <v>0</v>
      </c>
      <c r="L329" t="n">
        <v>0</v>
      </c>
      <c r="M329" t="n">
        <v>0</v>
      </c>
      <c r="N329" t="n">
        <v>0</v>
      </c>
      <c r="O329" t="n">
        <v>0</v>
      </c>
      <c r="P329" t="n">
        <v>0</v>
      </c>
      <c r="Q329" t="n">
        <v>0</v>
      </c>
      <c r="R329" t="n">
        <v>0</v>
      </c>
      <c r="S329" t="n">
        <v>0</v>
      </c>
      <c r="T329" t="n">
        <v>0</v>
      </c>
      <c r="U329" s="2" t="inlineStr"/>
    </row>
    <row r="330" ht="15" customHeight="1">
      <c r="A330" t="inlineStr">
        <is>
          <t>A 56029-2025</t>
        </is>
      </c>
      <c r="B330" t="inlineStr">
        <is>
          <t>avverkningsanmälan</t>
        </is>
      </c>
      <c r="C330" t="inlineStr">
        <is>
          <t>Föryngringsavverkning</t>
        </is>
      </c>
      <c r="D330" s="1" t="n">
        <v>45973</v>
      </c>
      <c r="E330" s="1" t="n">
        <v>46220</v>
      </c>
      <c r="F330" t="inlineStr">
        <is>
          <t>DALARNAS LÄN</t>
        </is>
      </c>
      <c r="G330" t="inlineStr">
        <is>
          <t>SMEDJEBACKEN</t>
        </is>
      </c>
      <c r="I330" t="n">
        <v>3.2</v>
      </c>
      <c r="J330" t="n">
        <v>0</v>
      </c>
      <c r="K330" t="n">
        <v>0</v>
      </c>
      <c r="L330" t="n">
        <v>0</v>
      </c>
      <c r="M330" t="n">
        <v>0</v>
      </c>
      <c r="N330" t="n">
        <v>0</v>
      </c>
      <c r="O330" t="n">
        <v>0</v>
      </c>
      <c r="P330" t="n">
        <v>0</v>
      </c>
      <c r="Q330" t="n">
        <v>0</v>
      </c>
      <c r="R330" t="n">
        <v>0</v>
      </c>
      <c r="S330" t="n">
        <v>0</v>
      </c>
      <c r="T330" t="n">
        <v>0</v>
      </c>
      <c r="U330" s="2" t="inlineStr"/>
    </row>
    <row r="331" ht="15" customHeight="1">
      <c r="A331" t="inlineStr">
        <is>
          <t>A 56069-2025</t>
        </is>
      </c>
      <c r="B331" t="inlineStr">
        <is>
          <t>avverkningsanmälan</t>
        </is>
      </c>
      <c r="C331" t="inlineStr">
        <is>
          <t>Föryngringsavverkning</t>
        </is>
      </c>
      <c r="D331" s="1" t="n">
        <v>45973</v>
      </c>
      <c r="E331" s="1" t="n">
        <v>46220</v>
      </c>
      <c r="F331" t="inlineStr">
        <is>
          <t>DALARNAS LÄN</t>
        </is>
      </c>
      <c r="G331" t="inlineStr">
        <is>
          <t>SMEDJEBACKEN</t>
        </is>
      </c>
      <c r="H331" t="inlineStr">
        <is>
          <t>Bergvik skog väst AB</t>
        </is>
      </c>
      <c r="I331" t="n">
        <v>8</v>
      </c>
      <c r="J331" t="n">
        <v>0</v>
      </c>
      <c r="K331" t="n">
        <v>0</v>
      </c>
      <c r="L331" t="n">
        <v>0</v>
      </c>
      <c r="M331" t="n">
        <v>0</v>
      </c>
      <c r="N331" t="n">
        <v>0</v>
      </c>
      <c r="O331" t="n">
        <v>0</v>
      </c>
      <c r="P331" t="n">
        <v>0</v>
      </c>
      <c r="Q331" t="n">
        <v>0</v>
      </c>
      <c r="R331" t="n">
        <v>0</v>
      </c>
      <c r="S331" t="n">
        <v>0</v>
      </c>
      <c r="T331" t="n">
        <v>0</v>
      </c>
      <c r="U331" s="2" t="inlineStr"/>
    </row>
    <row r="332" ht="15" customHeight="1">
      <c r="A332" t="inlineStr">
        <is>
          <t>A 56674-2025</t>
        </is>
      </c>
      <c r="B332" t="inlineStr">
        <is>
          <t>avverkningsanmälan</t>
        </is>
      </c>
      <c r="C332" t="inlineStr">
        <is>
          <t>Föryngringsavverkning</t>
        </is>
      </c>
      <c r="D332" s="1" t="n">
        <v>45975</v>
      </c>
      <c r="E332" s="1" t="n">
        <v>46220</v>
      </c>
      <c r="F332" t="inlineStr">
        <is>
          <t>DALARNAS LÄN</t>
        </is>
      </c>
      <c r="G332" t="inlineStr">
        <is>
          <t>SMEDJEBACKEN</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24426-2023</t>
        </is>
      </c>
      <c r="B333" t="inlineStr">
        <is>
          <t>avverkningsanmälan</t>
        </is>
      </c>
      <c r="C333" t="inlineStr">
        <is>
          <t>Föryngringsavverkning</t>
        </is>
      </c>
      <c r="D333" s="1" t="n">
        <v>45082</v>
      </c>
      <c r="E333" s="1" t="n">
        <v>46220</v>
      </c>
      <c r="F333" t="inlineStr">
        <is>
          <t>DALARNAS LÄN</t>
        </is>
      </c>
      <c r="G333" t="inlineStr">
        <is>
          <t>SMEDJEBACKEN</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57408-2025</t>
        </is>
      </c>
      <c r="B334" t="inlineStr">
        <is>
          <t>avverkningsanmälan</t>
        </is>
      </c>
      <c r="C334" t="inlineStr">
        <is>
          <t>Föryngringsavverkning</t>
        </is>
      </c>
      <c r="D334" s="1" t="n">
        <v>45980</v>
      </c>
      <c r="E334" s="1" t="n">
        <v>46220</v>
      </c>
      <c r="F334" t="inlineStr">
        <is>
          <t>DALARNAS LÄN</t>
        </is>
      </c>
      <c r="G334" t="inlineStr">
        <is>
          <t>SMEDJEBACKEN</t>
        </is>
      </c>
      <c r="H334" t="inlineStr">
        <is>
          <t>Sveaskog</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57416-2025</t>
        </is>
      </c>
      <c r="B335" t="inlineStr">
        <is>
          <t>avverkningsanmälan</t>
        </is>
      </c>
      <c r="C335" t="inlineStr">
        <is>
          <t>Föryngringsavverkning</t>
        </is>
      </c>
      <c r="D335" s="1" t="n">
        <v>45980</v>
      </c>
      <c r="E335" s="1" t="n">
        <v>46220</v>
      </c>
      <c r="F335" t="inlineStr">
        <is>
          <t>DALARNAS LÄN</t>
        </is>
      </c>
      <c r="G335" t="inlineStr">
        <is>
          <t>SMEDJEBACKEN</t>
        </is>
      </c>
      <c r="H335" t="inlineStr">
        <is>
          <t>Sveaskog</t>
        </is>
      </c>
      <c r="I335" t="n">
        <v>2.6</v>
      </c>
      <c r="J335" t="n">
        <v>0</v>
      </c>
      <c r="K335" t="n">
        <v>0</v>
      </c>
      <c r="L335" t="n">
        <v>0</v>
      </c>
      <c r="M335" t="n">
        <v>0</v>
      </c>
      <c r="N335" t="n">
        <v>0</v>
      </c>
      <c r="O335" t="n">
        <v>0</v>
      </c>
      <c r="P335" t="n">
        <v>0</v>
      </c>
      <c r="Q335" t="n">
        <v>0</v>
      </c>
      <c r="R335" t="n">
        <v>0</v>
      </c>
      <c r="S335" t="n">
        <v>0</v>
      </c>
      <c r="T335" t="n">
        <v>0</v>
      </c>
      <c r="U335" s="2" t="inlineStr"/>
    </row>
    <row r="336" ht="15" customHeight="1">
      <c r="A336" t="inlineStr">
        <is>
          <t>A 23645-2024</t>
        </is>
      </c>
      <c r="B336" t="inlineStr">
        <is>
          <t>avverkningsanmälan</t>
        </is>
      </c>
      <c r="C336" t="inlineStr">
        <is>
          <t>Föryngringsavverkning</t>
        </is>
      </c>
      <c r="D336" s="1" t="n">
        <v>45454</v>
      </c>
      <c r="E336" s="1" t="n">
        <v>46220</v>
      </c>
      <c r="F336" t="inlineStr">
        <is>
          <t>DALARNAS LÄN</t>
        </is>
      </c>
      <c r="G336" t="inlineStr">
        <is>
          <t>SMEDJEBACKEN</t>
        </is>
      </c>
      <c r="H336" t="inlineStr">
        <is>
          <t>Bergvik skog väst AB</t>
        </is>
      </c>
      <c r="I336" t="n">
        <v>8.6</v>
      </c>
      <c r="J336" t="n">
        <v>0</v>
      </c>
      <c r="K336" t="n">
        <v>0</v>
      </c>
      <c r="L336" t="n">
        <v>0</v>
      </c>
      <c r="M336" t="n">
        <v>0</v>
      </c>
      <c r="N336" t="n">
        <v>0</v>
      </c>
      <c r="O336" t="n">
        <v>0</v>
      </c>
      <c r="P336" t="n">
        <v>0</v>
      </c>
      <c r="Q336" t="n">
        <v>0</v>
      </c>
      <c r="R336" t="n">
        <v>0</v>
      </c>
      <c r="S336" t="n">
        <v>0</v>
      </c>
      <c r="T336" t="n">
        <v>0</v>
      </c>
      <c r="U336" s="2" t="inlineStr"/>
    </row>
    <row r="337" ht="15" customHeight="1">
      <c r="A337" t="inlineStr">
        <is>
          <t>A 57660-2025</t>
        </is>
      </c>
      <c r="B337" t="inlineStr">
        <is>
          <t>avverkningsanmälan</t>
        </is>
      </c>
      <c r="C337" t="inlineStr">
        <is>
          <t>Föryngringsavverkning</t>
        </is>
      </c>
      <c r="D337" s="1" t="n">
        <v>45981</v>
      </c>
      <c r="E337" s="1" t="n">
        <v>46220</v>
      </c>
      <c r="F337" t="inlineStr">
        <is>
          <t>DALARNAS LÄN</t>
        </is>
      </c>
      <c r="G337" t="inlineStr">
        <is>
          <t>SMEDJEBACKEN</t>
        </is>
      </c>
      <c r="I337" t="n">
        <v>6.3</v>
      </c>
      <c r="J337" t="n">
        <v>0</v>
      </c>
      <c r="K337" t="n">
        <v>0</v>
      </c>
      <c r="L337" t="n">
        <v>0</v>
      </c>
      <c r="M337" t="n">
        <v>0</v>
      </c>
      <c r="N337" t="n">
        <v>0</v>
      </c>
      <c r="O337" t="n">
        <v>0</v>
      </c>
      <c r="P337" t="n">
        <v>0</v>
      </c>
      <c r="Q337" t="n">
        <v>0</v>
      </c>
      <c r="R337" t="n">
        <v>0</v>
      </c>
      <c r="S337" t="n">
        <v>0</v>
      </c>
      <c r="T337" t="n">
        <v>0</v>
      </c>
      <c r="U337" s="2" t="inlineStr"/>
    </row>
    <row r="338" ht="15" customHeight="1">
      <c r="A338" t="inlineStr">
        <is>
          <t>A 57409-2025</t>
        </is>
      </c>
      <c r="B338" t="inlineStr">
        <is>
          <t>avverkningsanmälan</t>
        </is>
      </c>
      <c r="C338" t="inlineStr">
        <is>
          <t>Föryngringsavverkning</t>
        </is>
      </c>
      <c r="D338" s="1" t="n">
        <v>45980</v>
      </c>
      <c r="E338" s="1" t="n">
        <v>46220</v>
      </c>
      <c r="F338" t="inlineStr">
        <is>
          <t>DALARNAS LÄN</t>
        </is>
      </c>
      <c r="G338" t="inlineStr">
        <is>
          <t>SMEDJEBACKEN</t>
        </is>
      </c>
      <c r="H338" t="inlineStr">
        <is>
          <t>Sveaskog</t>
        </is>
      </c>
      <c r="I338" t="n">
        <v>3.2</v>
      </c>
      <c r="J338" t="n">
        <v>0</v>
      </c>
      <c r="K338" t="n">
        <v>0</v>
      </c>
      <c r="L338" t="n">
        <v>0</v>
      </c>
      <c r="M338" t="n">
        <v>0</v>
      </c>
      <c r="N338" t="n">
        <v>0</v>
      </c>
      <c r="O338" t="n">
        <v>0</v>
      </c>
      <c r="P338" t="n">
        <v>0</v>
      </c>
      <c r="Q338" t="n">
        <v>0</v>
      </c>
      <c r="R338" t="n">
        <v>0</v>
      </c>
      <c r="S338" t="n">
        <v>0</v>
      </c>
      <c r="T338" t="n">
        <v>0</v>
      </c>
      <c r="U338" s="2" t="inlineStr"/>
    </row>
    <row r="339" ht="15" customHeight="1">
      <c r="A339" t="inlineStr">
        <is>
          <t>A 58280-2025</t>
        </is>
      </c>
      <c r="B339" t="inlineStr">
        <is>
          <t>avverkningsanmälan</t>
        </is>
      </c>
      <c r="C339" t="inlineStr">
        <is>
          <t>Föryngringsavverkning</t>
        </is>
      </c>
      <c r="D339" s="1" t="n">
        <v>45985</v>
      </c>
      <c r="E339" s="1" t="n">
        <v>46220</v>
      </c>
      <c r="F339" t="inlineStr">
        <is>
          <t>DALARNAS LÄN</t>
        </is>
      </c>
      <c r="G339" t="inlineStr">
        <is>
          <t>SMEDJEBACKEN</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23684-2025</t>
        </is>
      </c>
      <c r="B340" t="inlineStr">
        <is>
          <t>avverkningsanmälan</t>
        </is>
      </c>
      <c r="C340" t="inlineStr">
        <is>
          <t>Föryngringsavverkning</t>
        </is>
      </c>
      <c r="D340" s="1" t="n">
        <v>45793</v>
      </c>
      <c r="E340" s="1" t="n">
        <v>46220</v>
      </c>
      <c r="F340" t="inlineStr">
        <is>
          <t>DALARNAS LÄN</t>
        </is>
      </c>
      <c r="G340" t="inlineStr">
        <is>
          <t>SMEDJEBACKEN</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16351-2025</t>
        </is>
      </c>
      <c r="B341" t="inlineStr">
        <is>
          <t>avverkningsanmälan</t>
        </is>
      </c>
      <c r="C341" t="inlineStr">
        <is>
          <t>Föryngringsavverkning</t>
        </is>
      </c>
      <c r="D341" s="1" t="n">
        <v>45751</v>
      </c>
      <c r="E341" s="1" t="n">
        <v>46220</v>
      </c>
      <c r="F341" t="inlineStr">
        <is>
          <t>DALARNAS LÄN</t>
        </is>
      </c>
      <c r="G341" t="inlineStr">
        <is>
          <t>SMEDJEBACKEN</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29420-2023</t>
        </is>
      </c>
      <c r="B342" t="inlineStr">
        <is>
          <t>avverkningsanmälan</t>
        </is>
      </c>
      <c r="C342" t="inlineStr">
        <is>
          <t>Föryngringsavverkning</t>
        </is>
      </c>
      <c r="D342" s="1" t="n">
        <v>45106</v>
      </c>
      <c r="E342" s="1" t="n">
        <v>46220</v>
      </c>
      <c r="F342" t="inlineStr">
        <is>
          <t>DALARNAS LÄN</t>
        </is>
      </c>
      <c r="G342" t="inlineStr">
        <is>
          <t>SMEDJEBACKEN</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60528-2025</t>
        </is>
      </c>
      <c r="B343" t="inlineStr">
        <is>
          <t>avverkningsanmälan</t>
        </is>
      </c>
      <c r="C343" t="inlineStr">
        <is>
          <t>Föryngringsavverkning</t>
        </is>
      </c>
      <c r="D343" s="1" t="n">
        <v>45995</v>
      </c>
      <c r="E343" s="1" t="n">
        <v>46220</v>
      </c>
      <c r="F343" t="inlineStr">
        <is>
          <t>DALARNAS LÄN</t>
        </is>
      </c>
      <c r="G343" t="inlineStr">
        <is>
          <t>SMEDJEBACKEN</t>
        </is>
      </c>
      <c r="H343" t="inlineStr">
        <is>
          <t>Bergvik skog väst AB</t>
        </is>
      </c>
      <c r="I343" t="n">
        <v>5.1</v>
      </c>
      <c r="J343" t="n">
        <v>0</v>
      </c>
      <c r="K343" t="n">
        <v>0</v>
      </c>
      <c r="L343" t="n">
        <v>0</v>
      </c>
      <c r="M343" t="n">
        <v>0</v>
      </c>
      <c r="N343" t="n">
        <v>0</v>
      </c>
      <c r="O343" t="n">
        <v>0</v>
      </c>
      <c r="P343" t="n">
        <v>0</v>
      </c>
      <c r="Q343" t="n">
        <v>0</v>
      </c>
      <c r="R343" t="n">
        <v>0</v>
      </c>
      <c r="S343" t="n">
        <v>0</v>
      </c>
      <c r="T343" t="n">
        <v>0</v>
      </c>
      <c r="U343" s="2" t="inlineStr"/>
    </row>
    <row r="344" ht="15" customHeight="1">
      <c r="A344" t="inlineStr">
        <is>
          <t>A 19469-2024</t>
        </is>
      </c>
      <c r="B344" t="inlineStr">
        <is>
          <t>avverkningsanmälan</t>
        </is>
      </c>
      <c r="C344" t="inlineStr">
        <is>
          <t>Föryngringsavverkning</t>
        </is>
      </c>
      <c r="D344" s="1" t="n">
        <v>45429</v>
      </c>
      <c r="E344" s="1" t="n">
        <v>46220</v>
      </c>
      <c r="F344" t="inlineStr">
        <is>
          <t>DALARNAS LÄN</t>
        </is>
      </c>
      <c r="G344" t="inlineStr">
        <is>
          <t>SMEDJEBACKEN</t>
        </is>
      </c>
      <c r="H344" t="inlineStr">
        <is>
          <t>Sveaskog</t>
        </is>
      </c>
      <c r="I344" t="n">
        <v>2.4</v>
      </c>
      <c r="J344" t="n">
        <v>0</v>
      </c>
      <c r="K344" t="n">
        <v>0</v>
      </c>
      <c r="L344" t="n">
        <v>0</v>
      </c>
      <c r="M344" t="n">
        <v>0</v>
      </c>
      <c r="N344" t="n">
        <v>0</v>
      </c>
      <c r="O344" t="n">
        <v>0</v>
      </c>
      <c r="P344" t="n">
        <v>0</v>
      </c>
      <c r="Q344" t="n">
        <v>0</v>
      </c>
      <c r="R344" t="n">
        <v>0</v>
      </c>
      <c r="S344" t="n">
        <v>0</v>
      </c>
      <c r="T344" t="n">
        <v>0</v>
      </c>
      <c r="U344" s="2" t="inlineStr"/>
    </row>
    <row r="345" ht="15" customHeight="1">
      <c r="A345" t="inlineStr">
        <is>
          <t>A 15557-2024</t>
        </is>
      </c>
      <c r="B345" t="inlineStr">
        <is>
          <t>avverkningsanmälan</t>
        </is>
      </c>
      <c r="C345" t="inlineStr">
        <is>
          <t>Föryngringsavverkning</t>
        </is>
      </c>
      <c r="D345" s="1" t="n">
        <v>45401</v>
      </c>
      <c r="E345" s="1" t="n">
        <v>46220</v>
      </c>
      <c r="F345" t="inlineStr">
        <is>
          <t>DALARNAS LÄN</t>
        </is>
      </c>
      <c r="G345" t="inlineStr">
        <is>
          <t>SMEDJEBACKEN</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48057-2024</t>
        </is>
      </c>
      <c r="B346" t="inlineStr">
        <is>
          <t>avverkningsanmälan</t>
        </is>
      </c>
      <c r="C346" t="inlineStr">
        <is>
          <t>Föryngringsavverkning</t>
        </is>
      </c>
      <c r="D346" s="1" t="n">
        <v>45589</v>
      </c>
      <c r="E346" s="1" t="n">
        <v>46220</v>
      </c>
      <c r="F346" t="inlineStr">
        <is>
          <t>DALARNAS LÄN</t>
        </is>
      </c>
      <c r="G346" t="inlineStr">
        <is>
          <t>SMEDJEBACKEN</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23687-2023</t>
        </is>
      </c>
      <c r="B347" t="inlineStr">
        <is>
          <t>avverkningsanmälan</t>
        </is>
      </c>
      <c r="C347" t="inlineStr">
        <is>
          <t>Föryngringsavverkning</t>
        </is>
      </c>
      <c r="D347" s="1" t="n">
        <v>45077</v>
      </c>
      <c r="E347" s="1" t="n">
        <v>46220</v>
      </c>
      <c r="F347" t="inlineStr">
        <is>
          <t>DALARNAS LÄN</t>
        </is>
      </c>
      <c r="G347" t="inlineStr">
        <is>
          <t>SMEDJEBACKEN</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26998-2024</t>
        </is>
      </c>
      <c r="B348" t="inlineStr">
        <is>
          <t>avverkningsanmälan</t>
        </is>
      </c>
      <c r="C348" t="inlineStr">
        <is>
          <t>Föryngringsavverkning</t>
        </is>
      </c>
      <c r="D348" s="1" t="n">
        <v>45471</v>
      </c>
      <c r="E348" s="1" t="n">
        <v>46220</v>
      </c>
      <c r="F348" t="inlineStr">
        <is>
          <t>DALARNAS LÄN</t>
        </is>
      </c>
      <c r="G348" t="inlineStr">
        <is>
          <t>SMEDJEBACKEN</t>
        </is>
      </c>
      <c r="I348" t="n">
        <v>9</v>
      </c>
      <c r="J348" t="n">
        <v>0</v>
      </c>
      <c r="K348" t="n">
        <v>0</v>
      </c>
      <c r="L348" t="n">
        <v>0</v>
      </c>
      <c r="M348" t="n">
        <v>0</v>
      </c>
      <c r="N348" t="n">
        <v>0</v>
      </c>
      <c r="O348" t="n">
        <v>0</v>
      </c>
      <c r="P348" t="n">
        <v>0</v>
      </c>
      <c r="Q348" t="n">
        <v>0</v>
      </c>
      <c r="R348" t="n">
        <v>0</v>
      </c>
      <c r="S348" t="n">
        <v>0</v>
      </c>
      <c r="T348" t="n">
        <v>0</v>
      </c>
      <c r="U348" s="2" t="inlineStr"/>
    </row>
    <row r="349" ht="15" customHeight="1">
      <c r="A349" t="inlineStr">
        <is>
          <t>A 46754-2023</t>
        </is>
      </c>
      <c r="B349" t="inlineStr">
        <is>
          <t>avverkningsanmälan</t>
        </is>
      </c>
      <c r="C349" t="inlineStr">
        <is>
          <t>Avverkning för annat ändamål</t>
        </is>
      </c>
      <c r="D349" s="1" t="n">
        <v>45198</v>
      </c>
      <c r="E349" s="1" t="n">
        <v>46220</v>
      </c>
      <c r="F349" t="inlineStr">
        <is>
          <t>DALARNAS LÄN</t>
        </is>
      </c>
      <c r="G349" t="inlineStr">
        <is>
          <t>SMEDJEBACKEN</t>
        </is>
      </c>
      <c r="H349" t="inlineStr">
        <is>
          <t>Sveaskog</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62110-2025</t>
        </is>
      </c>
      <c r="B350" t="inlineStr">
        <is>
          <t>avverkningsanmälan</t>
        </is>
      </c>
      <c r="C350" t="inlineStr">
        <is>
          <t>Föryngringsavverkning</t>
        </is>
      </c>
      <c r="D350" s="1" t="n">
        <v>46006</v>
      </c>
      <c r="E350" s="1" t="n">
        <v>46220</v>
      </c>
      <c r="F350" t="inlineStr">
        <is>
          <t>DALARNAS LÄN</t>
        </is>
      </c>
      <c r="G350" t="inlineStr">
        <is>
          <t>SMEDJEBACKEN</t>
        </is>
      </c>
      <c r="H350" t="inlineStr">
        <is>
          <t>Bergvik skog väst AB</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62693-2025</t>
        </is>
      </c>
      <c r="B351" t="inlineStr">
        <is>
          <t>avverkningsanmälan</t>
        </is>
      </c>
      <c r="C351" t="inlineStr">
        <is>
          <t>Föryngringsavverkning</t>
        </is>
      </c>
      <c r="D351" s="1" t="n">
        <v>46008</v>
      </c>
      <c r="E351" s="1" t="n">
        <v>46220</v>
      </c>
      <c r="F351" t="inlineStr">
        <is>
          <t>DALARNAS LÄN</t>
        </is>
      </c>
      <c r="G351" t="inlineStr">
        <is>
          <t>SMEDJEBACKEN</t>
        </is>
      </c>
      <c r="H351" t="inlineStr">
        <is>
          <t>Bergvik skog väst AB</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62713-2025</t>
        </is>
      </c>
      <c r="B352" t="inlineStr">
        <is>
          <t>avverkningsanmälan</t>
        </is>
      </c>
      <c r="C352" t="inlineStr">
        <is>
          <t>Föryngringsavverkning</t>
        </is>
      </c>
      <c r="D352" s="1" t="n">
        <v>46008</v>
      </c>
      <c r="E352" s="1" t="n">
        <v>46220</v>
      </c>
      <c r="F352" t="inlineStr">
        <is>
          <t>DALARNAS LÄN</t>
        </is>
      </c>
      <c r="G352" t="inlineStr">
        <is>
          <t>SMEDJEBACKEN</t>
        </is>
      </c>
      <c r="H352" t="inlineStr">
        <is>
          <t>Bergvik skog väst AB</t>
        </is>
      </c>
      <c r="I352" t="n">
        <v>5</v>
      </c>
      <c r="J352" t="n">
        <v>0</v>
      </c>
      <c r="K352" t="n">
        <v>0</v>
      </c>
      <c r="L352" t="n">
        <v>0</v>
      </c>
      <c r="M352" t="n">
        <v>0</v>
      </c>
      <c r="N352" t="n">
        <v>0</v>
      </c>
      <c r="O352" t="n">
        <v>0</v>
      </c>
      <c r="P352" t="n">
        <v>0</v>
      </c>
      <c r="Q352" t="n">
        <v>0</v>
      </c>
      <c r="R352" t="n">
        <v>0</v>
      </c>
      <c r="S352" t="n">
        <v>0</v>
      </c>
      <c r="T352" t="n">
        <v>0</v>
      </c>
      <c r="U352" s="2" t="inlineStr"/>
    </row>
    <row r="353" ht="15" customHeight="1">
      <c r="A353" t="inlineStr">
        <is>
          <t>A 62875-2025</t>
        </is>
      </c>
      <c r="B353" t="inlineStr">
        <is>
          <t>avverkningsanmälan</t>
        </is>
      </c>
      <c r="C353" t="inlineStr">
        <is>
          <t>Föryngringsavverkning</t>
        </is>
      </c>
      <c r="D353" s="1" t="n">
        <v>46008</v>
      </c>
      <c r="E353" s="1" t="n">
        <v>46220</v>
      </c>
      <c r="F353" t="inlineStr">
        <is>
          <t>DALARNAS LÄN</t>
        </is>
      </c>
      <c r="G353" t="inlineStr">
        <is>
          <t>SMEDJEBACKEN</t>
        </is>
      </c>
      <c r="H353" t="inlineStr">
        <is>
          <t>Övriga Aktiebolag</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34039-2023</t>
        </is>
      </c>
      <c r="B354" t="inlineStr">
        <is>
          <t>avverkningsanmälan</t>
        </is>
      </c>
      <c r="C354" t="inlineStr">
        <is>
          <t>Föryngringsavverkning</t>
        </is>
      </c>
      <c r="D354" s="1" t="n">
        <v>45125</v>
      </c>
      <c r="E354" s="1" t="n">
        <v>46220</v>
      </c>
      <c r="F354" t="inlineStr">
        <is>
          <t>DALARNAS LÄN</t>
        </is>
      </c>
      <c r="G354" t="inlineStr">
        <is>
          <t>SMEDJEBACKEN</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15350-2022</t>
        </is>
      </c>
      <c r="B355" t="inlineStr">
        <is>
          <t>avverkningsanmälan</t>
        </is>
      </c>
      <c r="C355" t="inlineStr">
        <is>
          <t>Föryngringsavverkning</t>
        </is>
      </c>
      <c r="D355" s="1" t="n">
        <v>44659</v>
      </c>
      <c r="E355" s="1" t="n">
        <v>46220</v>
      </c>
      <c r="F355" t="inlineStr">
        <is>
          <t>DALARNAS LÄN</t>
        </is>
      </c>
      <c r="G355" t="inlineStr">
        <is>
          <t>SMEDJEBACKEN</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17134-2024</t>
        </is>
      </c>
      <c r="B356" t="inlineStr">
        <is>
          <t>avverkningsanmälan</t>
        </is>
      </c>
      <c r="C356" t="inlineStr">
        <is>
          <t>Föryngringsavverkning</t>
        </is>
      </c>
      <c r="D356" s="1" t="n">
        <v>45412</v>
      </c>
      <c r="E356" s="1" t="n">
        <v>46220</v>
      </c>
      <c r="F356" t="inlineStr">
        <is>
          <t>DALARNAS LÄN</t>
        </is>
      </c>
      <c r="G356" t="inlineStr">
        <is>
          <t>SMEDJEBACKEN</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55680-2022</t>
        </is>
      </c>
      <c r="B357" t="inlineStr">
        <is>
          <t>avverkningsanmälan</t>
        </is>
      </c>
      <c r="C357" t="inlineStr">
        <is>
          <t>Föryngringsavverkning</t>
        </is>
      </c>
      <c r="D357" s="1" t="n">
        <v>44883</v>
      </c>
      <c r="E357" s="1" t="n">
        <v>46220</v>
      </c>
      <c r="F357" t="inlineStr">
        <is>
          <t>DALARNAS LÄN</t>
        </is>
      </c>
      <c r="G357" t="inlineStr">
        <is>
          <t>SMEDJEBACKEN</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63058-2025</t>
        </is>
      </c>
      <c r="B358" t="inlineStr">
        <is>
          <t>avverkningsanmälan</t>
        </is>
      </c>
      <c r="C358" t="inlineStr">
        <is>
          <t>Föryngringsavverkning</t>
        </is>
      </c>
      <c r="D358" s="1" t="n">
        <v>46009</v>
      </c>
      <c r="E358" s="1" t="n">
        <v>46220</v>
      </c>
      <c r="F358" t="inlineStr">
        <is>
          <t>DALARNAS LÄN</t>
        </is>
      </c>
      <c r="G358" t="inlineStr">
        <is>
          <t>SMEDJEBACKEN</t>
        </is>
      </c>
      <c r="H358" t="inlineStr">
        <is>
          <t>Övriga Aktiebolag</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9847-2026</t>
        </is>
      </c>
      <c r="B359" t="inlineStr">
        <is>
          <t>avverkningsanmälan</t>
        </is>
      </c>
      <c r="C359" t="inlineStr">
        <is>
          <t>Föryngringsavverkning</t>
        </is>
      </c>
      <c r="D359" s="1" t="n">
        <v>46072</v>
      </c>
      <c r="E359" s="1" t="n">
        <v>46220</v>
      </c>
      <c r="F359" t="inlineStr">
        <is>
          <t>DALARNAS LÄN</t>
        </is>
      </c>
      <c r="G359" t="inlineStr">
        <is>
          <t>SMEDJEBACKEN</t>
        </is>
      </c>
      <c r="H359" t="inlineStr">
        <is>
          <t>Övriga Aktiebolag</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32600-2023</t>
        </is>
      </c>
      <c r="B360" t="inlineStr">
        <is>
          <t>avverkningsanmälan</t>
        </is>
      </c>
      <c r="C360" t="inlineStr">
        <is>
          <t>Avverkning för annat ändamål</t>
        </is>
      </c>
      <c r="D360" s="1" t="n">
        <v>45121</v>
      </c>
      <c r="E360" s="1" t="n">
        <v>46220</v>
      </c>
      <c r="F360" t="inlineStr">
        <is>
          <t>DALARNAS LÄN</t>
        </is>
      </c>
      <c r="G360" t="inlineStr">
        <is>
          <t>SMEDJEBACKEN</t>
        </is>
      </c>
      <c r="H360" t="inlineStr">
        <is>
          <t>Bergvik skog väst AB</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58422-2023</t>
        </is>
      </c>
      <c r="B361" t="inlineStr">
        <is>
          <t>avverkningsanmälan</t>
        </is>
      </c>
      <c r="C361" t="inlineStr">
        <is>
          <t>Föryngringsavverkning</t>
        </is>
      </c>
      <c r="D361" s="1" t="n">
        <v>45246</v>
      </c>
      <c r="E361" s="1" t="n">
        <v>46220</v>
      </c>
      <c r="F361" t="inlineStr">
        <is>
          <t>DALARNAS LÄN</t>
        </is>
      </c>
      <c r="G361" t="inlineStr">
        <is>
          <t>SMEDJEBACKEN</t>
        </is>
      </c>
      <c r="H361" t="inlineStr">
        <is>
          <t>Bergvik skog väst AB</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63234-2025</t>
        </is>
      </c>
      <c r="B362" t="inlineStr">
        <is>
          <t>avverkningsanmälan</t>
        </is>
      </c>
      <c r="C362" t="inlineStr">
        <is>
          <t>Föryngringsavverkning</t>
        </is>
      </c>
      <c r="D362" s="1" t="n">
        <v>46010</v>
      </c>
      <c r="E362" s="1" t="n">
        <v>46220</v>
      </c>
      <c r="F362" t="inlineStr">
        <is>
          <t>DALARNAS LÄN</t>
        </is>
      </c>
      <c r="G362" t="inlineStr">
        <is>
          <t>SMEDJEBACKEN</t>
        </is>
      </c>
      <c r="I362" t="n">
        <v>5.7</v>
      </c>
      <c r="J362" t="n">
        <v>0</v>
      </c>
      <c r="K362" t="n">
        <v>0</v>
      </c>
      <c r="L362" t="n">
        <v>0</v>
      </c>
      <c r="M362" t="n">
        <v>0</v>
      </c>
      <c r="N362" t="n">
        <v>0</v>
      </c>
      <c r="O362" t="n">
        <v>0</v>
      </c>
      <c r="P362" t="n">
        <v>0</v>
      </c>
      <c r="Q362" t="n">
        <v>0</v>
      </c>
      <c r="R362" t="n">
        <v>0</v>
      </c>
      <c r="S362" t="n">
        <v>0</v>
      </c>
      <c r="T362" t="n">
        <v>0</v>
      </c>
      <c r="U362" s="2" t="inlineStr"/>
    </row>
    <row r="363" ht="15" customHeight="1">
      <c r="A363" t="inlineStr">
        <is>
          <t>A 63347-2025</t>
        </is>
      </c>
      <c r="B363" t="inlineStr">
        <is>
          <t>avverkningsanmälan</t>
        </is>
      </c>
      <c r="C363" t="inlineStr">
        <is>
          <t>Föryngringsavverkning</t>
        </is>
      </c>
      <c r="D363" s="1" t="n">
        <v>46010</v>
      </c>
      <c r="E363" s="1" t="n">
        <v>46220</v>
      </c>
      <c r="F363" t="inlineStr">
        <is>
          <t>DALARNAS LÄN</t>
        </is>
      </c>
      <c r="G363" t="inlineStr">
        <is>
          <t>SMEDJEBACKEN</t>
        </is>
      </c>
      <c r="H363" t="inlineStr">
        <is>
          <t>Bergvik skog väst AB</t>
        </is>
      </c>
      <c r="I363" t="n">
        <v>13.6</v>
      </c>
      <c r="J363" t="n">
        <v>0</v>
      </c>
      <c r="K363" t="n">
        <v>0</v>
      </c>
      <c r="L363" t="n">
        <v>0</v>
      </c>
      <c r="M363" t="n">
        <v>0</v>
      </c>
      <c r="N363" t="n">
        <v>0</v>
      </c>
      <c r="O363" t="n">
        <v>0</v>
      </c>
      <c r="P363" t="n">
        <v>0</v>
      </c>
      <c r="Q363" t="n">
        <v>0</v>
      </c>
      <c r="R363" t="n">
        <v>0</v>
      </c>
      <c r="S363" t="n">
        <v>0</v>
      </c>
      <c r="T363" t="n">
        <v>0</v>
      </c>
      <c r="U363" s="2" t="inlineStr"/>
    </row>
    <row r="364" ht="15" customHeight="1">
      <c r="A364" t="inlineStr">
        <is>
          <t>A 57151-2022</t>
        </is>
      </c>
      <c r="B364" t="inlineStr">
        <is>
          <t>avverkningsanmälan</t>
        </is>
      </c>
      <c r="C364" t="inlineStr">
        <is>
          <t>Föryngringsavverkning</t>
        </is>
      </c>
      <c r="D364" s="1" t="n">
        <v>44895</v>
      </c>
      <c r="E364" s="1" t="n">
        <v>46220</v>
      </c>
      <c r="F364" t="inlineStr">
        <is>
          <t>DALARNAS LÄN</t>
        </is>
      </c>
      <c r="G364" t="inlineStr">
        <is>
          <t>SMEDJEBACKEN</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11740-2026</t>
        </is>
      </c>
      <c r="B365" t="inlineStr">
        <is>
          <t>avverkningsanmälan</t>
        </is>
      </c>
      <c r="C365" t="inlineStr">
        <is>
          <t>Föryngringsavverkning</t>
        </is>
      </c>
      <c r="D365" s="1" t="n">
        <v>46084</v>
      </c>
      <c r="E365" s="1" t="n">
        <v>46220</v>
      </c>
      <c r="F365" t="inlineStr">
        <is>
          <t>DALARNAS LÄN</t>
        </is>
      </c>
      <c r="G365" t="inlineStr">
        <is>
          <t>SMEDJEBACKEN</t>
        </is>
      </c>
      <c r="H365" t="inlineStr">
        <is>
          <t>Övriga Aktiebolag</t>
        </is>
      </c>
      <c r="I365" t="n">
        <v>5.2</v>
      </c>
      <c r="J365" t="n">
        <v>0</v>
      </c>
      <c r="K365" t="n">
        <v>0</v>
      </c>
      <c r="L365" t="n">
        <v>0</v>
      </c>
      <c r="M365" t="n">
        <v>0</v>
      </c>
      <c r="N365" t="n">
        <v>0</v>
      </c>
      <c r="O365" t="n">
        <v>0</v>
      </c>
      <c r="P365" t="n">
        <v>0</v>
      </c>
      <c r="Q365" t="n">
        <v>0</v>
      </c>
      <c r="R365" t="n">
        <v>0</v>
      </c>
      <c r="S365" t="n">
        <v>0</v>
      </c>
      <c r="T365" t="n">
        <v>0</v>
      </c>
      <c r="U365" s="2" t="inlineStr"/>
    </row>
    <row r="366" ht="15" customHeight="1">
      <c r="A366" t="inlineStr">
        <is>
          <t>A 39085-2021</t>
        </is>
      </c>
      <c r="B366" t="inlineStr">
        <is>
          <t>avverkningsanmälan</t>
        </is>
      </c>
      <c r="C366" t="inlineStr">
        <is>
          <t>Föryngringsavverkning</t>
        </is>
      </c>
      <c r="D366" s="1" t="n">
        <v>44412</v>
      </c>
      <c r="E366" s="1" t="n">
        <v>46220</v>
      </c>
      <c r="F366" t="inlineStr">
        <is>
          <t>DALARNAS LÄN</t>
        </is>
      </c>
      <c r="G366" t="inlineStr">
        <is>
          <t>SMEDJEBACKEN</t>
        </is>
      </c>
      <c r="I366" t="n">
        <v>5.2</v>
      </c>
      <c r="J366" t="n">
        <v>0</v>
      </c>
      <c r="K366" t="n">
        <v>0</v>
      </c>
      <c r="L366" t="n">
        <v>0</v>
      </c>
      <c r="M366" t="n">
        <v>0</v>
      </c>
      <c r="N366" t="n">
        <v>0</v>
      </c>
      <c r="O366" t="n">
        <v>0</v>
      </c>
      <c r="P366" t="n">
        <v>0</v>
      </c>
      <c r="Q366" t="n">
        <v>0</v>
      </c>
      <c r="R366" t="n">
        <v>0</v>
      </c>
      <c r="S366" t="n">
        <v>0</v>
      </c>
      <c r="T366" t="n">
        <v>0</v>
      </c>
      <c r="U366" s="2" t="inlineStr"/>
    </row>
    <row r="367" ht="15" customHeight="1">
      <c r="A367" t="inlineStr">
        <is>
          <t>A 28760-2024</t>
        </is>
      </c>
      <c r="B367" t="inlineStr">
        <is>
          <t>avverkningsanmälan</t>
        </is>
      </c>
      <c r="C367" t="inlineStr">
        <is>
          <t>Föryngringsavverkning</t>
        </is>
      </c>
      <c r="D367" s="1" t="n">
        <v>45478</v>
      </c>
      <c r="E367" s="1" t="n">
        <v>46220</v>
      </c>
      <c r="F367" t="inlineStr">
        <is>
          <t>DALARNAS LÄN</t>
        </is>
      </c>
      <c r="G367" t="inlineStr">
        <is>
          <t>SMEDJEBACKEN</t>
        </is>
      </c>
      <c r="H367" t="inlineStr">
        <is>
          <t>Bergvik skog väst AB</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49535-2024</t>
        </is>
      </c>
      <c r="B368" t="inlineStr">
        <is>
          <t>avverkningsanmälan</t>
        </is>
      </c>
      <c r="C368" t="inlineStr">
        <is>
          <t>Föryngringsavverkning</t>
        </is>
      </c>
      <c r="D368" s="1" t="n">
        <v>45596</v>
      </c>
      <c r="E368" s="1" t="n">
        <v>46220</v>
      </c>
      <c r="F368" t="inlineStr">
        <is>
          <t>DALARNAS LÄN</t>
        </is>
      </c>
      <c r="G368" t="inlineStr">
        <is>
          <t>SMEDJEBACKEN</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12441-2026</t>
        </is>
      </c>
      <c r="B369" t="inlineStr">
        <is>
          <t>avverkningsanmälan</t>
        </is>
      </c>
      <c r="C369" t="inlineStr">
        <is>
          <t>Föryngringsavverkning</t>
        </is>
      </c>
      <c r="D369" s="1" t="n">
        <v>46090</v>
      </c>
      <c r="E369" s="1" t="n">
        <v>46220</v>
      </c>
      <c r="F369" t="inlineStr">
        <is>
          <t>DALARNAS LÄN</t>
        </is>
      </c>
      <c r="G369" t="inlineStr">
        <is>
          <t>SMEDJEBACKEN</t>
        </is>
      </c>
      <c r="I369" t="n">
        <v>5.4</v>
      </c>
      <c r="J369" t="n">
        <v>0</v>
      </c>
      <c r="K369" t="n">
        <v>0</v>
      </c>
      <c r="L369" t="n">
        <v>0</v>
      </c>
      <c r="M369" t="n">
        <v>0</v>
      </c>
      <c r="N369" t="n">
        <v>0</v>
      </c>
      <c r="O369" t="n">
        <v>0</v>
      </c>
      <c r="P369" t="n">
        <v>0</v>
      </c>
      <c r="Q369" t="n">
        <v>0</v>
      </c>
      <c r="R369" t="n">
        <v>0</v>
      </c>
      <c r="S369" t="n">
        <v>0</v>
      </c>
      <c r="T369" t="n">
        <v>0</v>
      </c>
      <c r="U369" s="2" t="inlineStr"/>
    </row>
    <row r="370" ht="15" customHeight="1">
      <c r="A370" t="inlineStr">
        <is>
          <t>A 55650-2021</t>
        </is>
      </c>
      <c r="B370" t="inlineStr">
        <is>
          <t>avverkningsanmälan</t>
        </is>
      </c>
      <c r="C370" t="inlineStr">
        <is>
          <t>Föryngringsavverkning</t>
        </is>
      </c>
      <c r="D370" s="1" t="n">
        <v>44475</v>
      </c>
      <c r="E370" s="1" t="n">
        <v>46220</v>
      </c>
      <c r="F370" t="inlineStr">
        <is>
          <t>DALARNAS LÄN</t>
        </is>
      </c>
      <c r="G370" t="inlineStr">
        <is>
          <t>SMEDJEBACKEN</t>
        </is>
      </c>
      <c r="H370" t="inlineStr">
        <is>
          <t>Bergvik skog väst AB</t>
        </is>
      </c>
      <c r="I370" t="n">
        <v>2.9</v>
      </c>
      <c r="J370" t="n">
        <v>0</v>
      </c>
      <c r="K370" t="n">
        <v>0</v>
      </c>
      <c r="L370" t="n">
        <v>0</v>
      </c>
      <c r="M370" t="n">
        <v>0</v>
      </c>
      <c r="N370" t="n">
        <v>0</v>
      </c>
      <c r="O370" t="n">
        <v>0</v>
      </c>
      <c r="P370" t="n">
        <v>0</v>
      </c>
      <c r="Q370" t="n">
        <v>0</v>
      </c>
      <c r="R370" t="n">
        <v>0</v>
      </c>
      <c r="S370" t="n">
        <v>0</v>
      </c>
      <c r="T370" t="n">
        <v>0</v>
      </c>
      <c r="U370" s="2" t="inlineStr"/>
    </row>
    <row r="371" ht="15" customHeight="1">
      <c r="A371" t="inlineStr">
        <is>
          <t>A 12447-2026</t>
        </is>
      </c>
      <c r="B371" t="inlineStr">
        <is>
          <t>avverkningsanmälan</t>
        </is>
      </c>
      <c r="C371" t="inlineStr">
        <is>
          <t>Föryngringsavverkning</t>
        </is>
      </c>
      <c r="D371" s="1" t="n">
        <v>46090</v>
      </c>
      <c r="E371" s="1" t="n">
        <v>46220</v>
      </c>
      <c r="F371" t="inlineStr">
        <is>
          <t>DALARNAS LÄN</t>
        </is>
      </c>
      <c r="G371" t="inlineStr">
        <is>
          <t>SMEDJEBACKEN</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57629-2022</t>
        </is>
      </c>
      <c r="B372" t="inlineStr">
        <is>
          <t>avverkningsanmälan</t>
        </is>
      </c>
      <c r="C372" t="inlineStr">
        <is>
          <t>Föryngringsavverkning</t>
        </is>
      </c>
      <c r="D372" s="1" t="n">
        <v>44897</v>
      </c>
      <c r="E372" s="1" t="n">
        <v>46220</v>
      </c>
      <c r="F372" t="inlineStr">
        <is>
          <t>DALARNAS LÄN</t>
        </is>
      </c>
      <c r="G372" t="inlineStr">
        <is>
          <t>SMEDJEBACKEN</t>
        </is>
      </c>
      <c r="H372" t="inlineStr">
        <is>
          <t>Kyrkan</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57390-2022</t>
        </is>
      </c>
      <c r="B373" t="inlineStr">
        <is>
          <t>avverkningsanmälan</t>
        </is>
      </c>
      <c r="C373" t="inlineStr">
        <is>
          <t>Föryngringsavverkning</t>
        </is>
      </c>
      <c r="D373" s="1" t="n">
        <v>44896</v>
      </c>
      <c r="E373" s="1" t="n">
        <v>46220</v>
      </c>
      <c r="F373" t="inlineStr">
        <is>
          <t>DALARNAS LÄN</t>
        </is>
      </c>
      <c r="G373" t="inlineStr">
        <is>
          <t>SMEDJEBACKEN</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25118-2024</t>
        </is>
      </c>
      <c r="B374" t="inlineStr">
        <is>
          <t>avverkningsanmälan</t>
        </is>
      </c>
      <c r="C374" t="inlineStr">
        <is>
          <t>Föryngringsavverkning</t>
        </is>
      </c>
      <c r="D374" s="1" t="n">
        <v>45462</v>
      </c>
      <c r="E374" s="1" t="n">
        <v>46220</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25126-2024</t>
        </is>
      </c>
      <c r="B375" t="inlineStr">
        <is>
          <t>avverkningsanmälan</t>
        </is>
      </c>
      <c r="C375" t="inlineStr">
        <is>
          <t>Föryngringsavverkning</t>
        </is>
      </c>
      <c r="D375" s="1" t="n">
        <v>45462</v>
      </c>
      <c r="E375" s="1" t="n">
        <v>46220</v>
      </c>
      <c r="F375" t="inlineStr">
        <is>
          <t>DALARNAS LÄN</t>
        </is>
      </c>
      <c r="G375" t="inlineStr">
        <is>
          <t>SMEDJEBACKEN</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13535-2026</t>
        </is>
      </c>
      <c r="B376" t="inlineStr">
        <is>
          <t>avverkningsanmälan</t>
        </is>
      </c>
      <c r="C376" t="inlineStr">
        <is>
          <t>Föryngringsavverkning</t>
        </is>
      </c>
      <c r="D376" s="1" t="n">
        <v>46094</v>
      </c>
      <c r="E376" s="1" t="n">
        <v>46220</v>
      </c>
      <c r="F376" t="inlineStr">
        <is>
          <t>DALARNAS LÄN</t>
        </is>
      </c>
      <c r="G376" t="inlineStr">
        <is>
          <t>SMEDJEBACKEN</t>
        </is>
      </c>
      <c r="H376" t="inlineStr">
        <is>
          <t>Övriga Aktiebolag</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32016-2022</t>
        </is>
      </c>
      <c r="B377" t="inlineStr">
        <is>
          <t>avverkningsanmälan</t>
        </is>
      </c>
      <c r="C377" t="inlineStr">
        <is>
          <t>Föryngringsavverkning</t>
        </is>
      </c>
      <c r="D377" s="1" t="n">
        <v>44778</v>
      </c>
      <c r="E377" s="1" t="n">
        <v>46220</v>
      </c>
      <c r="F377" t="inlineStr">
        <is>
          <t>DALARNAS LÄN</t>
        </is>
      </c>
      <c r="G377" t="inlineStr">
        <is>
          <t>SMEDJEBACKEN</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56393-2024</t>
        </is>
      </c>
      <c r="B378" t="inlineStr">
        <is>
          <t>avverkningsanmälan</t>
        </is>
      </c>
      <c r="C378" t="inlineStr">
        <is>
          <t>Föryngringsavverkning</t>
        </is>
      </c>
      <c r="D378" s="1" t="n">
        <v>45625</v>
      </c>
      <c r="E378" s="1" t="n">
        <v>46220</v>
      </c>
      <c r="F378" t="inlineStr">
        <is>
          <t>DALARNAS LÄN</t>
        </is>
      </c>
      <c r="G378" t="inlineStr">
        <is>
          <t>SMEDJEBACKEN</t>
        </is>
      </c>
      <c r="H378" t="inlineStr">
        <is>
          <t>Sveaskog</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13851-2026</t>
        </is>
      </c>
      <c r="B379" t="inlineStr">
        <is>
          <t>avverkningsanmälan</t>
        </is>
      </c>
      <c r="C379" t="inlineStr">
        <is>
          <t>Föryngringsavverkning</t>
        </is>
      </c>
      <c r="D379" s="1" t="n">
        <v>46098</v>
      </c>
      <c r="E379" s="1" t="n">
        <v>46220</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14011-2026</t>
        </is>
      </c>
      <c r="B380" t="inlineStr">
        <is>
          <t>avverkningsanmälan</t>
        </is>
      </c>
      <c r="C380" t="inlineStr">
        <is>
          <t>Föryngringsavverkning</t>
        </is>
      </c>
      <c r="D380" s="1" t="n">
        <v>46098</v>
      </c>
      <c r="E380" s="1" t="n">
        <v>46220</v>
      </c>
      <c r="F380" t="inlineStr">
        <is>
          <t>DALARNAS LÄN</t>
        </is>
      </c>
      <c r="G380" t="inlineStr">
        <is>
          <t>SMEDJEBACKEN</t>
        </is>
      </c>
      <c r="H380" t="inlineStr">
        <is>
          <t>Bergvik skog väst AB</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13956-2026</t>
        </is>
      </c>
      <c r="B381" t="inlineStr">
        <is>
          <t>avverkningsanmälan</t>
        </is>
      </c>
      <c r="C381" t="inlineStr">
        <is>
          <t>Föryngringsavverkning</t>
        </is>
      </c>
      <c r="D381" s="1" t="n">
        <v>46098</v>
      </c>
      <c r="E381" s="1" t="n">
        <v>46220</v>
      </c>
      <c r="F381" t="inlineStr">
        <is>
          <t>DALARNAS LÄN</t>
        </is>
      </c>
      <c r="G381" t="inlineStr">
        <is>
          <t>SMEDJEBACKEN</t>
        </is>
      </c>
      <c r="H381" t="inlineStr">
        <is>
          <t>Övriga Aktiebolag</t>
        </is>
      </c>
      <c r="I381" t="n">
        <v>28.8</v>
      </c>
      <c r="J381" t="n">
        <v>0</v>
      </c>
      <c r="K381" t="n">
        <v>0</v>
      </c>
      <c r="L381" t="n">
        <v>0</v>
      </c>
      <c r="M381" t="n">
        <v>0</v>
      </c>
      <c r="N381" t="n">
        <v>0</v>
      </c>
      <c r="O381" t="n">
        <v>0</v>
      </c>
      <c r="P381" t="n">
        <v>0</v>
      </c>
      <c r="Q381" t="n">
        <v>0</v>
      </c>
      <c r="R381" t="n">
        <v>0</v>
      </c>
      <c r="S381" t="n">
        <v>0</v>
      </c>
      <c r="T381" t="n">
        <v>0</v>
      </c>
      <c r="U381" s="2" t="inlineStr"/>
    </row>
    <row r="382" ht="15" customHeight="1">
      <c r="A382" t="inlineStr">
        <is>
          <t>A 14415-2026</t>
        </is>
      </c>
      <c r="B382" t="inlineStr">
        <is>
          <t>avverkningsanmälan</t>
        </is>
      </c>
      <c r="C382" t="inlineStr">
        <is>
          <t>Föryngringsavverkning</t>
        </is>
      </c>
      <c r="D382" s="1" t="n">
        <v>46100</v>
      </c>
      <c r="E382" s="1" t="n">
        <v>46220</v>
      </c>
      <c r="F382" t="inlineStr">
        <is>
          <t>DALARNAS LÄN</t>
        </is>
      </c>
      <c r="G382" t="inlineStr">
        <is>
          <t>SMEDJEBACKEN</t>
        </is>
      </c>
      <c r="H382" t="inlineStr">
        <is>
          <t>Övriga Aktiebolag</t>
        </is>
      </c>
      <c r="I382" t="n">
        <v>3.5</v>
      </c>
      <c r="J382" t="n">
        <v>0</v>
      </c>
      <c r="K382" t="n">
        <v>0</v>
      </c>
      <c r="L382" t="n">
        <v>0</v>
      </c>
      <c r="M382" t="n">
        <v>0</v>
      </c>
      <c r="N382" t="n">
        <v>0</v>
      </c>
      <c r="O382" t="n">
        <v>0</v>
      </c>
      <c r="P382" t="n">
        <v>0</v>
      </c>
      <c r="Q382" t="n">
        <v>0</v>
      </c>
      <c r="R382" t="n">
        <v>0</v>
      </c>
      <c r="S382" t="n">
        <v>0</v>
      </c>
      <c r="T382" t="n">
        <v>0</v>
      </c>
      <c r="U382" s="2" t="inlineStr"/>
    </row>
    <row r="383" ht="15" customHeight="1">
      <c r="A383" t="inlineStr">
        <is>
          <t>A 14430-2026</t>
        </is>
      </c>
      <c r="B383" t="inlineStr">
        <is>
          <t>avverkningsanmälan</t>
        </is>
      </c>
      <c r="C383" t="inlineStr">
        <is>
          <t>Föryngringsavverkning</t>
        </is>
      </c>
      <c r="D383" s="1" t="n">
        <v>46100</v>
      </c>
      <c r="E383" s="1" t="n">
        <v>46220</v>
      </c>
      <c r="F383" t="inlineStr">
        <is>
          <t>DALARNAS LÄN</t>
        </is>
      </c>
      <c r="G383" t="inlineStr">
        <is>
          <t>SMEDJEBACKEN</t>
        </is>
      </c>
      <c r="H383" t="inlineStr">
        <is>
          <t>Övriga Aktiebolag</t>
        </is>
      </c>
      <c r="I383" t="n">
        <v>4</v>
      </c>
      <c r="J383" t="n">
        <v>0</v>
      </c>
      <c r="K383" t="n">
        <v>0</v>
      </c>
      <c r="L383" t="n">
        <v>0</v>
      </c>
      <c r="M383" t="n">
        <v>0</v>
      </c>
      <c r="N383" t="n">
        <v>0</v>
      </c>
      <c r="O383" t="n">
        <v>0</v>
      </c>
      <c r="P383" t="n">
        <v>0</v>
      </c>
      <c r="Q383" t="n">
        <v>0</v>
      </c>
      <c r="R383" t="n">
        <v>0</v>
      </c>
      <c r="S383" t="n">
        <v>0</v>
      </c>
      <c r="T383" t="n">
        <v>0</v>
      </c>
      <c r="U383" s="2" t="inlineStr"/>
    </row>
    <row r="384" ht="15" customHeight="1">
      <c r="A384" t="inlineStr">
        <is>
          <t>A 14276-2026</t>
        </is>
      </c>
      <c r="B384" t="inlineStr">
        <is>
          <t>avverkningsanmälan</t>
        </is>
      </c>
      <c r="C384" t="inlineStr">
        <is>
          <t>Föryngringsavverkning</t>
        </is>
      </c>
      <c r="D384" s="1" t="n">
        <v>46099</v>
      </c>
      <c r="E384" s="1" t="n">
        <v>46220</v>
      </c>
      <c r="F384" t="inlineStr">
        <is>
          <t>DALARNAS LÄN</t>
        </is>
      </c>
      <c r="G384" t="inlineStr">
        <is>
          <t>SMEDJEBACKEN</t>
        </is>
      </c>
      <c r="I384" t="n">
        <v>5.1</v>
      </c>
      <c r="J384" t="n">
        <v>0</v>
      </c>
      <c r="K384" t="n">
        <v>0</v>
      </c>
      <c r="L384" t="n">
        <v>0</v>
      </c>
      <c r="M384" t="n">
        <v>0</v>
      </c>
      <c r="N384" t="n">
        <v>0</v>
      </c>
      <c r="O384" t="n">
        <v>0</v>
      </c>
      <c r="P384" t="n">
        <v>0</v>
      </c>
      <c r="Q384" t="n">
        <v>0</v>
      </c>
      <c r="R384" t="n">
        <v>0</v>
      </c>
      <c r="S384" t="n">
        <v>0</v>
      </c>
      <c r="T384" t="n">
        <v>0</v>
      </c>
      <c r="U384" s="2" t="inlineStr"/>
    </row>
    <row r="385" ht="15" customHeight="1">
      <c r="A385" t="inlineStr">
        <is>
          <t>A 16155-2022</t>
        </is>
      </c>
      <c r="B385" t="inlineStr">
        <is>
          <t>avverkningsanmälan</t>
        </is>
      </c>
      <c r="C385" t="inlineStr">
        <is>
          <t>Föryngringsavverkning</t>
        </is>
      </c>
      <c r="D385" s="1" t="n">
        <v>44666</v>
      </c>
      <c r="E385" s="1" t="n">
        <v>46220</v>
      </c>
      <c r="F385" t="inlineStr">
        <is>
          <t>DALARNAS LÄN</t>
        </is>
      </c>
      <c r="G385" t="inlineStr">
        <is>
          <t>SMEDJEBACKEN</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14605-2026</t>
        </is>
      </c>
      <c r="B386" t="inlineStr">
        <is>
          <t>avverkningsanmälan</t>
        </is>
      </c>
      <c r="C386" t="inlineStr">
        <is>
          <t>Föryngringsavverkning</t>
        </is>
      </c>
      <c r="D386" s="1" t="n">
        <v>46101</v>
      </c>
      <c r="E386" s="1" t="n">
        <v>46220</v>
      </c>
      <c r="F386" t="inlineStr">
        <is>
          <t>DALARNAS LÄN</t>
        </is>
      </c>
      <c r="G386" t="inlineStr">
        <is>
          <t>SMEDJEBACKEN</t>
        </is>
      </c>
      <c r="H386" t="inlineStr">
        <is>
          <t>Sveaskog</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14606-2026</t>
        </is>
      </c>
      <c r="B387" t="inlineStr">
        <is>
          <t>avverkningsanmälan</t>
        </is>
      </c>
      <c r="C387" t="inlineStr">
        <is>
          <t>Föryngringsavverkning</t>
        </is>
      </c>
      <c r="D387" s="1" t="n">
        <v>46101</v>
      </c>
      <c r="E387" s="1" t="n">
        <v>46220</v>
      </c>
      <c r="F387" t="inlineStr">
        <is>
          <t>DALARNAS LÄN</t>
        </is>
      </c>
      <c r="G387" t="inlineStr">
        <is>
          <t>SMEDJEBACKEN</t>
        </is>
      </c>
      <c r="H387" t="inlineStr">
        <is>
          <t>Sveaskog</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14601-2026</t>
        </is>
      </c>
      <c r="B388" t="inlineStr">
        <is>
          <t>avverkningsanmälan</t>
        </is>
      </c>
      <c r="C388" t="inlineStr">
        <is>
          <t>Föryngringsavverkning</t>
        </is>
      </c>
      <c r="D388" s="1" t="n">
        <v>46101</v>
      </c>
      <c r="E388" s="1" t="n">
        <v>46220</v>
      </c>
      <c r="F388" t="inlineStr">
        <is>
          <t>DALARNAS LÄN</t>
        </is>
      </c>
      <c r="G388" t="inlineStr">
        <is>
          <t>SMEDJEBACKEN</t>
        </is>
      </c>
      <c r="H388" t="inlineStr">
        <is>
          <t>Sveaskog</t>
        </is>
      </c>
      <c r="I388" t="n">
        <v>4.9</v>
      </c>
      <c r="J388" t="n">
        <v>0</v>
      </c>
      <c r="K388" t="n">
        <v>0</v>
      </c>
      <c r="L388" t="n">
        <v>0</v>
      </c>
      <c r="M388" t="n">
        <v>0</v>
      </c>
      <c r="N388" t="n">
        <v>0</v>
      </c>
      <c r="O388" t="n">
        <v>0</v>
      </c>
      <c r="P388" t="n">
        <v>0</v>
      </c>
      <c r="Q388" t="n">
        <v>0</v>
      </c>
      <c r="R388" t="n">
        <v>0</v>
      </c>
      <c r="S388" t="n">
        <v>0</v>
      </c>
      <c r="T388" t="n">
        <v>0</v>
      </c>
      <c r="U388" s="2" t="inlineStr"/>
    </row>
    <row r="389" ht="15" customHeight="1">
      <c r="A389" t="inlineStr">
        <is>
          <t>A 14609-2026</t>
        </is>
      </c>
      <c r="B389" t="inlineStr">
        <is>
          <t>avverkningsanmälan</t>
        </is>
      </c>
      <c r="C389" t="inlineStr">
        <is>
          <t>Föryngringsavverkning</t>
        </is>
      </c>
      <c r="D389" s="1" t="n">
        <v>46101</v>
      </c>
      <c r="E389" s="1" t="n">
        <v>46220</v>
      </c>
      <c r="F389" t="inlineStr">
        <is>
          <t>DALARNAS LÄN</t>
        </is>
      </c>
      <c r="G389" t="inlineStr">
        <is>
          <t>SMEDJEBACKEN</t>
        </is>
      </c>
      <c r="H389" t="inlineStr">
        <is>
          <t>Sveaskog</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15047-2026</t>
        </is>
      </c>
      <c r="B390" t="inlineStr">
        <is>
          <t>avverkningsanmälan</t>
        </is>
      </c>
      <c r="C390" t="inlineStr">
        <is>
          <t>Föryngringsavverkning</t>
        </is>
      </c>
      <c r="D390" s="1" t="n">
        <v>46104</v>
      </c>
      <c r="E390" s="1" t="n">
        <v>46220</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14613-2026</t>
        </is>
      </c>
      <c r="B391" t="inlineStr">
        <is>
          <t>avverkningsanmälan</t>
        </is>
      </c>
      <c r="C391" t="inlineStr">
        <is>
          <t>Föryngringsavverkning</t>
        </is>
      </c>
      <c r="D391" s="1" t="n">
        <v>46101</v>
      </c>
      <c r="E391" s="1" t="n">
        <v>46220</v>
      </c>
      <c r="F391" t="inlineStr">
        <is>
          <t>DALARNAS LÄN</t>
        </is>
      </c>
      <c r="G391" t="inlineStr">
        <is>
          <t>SMEDJEBACKEN</t>
        </is>
      </c>
      <c r="H391" t="inlineStr">
        <is>
          <t>Sveaskog</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29449-2023</t>
        </is>
      </c>
      <c r="B392" t="inlineStr">
        <is>
          <t>avverkningsanmälan</t>
        </is>
      </c>
      <c r="C392" t="inlineStr">
        <is>
          <t>Föryngringsavverkning</t>
        </is>
      </c>
      <c r="D392" s="1" t="n">
        <v>45106</v>
      </c>
      <c r="E392" s="1" t="n">
        <v>46220</v>
      </c>
      <c r="F392" t="inlineStr">
        <is>
          <t>DALARNAS LÄN</t>
        </is>
      </c>
      <c r="G392" t="inlineStr">
        <is>
          <t>SMEDJEBACKEN</t>
        </is>
      </c>
      <c r="H392" t="inlineStr">
        <is>
          <t>Sveaskog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15049-2026</t>
        </is>
      </c>
      <c r="B393" t="inlineStr">
        <is>
          <t>avverkningsanmälan</t>
        </is>
      </c>
      <c r="C393" t="inlineStr">
        <is>
          <t>Föryngringsavverkning</t>
        </is>
      </c>
      <c r="D393" s="1" t="n">
        <v>46104</v>
      </c>
      <c r="E393" s="1" t="n">
        <v>46220</v>
      </c>
      <c r="F393" t="inlineStr">
        <is>
          <t>DALARNAS LÄN</t>
        </is>
      </c>
      <c r="G393" t="inlineStr">
        <is>
          <t>SMEDJEBACKEN</t>
        </is>
      </c>
      <c r="H393" t="inlineStr">
        <is>
          <t>Sveaskog</t>
        </is>
      </c>
      <c r="I393" t="n">
        <v>2.3</v>
      </c>
      <c r="J393" t="n">
        <v>0</v>
      </c>
      <c r="K393" t="n">
        <v>0</v>
      </c>
      <c r="L393" t="n">
        <v>0</v>
      </c>
      <c r="M393" t="n">
        <v>0</v>
      </c>
      <c r="N393" t="n">
        <v>0</v>
      </c>
      <c r="O393" t="n">
        <v>0</v>
      </c>
      <c r="P393" t="n">
        <v>0</v>
      </c>
      <c r="Q393" t="n">
        <v>0</v>
      </c>
      <c r="R393" t="n">
        <v>0</v>
      </c>
      <c r="S393" t="n">
        <v>0</v>
      </c>
      <c r="T393" t="n">
        <v>0</v>
      </c>
      <c r="U393" s="2" t="inlineStr"/>
    </row>
    <row r="394" ht="15" customHeight="1">
      <c r="A394" t="inlineStr">
        <is>
          <t>A 14602-2026</t>
        </is>
      </c>
      <c r="B394" t="inlineStr">
        <is>
          <t>avverkningsanmälan</t>
        </is>
      </c>
      <c r="C394" t="inlineStr">
        <is>
          <t>Föryngringsavverkning</t>
        </is>
      </c>
      <c r="D394" s="1" t="n">
        <v>46101</v>
      </c>
      <c r="E394" s="1" t="n">
        <v>46220</v>
      </c>
      <c r="F394" t="inlineStr">
        <is>
          <t>DALARNAS LÄN</t>
        </is>
      </c>
      <c r="G394" t="inlineStr">
        <is>
          <t>SMEDJEBACKEN</t>
        </is>
      </c>
      <c r="H394" t="inlineStr">
        <is>
          <t>Sveaskog</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19179-2024</t>
        </is>
      </c>
      <c r="B395" t="inlineStr">
        <is>
          <t>avverkningsanmälan</t>
        </is>
      </c>
      <c r="C395" t="inlineStr">
        <is>
          <t>Föryngringsavverkning</t>
        </is>
      </c>
      <c r="D395" s="1" t="n">
        <v>45428</v>
      </c>
      <c r="E395" s="1" t="n">
        <v>46220</v>
      </c>
      <c r="F395" t="inlineStr">
        <is>
          <t>DALARNAS LÄN</t>
        </is>
      </c>
      <c r="G395" t="inlineStr">
        <is>
          <t>SMEDJEBACKEN</t>
        </is>
      </c>
      <c r="I395" t="n">
        <v>3.3</v>
      </c>
      <c r="J395" t="n">
        <v>0</v>
      </c>
      <c r="K395" t="n">
        <v>0</v>
      </c>
      <c r="L395" t="n">
        <v>0</v>
      </c>
      <c r="M395" t="n">
        <v>0</v>
      </c>
      <c r="N395" t="n">
        <v>0</v>
      </c>
      <c r="O395" t="n">
        <v>0</v>
      </c>
      <c r="P395" t="n">
        <v>0</v>
      </c>
      <c r="Q395" t="n">
        <v>0</v>
      </c>
      <c r="R395" t="n">
        <v>0</v>
      </c>
      <c r="S395" t="n">
        <v>0</v>
      </c>
      <c r="T395" t="n">
        <v>0</v>
      </c>
      <c r="U395" s="2" t="inlineStr"/>
    </row>
    <row r="396" ht="15" customHeight="1">
      <c r="A396" t="inlineStr">
        <is>
          <t>A 5706-2026</t>
        </is>
      </c>
      <c r="B396" t="inlineStr">
        <is>
          <t>avverkningsanmälan</t>
        </is>
      </c>
      <c r="C396" t="inlineStr">
        <is>
          <t>Föryngringsavverkning</t>
        </is>
      </c>
      <c r="D396" s="1" t="n">
        <v>46051</v>
      </c>
      <c r="E396" s="1" t="n">
        <v>46220</v>
      </c>
      <c r="F396" t="inlineStr">
        <is>
          <t>DALARNAS LÄN</t>
        </is>
      </c>
      <c r="G396" t="inlineStr">
        <is>
          <t>SMEDJEBACKEN</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45478-2022</t>
        </is>
      </c>
      <c r="B397" t="inlineStr">
        <is>
          <t>avverkningsanmälan</t>
        </is>
      </c>
      <c r="C397" t="inlineStr">
        <is>
          <t>Föryngringsavverkning</t>
        </is>
      </c>
      <c r="D397" s="1" t="n">
        <v>44845</v>
      </c>
      <c r="E397" s="1" t="n">
        <v>46220</v>
      </c>
      <c r="F397" t="inlineStr">
        <is>
          <t>DALARNAS LÄN</t>
        </is>
      </c>
      <c r="G397" t="inlineStr">
        <is>
          <t>SMEDJEBACKEN</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18908-2024</t>
        </is>
      </c>
      <c r="B398" t="inlineStr">
        <is>
          <t>avverkningsanmälan</t>
        </is>
      </c>
      <c r="C398" t="inlineStr">
        <is>
          <t>Föryngringsavverkning</t>
        </is>
      </c>
      <c r="D398" s="1" t="n">
        <v>45427</v>
      </c>
      <c r="E398" s="1" t="n">
        <v>46220</v>
      </c>
      <c r="F398" t="inlineStr">
        <is>
          <t>DALARNAS LÄN</t>
        </is>
      </c>
      <c r="G398" t="inlineStr">
        <is>
          <t>SMEDJEBACKEN</t>
        </is>
      </c>
      <c r="H398" t="inlineStr">
        <is>
          <t>Sveaskog</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18419-2022</t>
        </is>
      </c>
      <c r="B399" t="inlineStr">
        <is>
          <t>avverkningsanmälan</t>
        </is>
      </c>
      <c r="C399" t="inlineStr">
        <is>
          <t>Föryngringsavverkning</t>
        </is>
      </c>
      <c r="D399" s="1" t="n">
        <v>44686</v>
      </c>
      <c r="E399" s="1" t="n">
        <v>46220</v>
      </c>
      <c r="F399" t="inlineStr">
        <is>
          <t>DALARNAS LÄN</t>
        </is>
      </c>
      <c r="G399" t="inlineStr">
        <is>
          <t>SMEDJEBACKEN</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62380-2021</t>
        </is>
      </c>
      <c r="B400" t="inlineStr">
        <is>
          <t>avverkningsanmälan</t>
        </is>
      </c>
      <c r="C400" t="inlineStr">
        <is>
          <t>Föryngringsavverkning</t>
        </is>
      </c>
      <c r="D400" s="1" t="n">
        <v>44503</v>
      </c>
      <c r="E400" s="1" t="n">
        <v>46220</v>
      </c>
      <c r="F400" t="inlineStr">
        <is>
          <t>DALARNAS LÄN</t>
        </is>
      </c>
      <c r="G400" t="inlineStr">
        <is>
          <t>SMEDJEBACKEN</t>
        </is>
      </c>
      <c r="I400" t="n">
        <v>10.4</v>
      </c>
      <c r="J400" t="n">
        <v>0</v>
      </c>
      <c r="K400" t="n">
        <v>0</v>
      </c>
      <c r="L400" t="n">
        <v>0</v>
      </c>
      <c r="M400" t="n">
        <v>0</v>
      </c>
      <c r="N400" t="n">
        <v>0</v>
      </c>
      <c r="O400" t="n">
        <v>0</v>
      </c>
      <c r="P400" t="n">
        <v>0</v>
      </c>
      <c r="Q400" t="n">
        <v>0</v>
      </c>
      <c r="R400" t="n">
        <v>0</v>
      </c>
      <c r="S400" t="n">
        <v>0</v>
      </c>
      <c r="T400" t="n">
        <v>0</v>
      </c>
      <c r="U400" s="2" t="inlineStr"/>
    </row>
    <row r="401" ht="15" customHeight="1">
      <c r="A401" t="inlineStr">
        <is>
          <t>A 16881-2026</t>
        </is>
      </c>
      <c r="B401" t="inlineStr">
        <is>
          <t>avverkningsanmälan</t>
        </is>
      </c>
      <c r="C401" t="inlineStr">
        <is>
          <t>Föryngringsavverkning</t>
        </is>
      </c>
      <c r="D401" s="1" t="n">
        <v>46113</v>
      </c>
      <c r="E401" s="1" t="n">
        <v>46220</v>
      </c>
      <c r="F401" t="inlineStr">
        <is>
          <t>DALARNAS LÄN</t>
        </is>
      </c>
      <c r="G401" t="inlineStr">
        <is>
          <t>SMEDJEBACKEN</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48530-2023</t>
        </is>
      </c>
      <c r="B402" t="inlineStr">
        <is>
          <t>avverkningsanmälan</t>
        </is>
      </c>
      <c r="C402" t="inlineStr">
        <is>
          <t>Föryngringsavverkning</t>
        </is>
      </c>
      <c r="D402" s="1" t="n">
        <v>45208</v>
      </c>
      <c r="E402" s="1" t="n">
        <v>46220</v>
      </c>
      <c r="F402" t="inlineStr">
        <is>
          <t>DALARNAS LÄN</t>
        </is>
      </c>
      <c r="G402" t="inlineStr">
        <is>
          <t>SMEDJEBACKEN</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16826-2026</t>
        </is>
      </c>
      <c r="B403" t="inlineStr">
        <is>
          <t>avverkningsanmälan</t>
        </is>
      </c>
      <c r="C403" t="inlineStr">
        <is>
          <t>Föryngringsavverkning</t>
        </is>
      </c>
      <c r="D403" s="1" t="n">
        <v>46113</v>
      </c>
      <c r="E403" s="1" t="n">
        <v>46220</v>
      </c>
      <c r="F403" t="inlineStr">
        <is>
          <t>DALARNAS LÄN</t>
        </is>
      </c>
      <c r="G403" t="inlineStr">
        <is>
          <t>SMEDJEBACKEN</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6722-2023</t>
        </is>
      </c>
      <c r="B404" t="inlineStr">
        <is>
          <t>avverkningsanmälan</t>
        </is>
      </c>
      <c r="C404" t="inlineStr">
        <is>
          <t>Föryngringsavverkning</t>
        </is>
      </c>
      <c r="D404" s="1" t="n">
        <v>44966</v>
      </c>
      <c r="E404" s="1" t="n">
        <v>46220</v>
      </c>
      <c r="F404" t="inlineStr">
        <is>
          <t>DALARNAS LÄN</t>
        </is>
      </c>
      <c r="G404" t="inlineStr">
        <is>
          <t>SMEDJEBACKEN</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52780-2023</t>
        </is>
      </c>
      <c r="B405" t="inlineStr">
        <is>
          <t>avverkningsanmälan</t>
        </is>
      </c>
      <c r="C405" t="inlineStr">
        <is>
          <t>Föryngringsavverkning</t>
        </is>
      </c>
      <c r="D405" s="1" t="n">
        <v>45226</v>
      </c>
      <c r="E405" s="1" t="n">
        <v>46220</v>
      </c>
      <c r="F405" t="inlineStr">
        <is>
          <t>DALARNAS LÄN</t>
        </is>
      </c>
      <c r="G405" t="inlineStr">
        <is>
          <t>SMEDJEBACKEN</t>
        </is>
      </c>
      <c r="H405" t="inlineStr">
        <is>
          <t>Sveaskog</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60421-2021</t>
        </is>
      </c>
      <c r="B406" t="inlineStr">
        <is>
          <t>avverkningsanmälan</t>
        </is>
      </c>
      <c r="C406" t="inlineStr">
        <is>
          <t>Avverkning för att bevara och utveckla /försöksver</t>
        </is>
      </c>
      <c r="D406" s="1" t="n">
        <v>44496</v>
      </c>
      <c r="E406" s="1" t="n">
        <v>46220</v>
      </c>
      <c r="F406" t="inlineStr">
        <is>
          <t>DALARNAS LÄN</t>
        </is>
      </c>
      <c r="G406" t="inlineStr">
        <is>
          <t>SMEDJEBACKEN</t>
        </is>
      </c>
      <c r="H406" t="inlineStr">
        <is>
          <t>Sveaskog</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17335-2026</t>
        </is>
      </c>
      <c r="B407" t="inlineStr">
        <is>
          <t>avverkningsanmälan</t>
        </is>
      </c>
      <c r="C407" t="inlineStr">
        <is>
          <t>Föryngringsavverkning</t>
        </is>
      </c>
      <c r="D407" s="1" t="n">
        <v>46119</v>
      </c>
      <c r="E407" s="1" t="n">
        <v>46220</v>
      </c>
      <c r="F407" t="inlineStr">
        <is>
          <t>DALARNAS LÄN</t>
        </is>
      </c>
      <c r="G407" t="inlineStr">
        <is>
          <t>SMEDJEBACKEN</t>
        </is>
      </c>
      <c r="H407" t="inlineStr">
        <is>
          <t>Sveaskog</t>
        </is>
      </c>
      <c r="I407" t="n">
        <v>7.7</v>
      </c>
      <c r="J407" t="n">
        <v>0</v>
      </c>
      <c r="K407" t="n">
        <v>0</v>
      </c>
      <c r="L407" t="n">
        <v>0</v>
      </c>
      <c r="M407" t="n">
        <v>0</v>
      </c>
      <c r="N407" t="n">
        <v>0</v>
      </c>
      <c r="O407" t="n">
        <v>0</v>
      </c>
      <c r="P407" t="n">
        <v>0</v>
      </c>
      <c r="Q407" t="n">
        <v>0</v>
      </c>
      <c r="R407" t="n">
        <v>0</v>
      </c>
      <c r="S407" t="n">
        <v>0</v>
      </c>
      <c r="T407" t="n">
        <v>0</v>
      </c>
      <c r="U407" s="2" t="inlineStr"/>
    </row>
    <row r="408" ht="15" customHeight="1">
      <c r="A408" t="inlineStr">
        <is>
          <t>A 17337-2026</t>
        </is>
      </c>
      <c r="B408" t="inlineStr">
        <is>
          <t>avverkningsanmälan</t>
        </is>
      </c>
      <c r="C408" t="inlineStr">
        <is>
          <t>Föryngringsavverkning</t>
        </is>
      </c>
      <c r="D408" s="1" t="n">
        <v>46119</v>
      </c>
      <c r="E408" s="1" t="n">
        <v>46220</v>
      </c>
      <c r="F408" t="inlineStr">
        <is>
          <t>DALARNAS LÄN</t>
        </is>
      </c>
      <c r="G408" t="inlineStr">
        <is>
          <t>SMEDJEBACKEN</t>
        </is>
      </c>
      <c r="H408" t="inlineStr">
        <is>
          <t>Sveaskog</t>
        </is>
      </c>
      <c r="I408" t="n">
        <v>7.4</v>
      </c>
      <c r="J408" t="n">
        <v>0</v>
      </c>
      <c r="K408" t="n">
        <v>0</v>
      </c>
      <c r="L408" t="n">
        <v>0</v>
      </c>
      <c r="M408" t="n">
        <v>0</v>
      </c>
      <c r="N408" t="n">
        <v>0</v>
      </c>
      <c r="O408" t="n">
        <v>0</v>
      </c>
      <c r="P408" t="n">
        <v>0</v>
      </c>
      <c r="Q408" t="n">
        <v>0</v>
      </c>
      <c r="R408" t="n">
        <v>0</v>
      </c>
      <c r="S408" t="n">
        <v>0</v>
      </c>
      <c r="T408" t="n">
        <v>0</v>
      </c>
      <c r="U408" s="2" t="inlineStr"/>
    </row>
    <row r="409" ht="15" customHeight="1">
      <c r="A409" t="inlineStr">
        <is>
          <t>A 34673-2023</t>
        </is>
      </c>
      <c r="B409" t="inlineStr">
        <is>
          <t>avverkningsanmälan</t>
        </is>
      </c>
      <c r="C409" t="inlineStr">
        <is>
          <t>Föryngringsavverkning</t>
        </is>
      </c>
      <c r="D409" s="1" t="n">
        <v>45140</v>
      </c>
      <c r="E409" s="1" t="n">
        <v>46220</v>
      </c>
      <c r="F409" t="inlineStr">
        <is>
          <t>DALARNAS LÄN</t>
        </is>
      </c>
      <c r="G409" t="inlineStr">
        <is>
          <t>SMEDJEBACKEN</t>
        </is>
      </c>
      <c r="I409" t="n">
        <v>10</v>
      </c>
      <c r="J409" t="n">
        <v>0</v>
      </c>
      <c r="K409" t="n">
        <v>0</v>
      </c>
      <c r="L409" t="n">
        <v>0</v>
      </c>
      <c r="M409" t="n">
        <v>0</v>
      </c>
      <c r="N409" t="n">
        <v>0</v>
      </c>
      <c r="O409" t="n">
        <v>0</v>
      </c>
      <c r="P409" t="n">
        <v>0</v>
      </c>
      <c r="Q409" t="n">
        <v>0</v>
      </c>
      <c r="R409" t="n">
        <v>0</v>
      </c>
      <c r="S409" t="n">
        <v>0</v>
      </c>
      <c r="T409" t="n">
        <v>0</v>
      </c>
      <c r="U409" s="2" t="inlineStr"/>
    </row>
    <row r="410" ht="15" customHeight="1">
      <c r="A410" t="inlineStr">
        <is>
          <t>A 17831-2026</t>
        </is>
      </c>
      <c r="B410" t="inlineStr">
        <is>
          <t>avverkningsanmälan</t>
        </is>
      </c>
      <c r="C410" t="inlineStr">
        <is>
          <t>Föryngringsavverkning</t>
        </is>
      </c>
      <c r="D410" s="1" t="n">
        <v>46122</v>
      </c>
      <c r="E410" s="1" t="n">
        <v>46220</v>
      </c>
      <c r="F410" t="inlineStr">
        <is>
          <t>DALARNAS LÄN</t>
        </is>
      </c>
      <c r="G410" t="inlineStr">
        <is>
          <t>SMEDJEBACKEN</t>
        </is>
      </c>
      <c r="H410" t="inlineStr">
        <is>
          <t>Sveaskog</t>
        </is>
      </c>
      <c r="I410" t="n">
        <v>3.4</v>
      </c>
      <c r="J410" t="n">
        <v>0</v>
      </c>
      <c r="K410" t="n">
        <v>0</v>
      </c>
      <c r="L410" t="n">
        <v>0</v>
      </c>
      <c r="M410" t="n">
        <v>0</v>
      </c>
      <c r="N410" t="n">
        <v>0</v>
      </c>
      <c r="O410" t="n">
        <v>0</v>
      </c>
      <c r="P410" t="n">
        <v>0</v>
      </c>
      <c r="Q410" t="n">
        <v>0</v>
      </c>
      <c r="R410" t="n">
        <v>0</v>
      </c>
      <c r="S410" t="n">
        <v>0</v>
      </c>
      <c r="T410" t="n">
        <v>0</v>
      </c>
      <c r="U410" s="2" t="inlineStr"/>
    </row>
    <row r="411" ht="15" customHeight="1">
      <c r="A411" t="inlineStr">
        <is>
          <t>A 17832-2026</t>
        </is>
      </c>
      <c r="B411" t="inlineStr">
        <is>
          <t>avverkningsanmälan</t>
        </is>
      </c>
      <c r="C411" t="inlineStr">
        <is>
          <t>Föryngringsavverkning</t>
        </is>
      </c>
      <c r="D411" s="1" t="n">
        <v>46122</v>
      </c>
      <c r="E411" s="1" t="n">
        <v>46220</v>
      </c>
      <c r="F411" t="inlineStr">
        <is>
          <t>DALARNAS LÄN</t>
        </is>
      </c>
      <c r="G411" t="inlineStr">
        <is>
          <t>SMEDJEBACKEN</t>
        </is>
      </c>
      <c r="H411" t="inlineStr">
        <is>
          <t>Sveaskog</t>
        </is>
      </c>
      <c r="I411" t="n">
        <v>5.8</v>
      </c>
      <c r="J411" t="n">
        <v>0</v>
      </c>
      <c r="K411" t="n">
        <v>0</v>
      </c>
      <c r="L411" t="n">
        <v>0</v>
      </c>
      <c r="M411" t="n">
        <v>0</v>
      </c>
      <c r="N411" t="n">
        <v>0</v>
      </c>
      <c r="O411" t="n">
        <v>0</v>
      </c>
      <c r="P411" t="n">
        <v>0</v>
      </c>
      <c r="Q411" t="n">
        <v>0</v>
      </c>
      <c r="R411" t="n">
        <v>0</v>
      </c>
      <c r="S411" t="n">
        <v>0</v>
      </c>
      <c r="T411" t="n">
        <v>0</v>
      </c>
      <c r="U411" s="2" t="inlineStr"/>
    </row>
    <row r="412" ht="15" customHeight="1">
      <c r="A412" t="inlineStr">
        <is>
          <t>A 17869-2026</t>
        </is>
      </c>
      <c r="B412" t="inlineStr">
        <is>
          <t>avverkningsanmälan</t>
        </is>
      </c>
      <c r="C412" t="inlineStr">
        <is>
          <t>Föryngringsavverkning</t>
        </is>
      </c>
      <c r="D412" s="1" t="n">
        <v>46122</v>
      </c>
      <c r="E412" s="1" t="n">
        <v>46220</v>
      </c>
      <c r="F412" t="inlineStr">
        <is>
          <t>DALARNAS LÄN</t>
        </is>
      </c>
      <c r="G412" t="inlineStr">
        <is>
          <t>SMEDJEBACKEN</t>
        </is>
      </c>
      <c r="H412" t="inlineStr">
        <is>
          <t>Sveaskog</t>
        </is>
      </c>
      <c r="I412" t="n">
        <v>5.2</v>
      </c>
      <c r="J412" t="n">
        <v>0</v>
      </c>
      <c r="K412" t="n">
        <v>0</v>
      </c>
      <c r="L412" t="n">
        <v>0</v>
      </c>
      <c r="M412" t="n">
        <v>0</v>
      </c>
      <c r="N412" t="n">
        <v>0</v>
      </c>
      <c r="O412" t="n">
        <v>0</v>
      </c>
      <c r="P412" t="n">
        <v>0</v>
      </c>
      <c r="Q412" t="n">
        <v>0</v>
      </c>
      <c r="R412" t="n">
        <v>0</v>
      </c>
      <c r="S412" t="n">
        <v>0</v>
      </c>
      <c r="T412" t="n">
        <v>0</v>
      </c>
      <c r="U412" s="2" t="inlineStr"/>
    </row>
    <row r="413" ht="15" customHeight="1">
      <c r="A413" t="inlineStr">
        <is>
          <t>A 17846-2026</t>
        </is>
      </c>
      <c r="B413" t="inlineStr">
        <is>
          <t>avverkningsanmälan</t>
        </is>
      </c>
      <c r="C413" t="inlineStr">
        <is>
          <t>Föryngringsavverkning</t>
        </is>
      </c>
      <c r="D413" s="1" t="n">
        <v>46122</v>
      </c>
      <c r="E413" s="1" t="n">
        <v>46220</v>
      </c>
      <c r="F413" t="inlineStr">
        <is>
          <t>DALARNAS LÄN</t>
        </is>
      </c>
      <c r="G413" t="inlineStr">
        <is>
          <t>SMEDJEBACKEN</t>
        </is>
      </c>
      <c r="H413" t="inlineStr">
        <is>
          <t>Sveaskog</t>
        </is>
      </c>
      <c r="I413" t="n">
        <v>7</v>
      </c>
      <c r="J413" t="n">
        <v>0</v>
      </c>
      <c r="K413" t="n">
        <v>0</v>
      </c>
      <c r="L413" t="n">
        <v>0</v>
      </c>
      <c r="M413" t="n">
        <v>0</v>
      </c>
      <c r="N413" t="n">
        <v>0</v>
      </c>
      <c r="O413" t="n">
        <v>0</v>
      </c>
      <c r="P413" t="n">
        <v>0</v>
      </c>
      <c r="Q413" t="n">
        <v>0</v>
      </c>
      <c r="R413" t="n">
        <v>0</v>
      </c>
      <c r="S413" t="n">
        <v>0</v>
      </c>
      <c r="T413" t="n">
        <v>0</v>
      </c>
      <c r="U413" s="2" t="inlineStr"/>
    </row>
    <row r="414" ht="15" customHeight="1">
      <c r="A414" t="inlineStr">
        <is>
          <t>A 16395-2025</t>
        </is>
      </c>
      <c r="B414" t="inlineStr">
        <is>
          <t>avverkningsanmälan</t>
        </is>
      </c>
      <c r="C414" t="inlineStr">
        <is>
          <t>Föryngringsavverkning</t>
        </is>
      </c>
      <c r="D414" s="1" t="n">
        <v>45751</v>
      </c>
      <c r="E414" s="1" t="n">
        <v>46220</v>
      </c>
      <c r="F414" t="inlineStr">
        <is>
          <t>DALARNAS LÄN</t>
        </is>
      </c>
      <c r="G414" t="inlineStr">
        <is>
          <t>SMEDJEBACKEN</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17868-2026</t>
        </is>
      </c>
      <c r="B415" t="inlineStr">
        <is>
          <t>avverkningsanmälan</t>
        </is>
      </c>
      <c r="C415" t="inlineStr">
        <is>
          <t>Föryngringsavverkning</t>
        </is>
      </c>
      <c r="D415" s="1" t="n">
        <v>46122</v>
      </c>
      <c r="E415" s="1" t="n">
        <v>46220</v>
      </c>
      <c r="F415" t="inlineStr">
        <is>
          <t>DALARNAS LÄN</t>
        </is>
      </c>
      <c r="G415" t="inlineStr">
        <is>
          <t>SMEDJEBACKEN</t>
        </is>
      </c>
      <c r="H415" t="inlineStr">
        <is>
          <t>Sveaskog</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6464-2024</t>
        </is>
      </c>
      <c r="B416" t="inlineStr">
        <is>
          <t>avverkningsanmälan</t>
        </is>
      </c>
      <c r="C416" t="inlineStr">
        <is>
          <t>Föryngringsavverkning</t>
        </is>
      </c>
      <c r="D416" s="1" t="n">
        <v>45338</v>
      </c>
      <c r="E416" s="1" t="n">
        <v>46220</v>
      </c>
      <c r="F416" t="inlineStr">
        <is>
          <t>DALARNAS LÄN</t>
        </is>
      </c>
      <c r="G416" t="inlineStr">
        <is>
          <t>SMEDJEBACKEN</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18093-2026</t>
        </is>
      </c>
      <c r="B417" t="inlineStr">
        <is>
          <t>avverkningsanmälan</t>
        </is>
      </c>
      <c r="C417" t="inlineStr">
        <is>
          <t>Föryngringsavverkning</t>
        </is>
      </c>
      <c r="D417" s="1" t="n">
        <v>46125</v>
      </c>
      <c r="E417" s="1" t="n">
        <v>46220</v>
      </c>
      <c r="F417" t="inlineStr">
        <is>
          <t>DALARNAS LÄN</t>
        </is>
      </c>
      <c r="G417" t="inlineStr">
        <is>
          <t>SMEDJEBACKEN</t>
        </is>
      </c>
      <c r="I417" t="n">
        <v>3.7</v>
      </c>
      <c r="J417" t="n">
        <v>0</v>
      </c>
      <c r="K417" t="n">
        <v>0</v>
      </c>
      <c r="L417" t="n">
        <v>0</v>
      </c>
      <c r="M417" t="n">
        <v>0</v>
      </c>
      <c r="N417" t="n">
        <v>0</v>
      </c>
      <c r="O417" t="n">
        <v>0</v>
      </c>
      <c r="P417" t="n">
        <v>0</v>
      </c>
      <c r="Q417" t="n">
        <v>0</v>
      </c>
      <c r="R417" t="n">
        <v>0</v>
      </c>
      <c r="S417" t="n">
        <v>0</v>
      </c>
      <c r="T417" t="n">
        <v>0</v>
      </c>
      <c r="U417" s="2" t="inlineStr"/>
    </row>
    <row r="418" ht="15" customHeight="1">
      <c r="A418" t="inlineStr">
        <is>
          <t>A 18265-2026</t>
        </is>
      </c>
      <c r="B418" t="inlineStr">
        <is>
          <t>avverkningsanmälan</t>
        </is>
      </c>
      <c r="C418" t="inlineStr">
        <is>
          <t>Föryngringsavverkning</t>
        </is>
      </c>
      <c r="D418" s="1" t="n">
        <v>46126</v>
      </c>
      <c r="E418" s="1" t="n">
        <v>46220</v>
      </c>
      <c r="F418" t="inlineStr">
        <is>
          <t>DALARNAS LÄN</t>
        </is>
      </c>
      <c r="G418" t="inlineStr">
        <is>
          <t>SMEDJEBACKEN</t>
        </is>
      </c>
      <c r="I418" t="n">
        <v>2.5</v>
      </c>
      <c r="J418" t="n">
        <v>0</v>
      </c>
      <c r="K418" t="n">
        <v>0</v>
      </c>
      <c r="L418" t="n">
        <v>0</v>
      </c>
      <c r="M418" t="n">
        <v>0</v>
      </c>
      <c r="N418" t="n">
        <v>0</v>
      </c>
      <c r="O418" t="n">
        <v>0</v>
      </c>
      <c r="P418" t="n">
        <v>0</v>
      </c>
      <c r="Q418" t="n">
        <v>0</v>
      </c>
      <c r="R418" t="n">
        <v>0</v>
      </c>
      <c r="S418" t="n">
        <v>0</v>
      </c>
      <c r="T418" t="n">
        <v>0</v>
      </c>
      <c r="U418" s="2" t="inlineStr"/>
    </row>
    <row r="419" ht="15" customHeight="1">
      <c r="A419" t="inlineStr">
        <is>
          <t>A 18119-2026</t>
        </is>
      </c>
      <c r="B419" t="inlineStr">
        <is>
          <t>avverkningsanmälan</t>
        </is>
      </c>
      <c r="C419" t="inlineStr">
        <is>
          <t>Föryngringsavverkning</t>
        </is>
      </c>
      <c r="D419" s="1" t="n">
        <v>46125</v>
      </c>
      <c r="E419" s="1" t="n">
        <v>46220</v>
      </c>
      <c r="F419" t="inlineStr">
        <is>
          <t>DALARNAS LÄN</t>
        </is>
      </c>
      <c r="G419" t="inlineStr">
        <is>
          <t>SMEDJEBACKEN</t>
        </is>
      </c>
      <c r="I419" t="n">
        <v>2.9</v>
      </c>
      <c r="J419" t="n">
        <v>0</v>
      </c>
      <c r="K419" t="n">
        <v>0</v>
      </c>
      <c r="L419" t="n">
        <v>0</v>
      </c>
      <c r="M419" t="n">
        <v>0</v>
      </c>
      <c r="N419" t="n">
        <v>0</v>
      </c>
      <c r="O419" t="n">
        <v>0</v>
      </c>
      <c r="P419" t="n">
        <v>0</v>
      </c>
      <c r="Q419" t="n">
        <v>0</v>
      </c>
      <c r="R419" t="n">
        <v>0</v>
      </c>
      <c r="S419" t="n">
        <v>0</v>
      </c>
      <c r="T419" t="n">
        <v>0</v>
      </c>
      <c r="U419" s="2" t="inlineStr"/>
    </row>
    <row r="420" ht="15" customHeight="1">
      <c r="A420" t="inlineStr">
        <is>
          <t>A 18877-2026</t>
        </is>
      </c>
      <c r="B420" t="inlineStr">
        <is>
          <t>avverkningsanmälan</t>
        </is>
      </c>
      <c r="C420" t="inlineStr">
        <is>
          <t>Föryngringsavverkning</t>
        </is>
      </c>
      <c r="D420" s="1" t="n">
        <v>46129</v>
      </c>
      <c r="E420" s="1" t="n">
        <v>46220</v>
      </c>
      <c r="F420" t="inlineStr">
        <is>
          <t>DALARNAS LÄN</t>
        </is>
      </c>
      <c r="G420" t="inlineStr">
        <is>
          <t>SMEDJEBACKEN</t>
        </is>
      </c>
      <c r="H420" t="inlineStr">
        <is>
          <t>Sveaskog</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18294-2023</t>
        </is>
      </c>
      <c r="B421" t="inlineStr">
        <is>
          <t>avverkningsanmälan</t>
        </is>
      </c>
      <c r="C421" t="inlineStr">
        <is>
          <t>Föryngringsavverkning</t>
        </is>
      </c>
      <c r="D421" s="1" t="n">
        <v>45041</v>
      </c>
      <c r="E421" s="1" t="n">
        <v>46220</v>
      </c>
      <c r="F421" t="inlineStr">
        <is>
          <t>DALARNAS LÄN</t>
        </is>
      </c>
      <c r="G421" t="inlineStr">
        <is>
          <t>SMEDJEBACKEN</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18590-2026</t>
        </is>
      </c>
      <c r="B422" t="inlineStr">
        <is>
          <t>avverkningsanmälan</t>
        </is>
      </c>
      <c r="C422" t="inlineStr">
        <is>
          <t>Föryngringsavverkning</t>
        </is>
      </c>
      <c r="D422" s="1" t="n">
        <v>46127</v>
      </c>
      <c r="E422" s="1" t="n">
        <v>46220</v>
      </c>
      <c r="F422" t="inlineStr">
        <is>
          <t>DALARNAS LÄN</t>
        </is>
      </c>
      <c r="G422" t="inlineStr">
        <is>
          <t>SMEDJEBACKEN</t>
        </is>
      </c>
      <c r="H422" t="inlineStr">
        <is>
          <t>Sveaskog</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18591-2026</t>
        </is>
      </c>
      <c r="B423" t="inlineStr">
        <is>
          <t>avverkningsanmälan</t>
        </is>
      </c>
      <c r="C423" t="inlineStr">
        <is>
          <t>Föryngringsavverkning</t>
        </is>
      </c>
      <c r="D423" s="1" t="n">
        <v>46127</v>
      </c>
      <c r="E423" s="1" t="n">
        <v>46220</v>
      </c>
      <c r="F423" t="inlineStr">
        <is>
          <t>DALARNAS LÄN</t>
        </is>
      </c>
      <c r="G423" t="inlineStr">
        <is>
          <t>SMEDJEBACKEN</t>
        </is>
      </c>
      <c r="H423" t="inlineStr">
        <is>
          <t>Sveaskog</t>
        </is>
      </c>
      <c r="I423" t="n">
        <v>2.1</v>
      </c>
      <c r="J423" t="n">
        <v>0</v>
      </c>
      <c r="K423" t="n">
        <v>0</v>
      </c>
      <c r="L423" t="n">
        <v>0</v>
      </c>
      <c r="M423" t="n">
        <v>0</v>
      </c>
      <c r="N423" t="n">
        <v>0</v>
      </c>
      <c r="O423" t="n">
        <v>0</v>
      </c>
      <c r="P423" t="n">
        <v>0</v>
      </c>
      <c r="Q423" t="n">
        <v>0</v>
      </c>
      <c r="R423" t="n">
        <v>0</v>
      </c>
      <c r="S423" t="n">
        <v>0</v>
      </c>
      <c r="T423" t="n">
        <v>0</v>
      </c>
      <c r="U423" s="2" t="inlineStr"/>
    </row>
    <row r="424" ht="15" customHeight="1">
      <c r="A424" t="inlineStr">
        <is>
          <t>A 42418-2021</t>
        </is>
      </c>
      <c r="B424" t="inlineStr">
        <is>
          <t>avverkningsanmälan</t>
        </is>
      </c>
      <c r="C424" t="inlineStr">
        <is>
          <t>Föryngringsavverkning</t>
        </is>
      </c>
      <c r="D424" s="1" t="n">
        <v>44427</v>
      </c>
      <c r="E424" s="1" t="n">
        <v>46220</v>
      </c>
      <c r="F424" t="inlineStr">
        <is>
          <t>DALARNAS LÄN</t>
        </is>
      </c>
      <c r="G424" t="inlineStr">
        <is>
          <t>SMEDJEBACKEN</t>
        </is>
      </c>
      <c r="H424" t="inlineStr">
        <is>
          <t>Bergvik skog väst AB</t>
        </is>
      </c>
      <c r="I424" t="n">
        <v>2.8</v>
      </c>
      <c r="J424" t="n">
        <v>0</v>
      </c>
      <c r="K424" t="n">
        <v>0</v>
      </c>
      <c r="L424" t="n">
        <v>0</v>
      </c>
      <c r="M424" t="n">
        <v>0</v>
      </c>
      <c r="N424" t="n">
        <v>0</v>
      </c>
      <c r="O424" t="n">
        <v>0</v>
      </c>
      <c r="P424" t="n">
        <v>0</v>
      </c>
      <c r="Q424" t="n">
        <v>0</v>
      </c>
      <c r="R424" t="n">
        <v>0</v>
      </c>
      <c r="S424" t="n">
        <v>0</v>
      </c>
      <c r="T424" t="n">
        <v>0</v>
      </c>
      <c r="U424" s="2" t="inlineStr"/>
    </row>
    <row r="425" ht="15" customHeight="1">
      <c r="A425" t="inlineStr">
        <is>
          <t>A 40644-2022</t>
        </is>
      </c>
      <c r="B425" t="inlineStr">
        <is>
          <t>avverkningsanmälan</t>
        </is>
      </c>
      <c r="C425" t="inlineStr">
        <is>
          <t>Föryngringsavverkning</t>
        </is>
      </c>
      <c r="D425" s="1" t="n">
        <v>44824</v>
      </c>
      <c r="E425" s="1" t="n">
        <v>46220</v>
      </c>
      <c r="F425" t="inlineStr">
        <is>
          <t>DALARNAS LÄN</t>
        </is>
      </c>
      <c r="G425" t="inlineStr">
        <is>
          <t>SMEDJEBACKEN</t>
        </is>
      </c>
      <c r="H425" t="inlineStr">
        <is>
          <t>Sveaskog</t>
        </is>
      </c>
      <c r="I425" t="n">
        <v>18.7</v>
      </c>
      <c r="J425" t="n">
        <v>0</v>
      </c>
      <c r="K425" t="n">
        <v>0</v>
      </c>
      <c r="L425" t="n">
        <v>0</v>
      </c>
      <c r="M425" t="n">
        <v>0</v>
      </c>
      <c r="N425" t="n">
        <v>0</v>
      </c>
      <c r="O425" t="n">
        <v>0</v>
      </c>
      <c r="P425" t="n">
        <v>0</v>
      </c>
      <c r="Q425" t="n">
        <v>0</v>
      </c>
      <c r="R425" t="n">
        <v>0</v>
      </c>
      <c r="S425" t="n">
        <v>0</v>
      </c>
      <c r="T425" t="n">
        <v>0</v>
      </c>
      <c r="U425" s="2" t="inlineStr"/>
    </row>
    <row r="426" ht="15" customHeight="1">
      <c r="A426" t="inlineStr">
        <is>
          <t>A 19469-2026</t>
        </is>
      </c>
      <c r="B426" t="inlineStr">
        <is>
          <t>avverkningsanmälan</t>
        </is>
      </c>
      <c r="C426" t="inlineStr">
        <is>
          <t>Föryngringsavverkning</t>
        </is>
      </c>
      <c r="D426" s="1" t="n">
        <v>46130</v>
      </c>
      <c r="E426" s="1" t="n">
        <v>46220</v>
      </c>
      <c r="F426" t="inlineStr">
        <is>
          <t>DALARNAS LÄN</t>
        </is>
      </c>
      <c r="G426" t="inlineStr">
        <is>
          <t>SMEDJEBACKEN</t>
        </is>
      </c>
      <c r="H426" t="inlineStr">
        <is>
          <t>Bergvik skog väst AB</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31326-2022</t>
        </is>
      </c>
      <c r="B427" t="inlineStr">
        <is>
          <t>avverkningsanmälan</t>
        </is>
      </c>
      <c r="C427" t="inlineStr">
        <is>
          <t>Föryngringsavverkning</t>
        </is>
      </c>
      <c r="D427" s="1" t="n">
        <v>44774</v>
      </c>
      <c r="E427" s="1" t="n">
        <v>46220</v>
      </c>
      <c r="F427" t="inlineStr">
        <is>
          <t>DALARNAS LÄN</t>
        </is>
      </c>
      <c r="G427" t="inlineStr">
        <is>
          <t>SMEDJEBACKEN</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19498-2026</t>
        </is>
      </c>
      <c r="B428" t="inlineStr">
        <is>
          <t>avverkningsanmälan</t>
        </is>
      </c>
      <c r="C428" t="inlineStr">
        <is>
          <t>Föryngringsavverkning</t>
        </is>
      </c>
      <c r="D428" s="1" t="n">
        <v>46134</v>
      </c>
      <c r="E428" s="1" t="n">
        <v>46220</v>
      </c>
      <c r="F428" t="inlineStr">
        <is>
          <t>DALARNAS LÄN</t>
        </is>
      </c>
      <c r="G428" t="inlineStr">
        <is>
          <t>SMEDJEBACKEN</t>
        </is>
      </c>
      <c r="I428" t="n">
        <v>2.5</v>
      </c>
      <c r="J428" t="n">
        <v>0</v>
      </c>
      <c r="K428" t="n">
        <v>0</v>
      </c>
      <c r="L428" t="n">
        <v>0</v>
      </c>
      <c r="M428" t="n">
        <v>0</v>
      </c>
      <c r="N428" t="n">
        <v>0</v>
      </c>
      <c r="O428" t="n">
        <v>0</v>
      </c>
      <c r="P428" t="n">
        <v>0</v>
      </c>
      <c r="Q428" t="n">
        <v>0</v>
      </c>
      <c r="R428" t="n">
        <v>0</v>
      </c>
      <c r="S428" t="n">
        <v>0</v>
      </c>
      <c r="T428" t="n">
        <v>0</v>
      </c>
      <c r="U428" s="2" t="inlineStr"/>
    </row>
    <row r="429" ht="15" customHeight="1">
      <c r="A429" t="inlineStr">
        <is>
          <t>A 17472-2023</t>
        </is>
      </c>
      <c r="B429" t="inlineStr">
        <is>
          <t>avverkningsanmälan</t>
        </is>
      </c>
      <c r="C429" t="inlineStr">
        <is>
          <t>Föryngringsavverkning</t>
        </is>
      </c>
      <c r="D429" s="1" t="n">
        <v>45034</v>
      </c>
      <c r="E429" s="1" t="n">
        <v>46220</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38746-2023</t>
        </is>
      </c>
      <c r="B430" t="inlineStr">
        <is>
          <t>avverkningsanmälan</t>
        </is>
      </c>
      <c r="C430" t="inlineStr">
        <is>
          <t>Föryngringsavverkning</t>
        </is>
      </c>
      <c r="D430" s="1" t="n">
        <v>45163</v>
      </c>
      <c r="E430" s="1" t="n">
        <v>46220</v>
      </c>
      <c r="F430" t="inlineStr">
        <is>
          <t>DALARNAS LÄN</t>
        </is>
      </c>
      <c r="G430" t="inlineStr">
        <is>
          <t>SMEDJEBACKEN</t>
        </is>
      </c>
      <c r="H430" t="inlineStr">
        <is>
          <t>Sveaskog</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17418-2025</t>
        </is>
      </c>
      <c r="B431" t="inlineStr">
        <is>
          <t>avverkningsanmälan</t>
        </is>
      </c>
      <c r="C431" t="inlineStr">
        <is>
          <t>Föryngringsavverkning</t>
        </is>
      </c>
      <c r="D431" s="1" t="n">
        <v>45757</v>
      </c>
      <c r="E431" s="1" t="n">
        <v>46220</v>
      </c>
      <c r="F431" t="inlineStr">
        <is>
          <t>DALARNAS LÄN</t>
        </is>
      </c>
      <c r="G431" t="inlineStr">
        <is>
          <t>SMEDJEBACKEN</t>
        </is>
      </c>
      <c r="H431" t="inlineStr">
        <is>
          <t>Sveaskog</t>
        </is>
      </c>
      <c r="I431" t="n">
        <v>3.4</v>
      </c>
      <c r="J431" t="n">
        <v>0</v>
      </c>
      <c r="K431" t="n">
        <v>0</v>
      </c>
      <c r="L431" t="n">
        <v>0</v>
      </c>
      <c r="M431" t="n">
        <v>0</v>
      </c>
      <c r="N431" t="n">
        <v>0</v>
      </c>
      <c r="O431" t="n">
        <v>0</v>
      </c>
      <c r="P431" t="n">
        <v>0</v>
      </c>
      <c r="Q431" t="n">
        <v>0</v>
      </c>
      <c r="R431" t="n">
        <v>0</v>
      </c>
      <c r="S431" t="n">
        <v>0</v>
      </c>
      <c r="T431" t="n">
        <v>0</v>
      </c>
      <c r="U431" s="2" t="inlineStr"/>
    </row>
    <row r="432" ht="15" customHeight="1">
      <c r="A432" t="inlineStr">
        <is>
          <t>A 43351-2022</t>
        </is>
      </c>
      <c r="B432" t="inlineStr">
        <is>
          <t>avverkningsanmälan</t>
        </is>
      </c>
      <c r="C432" t="inlineStr">
        <is>
          <t>Föryngringsavverkning</t>
        </is>
      </c>
      <c r="D432" s="1" t="n">
        <v>44834</v>
      </c>
      <c r="E432" s="1" t="n">
        <v>46220</v>
      </c>
      <c r="F432" t="inlineStr">
        <is>
          <t>DALARNAS LÄN</t>
        </is>
      </c>
      <c r="G432" t="inlineStr">
        <is>
          <t>SMEDJEBACKEN</t>
        </is>
      </c>
      <c r="H432" t="inlineStr">
        <is>
          <t>Sveaskog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36231-2022</t>
        </is>
      </c>
      <c r="B433" t="inlineStr">
        <is>
          <t>avverkningsanmälan</t>
        </is>
      </c>
      <c r="C433" t="inlineStr">
        <is>
          <t>Föryngringsavverkning</t>
        </is>
      </c>
      <c r="D433" s="1" t="n">
        <v>44803</v>
      </c>
      <c r="E433" s="1" t="n">
        <v>46220</v>
      </c>
      <c r="F433" t="inlineStr">
        <is>
          <t>DALARNAS LÄN</t>
        </is>
      </c>
      <c r="G433" t="inlineStr">
        <is>
          <t>SMEDJEBACKEN</t>
        </is>
      </c>
      <c r="I433" t="n">
        <v>5.7</v>
      </c>
      <c r="J433" t="n">
        <v>0</v>
      </c>
      <c r="K433" t="n">
        <v>0</v>
      </c>
      <c r="L433" t="n">
        <v>0</v>
      </c>
      <c r="M433" t="n">
        <v>0</v>
      </c>
      <c r="N433" t="n">
        <v>0</v>
      </c>
      <c r="O433" t="n">
        <v>0</v>
      </c>
      <c r="P433" t="n">
        <v>0</v>
      </c>
      <c r="Q433" t="n">
        <v>0</v>
      </c>
      <c r="R433" t="n">
        <v>0</v>
      </c>
      <c r="S433" t="n">
        <v>0</v>
      </c>
      <c r="T433" t="n">
        <v>0</v>
      </c>
      <c r="U433" s="2" t="inlineStr"/>
    </row>
    <row r="434" ht="15" customHeight="1">
      <c r="A434" t="inlineStr">
        <is>
          <t>A 48634-2024</t>
        </is>
      </c>
      <c r="B434" t="inlineStr">
        <is>
          <t>avverkningsanmälan</t>
        </is>
      </c>
      <c r="C434" t="inlineStr">
        <is>
          <t>Föryngringsavverkning</t>
        </is>
      </c>
      <c r="D434" s="1" t="n">
        <v>45593</v>
      </c>
      <c r="E434" s="1" t="n">
        <v>46220</v>
      </c>
      <c r="F434" t="inlineStr">
        <is>
          <t>DALARNAS LÄN</t>
        </is>
      </c>
      <c r="G434" t="inlineStr">
        <is>
          <t>SMEDJEBACKEN</t>
        </is>
      </c>
      <c r="H434" t="inlineStr">
        <is>
          <t>Bergvik skog väst AB</t>
        </is>
      </c>
      <c r="I434" t="n">
        <v>8.699999999999999</v>
      </c>
      <c r="J434" t="n">
        <v>0</v>
      </c>
      <c r="K434" t="n">
        <v>0</v>
      </c>
      <c r="L434" t="n">
        <v>0</v>
      </c>
      <c r="M434" t="n">
        <v>0</v>
      </c>
      <c r="N434" t="n">
        <v>0</v>
      </c>
      <c r="O434" t="n">
        <v>0</v>
      </c>
      <c r="P434" t="n">
        <v>0</v>
      </c>
      <c r="Q434" t="n">
        <v>0</v>
      </c>
      <c r="R434" t="n">
        <v>0</v>
      </c>
      <c r="S434" t="n">
        <v>0</v>
      </c>
      <c r="T434" t="n">
        <v>0</v>
      </c>
      <c r="U434" s="2" t="inlineStr"/>
    </row>
    <row r="435" ht="15" customHeight="1">
      <c r="A435" t="inlineStr">
        <is>
          <t>A 55717-2022</t>
        </is>
      </c>
      <c r="B435" t="inlineStr">
        <is>
          <t>avverkningsanmälan</t>
        </is>
      </c>
      <c r="C435" t="inlineStr">
        <is>
          <t>Föryngringsavverkning</t>
        </is>
      </c>
      <c r="D435" s="1" t="n">
        <v>44888</v>
      </c>
      <c r="E435" s="1" t="n">
        <v>46220</v>
      </c>
      <c r="F435" t="inlineStr">
        <is>
          <t>DALARNAS LÄN</t>
        </is>
      </c>
      <c r="G435" t="inlineStr">
        <is>
          <t>SMEDJEBACKEN</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45091-2022</t>
        </is>
      </c>
      <c r="B436" t="inlineStr">
        <is>
          <t>avverkningsanmälan</t>
        </is>
      </c>
      <c r="C436" t="inlineStr">
        <is>
          <t>Föryngringsavverkning</t>
        </is>
      </c>
      <c r="D436" s="1" t="n">
        <v>44842</v>
      </c>
      <c r="E436" s="1" t="n">
        <v>46220</v>
      </c>
      <c r="F436" t="inlineStr">
        <is>
          <t>DALARNAS LÄN</t>
        </is>
      </c>
      <c r="G436" t="inlineStr">
        <is>
          <t>SMEDJEBACKEN</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25728-2026</t>
        </is>
      </c>
      <c r="B437" t="inlineStr">
        <is>
          <t>avverkningsanmälan</t>
        </is>
      </c>
      <c r="C437" t="inlineStr">
        <is>
          <t>Föryngringsavverkning</t>
        </is>
      </c>
      <c r="D437" s="1" t="n">
        <v>46178</v>
      </c>
      <c r="E437" s="1" t="n">
        <v>46220</v>
      </c>
      <c r="F437" t="inlineStr">
        <is>
          <t>DALARNAS LÄN</t>
        </is>
      </c>
      <c r="G437" t="inlineStr">
        <is>
          <t>SMEDJEBACKEN</t>
        </is>
      </c>
      <c r="I437" t="n">
        <v>5.5</v>
      </c>
      <c r="J437" t="n">
        <v>0</v>
      </c>
      <c r="K437" t="n">
        <v>0</v>
      </c>
      <c r="L437" t="n">
        <v>0</v>
      </c>
      <c r="M437" t="n">
        <v>0</v>
      </c>
      <c r="N437" t="n">
        <v>0</v>
      </c>
      <c r="O437" t="n">
        <v>0</v>
      </c>
      <c r="P437" t="n">
        <v>0</v>
      </c>
      <c r="Q437" t="n">
        <v>0</v>
      </c>
      <c r="R437" t="n">
        <v>0</v>
      </c>
      <c r="S437" t="n">
        <v>0</v>
      </c>
      <c r="T437" t="n">
        <v>0</v>
      </c>
      <c r="U437" s="2" t="inlineStr"/>
    </row>
    <row r="438" ht="15" customHeight="1">
      <c r="A438" t="inlineStr">
        <is>
          <t>A 19258-2024</t>
        </is>
      </c>
      <c r="B438" t="inlineStr">
        <is>
          <t>avverkningsanmälan</t>
        </is>
      </c>
      <c r="C438" t="inlineStr">
        <is>
          <t>Föryngringsavverkning</t>
        </is>
      </c>
      <c r="D438" s="1" t="n">
        <v>45428</v>
      </c>
      <c r="E438" s="1" t="n">
        <v>46220</v>
      </c>
      <c r="F438" t="inlineStr">
        <is>
          <t>DALARNAS LÄN</t>
        </is>
      </c>
      <c r="G438" t="inlineStr">
        <is>
          <t>SMEDJEBACKEN</t>
        </is>
      </c>
      <c r="I438" t="n">
        <v>3</v>
      </c>
      <c r="J438" t="n">
        <v>0</v>
      </c>
      <c r="K438" t="n">
        <v>0</v>
      </c>
      <c r="L438" t="n">
        <v>0</v>
      </c>
      <c r="M438" t="n">
        <v>0</v>
      </c>
      <c r="N438" t="n">
        <v>0</v>
      </c>
      <c r="O438" t="n">
        <v>0</v>
      </c>
      <c r="P438" t="n">
        <v>0</v>
      </c>
      <c r="Q438" t="n">
        <v>0</v>
      </c>
      <c r="R438" t="n">
        <v>0</v>
      </c>
      <c r="S438" t="n">
        <v>0</v>
      </c>
      <c r="T438" t="n">
        <v>0</v>
      </c>
      <c r="U438" s="2" t="inlineStr"/>
    </row>
    <row r="439" ht="15" customHeight="1">
      <c r="A439" t="inlineStr">
        <is>
          <t>A 17834-2023</t>
        </is>
      </c>
      <c r="B439" t="inlineStr">
        <is>
          <t>avverkningsanmälan</t>
        </is>
      </c>
      <c r="C439" t="inlineStr">
        <is>
          <t>Föryngringsavverkning</t>
        </is>
      </c>
      <c r="D439" s="1" t="n">
        <v>45037</v>
      </c>
      <c r="E439" s="1" t="n">
        <v>46220</v>
      </c>
      <c r="F439" t="inlineStr">
        <is>
          <t>DALARNAS LÄN</t>
        </is>
      </c>
      <c r="G439" t="inlineStr">
        <is>
          <t>SMEDJEBACKEN</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37408-2024</t>
        </is>
      </c>
      <c r="B440" t="inlineStr">
        <is>
          <t>avverkningsanmälan</t>
        </is>
      </c>
      <c r="C440" t="inlineStr">
        <is>
          <t>Föryngringsavverkning</t>
        </is>
      </c>
      <c r="D440" s="1" t="n">
        <v>45540</v>
      </c>
      <c r="E440" s="1" t="n">
        <v>46220</v>
      </c>
      <c r="F440" t="inlineStr">
        <is>
          <t>DALARNAS LÄN</t>
        </is>
      </c>
      <c r="G440" t="inlineStr">
        <is>
          <t>SMEDJEBACKEN</t>
        </is>
      </c>
      <c r="I440" t="n">
        <v>7.6</v>
      </c>
      <c r="J440" t="n">
        <v>0</v>
      </c>
      <c r="K440" t="n">
        <v>0</v>
      </c>
      <c r="L440" t="n">
        <v>0</v>
      </c>
      <c r="M440" t="n">
        <v>0</v>
      </c>
      <c r="N440" t="n">
        <v>0</v>
      </c>
      <c r="O440" t="n">
        <v>0</v>
      </c>
      <c r="P440" t="n">
        <v>0</v>
      </c>
      <c r="Q440" t="n">
        <v>0</v>
      </c>
      <c r="R440" t="n">
        <v>0</v>
      </c>
      <c r="S440" t="n">
        <v>0</v>
      </c>
      <c r="T440" t="n">
        <v>0</v>
      </c>
      <c r="U440" s="2" t="inlineStr"/>
    </row>
    <row r="441" ht="15" customHeight="1">
      <c r="A441" t="inlineStr">
        <is>
          <t>A 44034-2023</t>
        </is>
      </c>
      <c r="B441" t="inlineStr">
        <is>
          <t>avverkningsanmälan</t>
        </is>
      </c>
      <c r="C441" t="inlineStr">
        <is>
          <t>Avverkning för annat ändamål</t>
        </is>
      </c>
      <c r="D441" s="1" t="n">
        <v>45188</v>
      </c>
      <c r="E441" s="1" t="n">
        <v>46220</v>
      </c>
      <c r="F441" t="inlineStr">
        <is>
          <t>DALARNAS LÄN</t>
        </is>
      </c>
      <c r="G441" t="inlineStr">
        <is>
          <t>SMEDJEBACKEN</t>
        </is>
      </c>
      <c r="H441" t="inlineStr">
        <is>
          <t>Sveaskog</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28283-2025</t>
        </is>
      </c>
      <c r="B442" t="inlineStr">
        <is>
          <t>avverkningsanmälan</t>
        </is>
      </c>
      <c r="C442" t="inlineStr">
        <is>
          <t>Föryngringsavverkning</t>
        </is>
      </c>
      <c r="D442" s="1" t="n">
        <v>45818</v>
      </c>
      <c r="E442" s="1" t="n">
        <v>46220</v>
      </c>
      <c r="F442" t="inlineStr">
        <is>
          <t>DALARNAS LÄN</t>
        </is>
      </c>
      <c r="G442" t="inlineStr">
        <is>
          <t>SMEDJEBACKEN</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26899-2024</t>
        </is>
      </c>
      <c r="B443" t="inlineStr">
        <is>
          <t>avverkningsanmälan</t>
        </is>
      </c>
      <c r="C443" t="inlineStr">
        <is>
          <t>Föryngringsavverkning</t>
        </is>
      </c>
      <c r="D443" s="1" t="n">
        <v>45470</v>
      </c>
      <c r="E443" s="1" t="n">
        <v>46220</v>
      </c>
      <c r="F443" t="inlineStr">
        <is>
          <t>DALARNAS LÄN</t>
        </is>
      </c>
      <c r="G443" t="inlineStr">
        <is>
          <t>SMEDJEBACKEN</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18538-2026</t>
        </is>
      </c>
      <c r="B444" t="inlineStr">
        <is>
          <t>avverkningsanmälan</t>
        </is>
      </c>
      <c r="C444" t="inlineStr">
        <is>
          <t>Föryngringsavverkning</t>
        </is>
      </c>
      <c r="D444" s="1" t="n">
        <v>46127</v>
      </c>
      <c r="E444" s="1" t="n">
        <v>46220</v>
      </c>
      <c r="F444" t="inlineStr">
        <is>
          <t>DALARNAS LÄN</t>
        </is>
      </c>
      <c r="G444" t="inlineStr">
        <is>
          <t>SMEDJEBACKEN</t>
        </is>
      </c>
      <c r="I444" t="n">
        <v>13.4</v>
      </c>
      <c r="J444" t="n">
        <v>0</v>
      </c>
      <c r="K444" t="n">
        <v>0</v>
      </c>
      <c r="L444" t="n">
        <v>0</v>
      </c>
      <c r="M444" t="n">
        <v>0</v>
      </c>
      <c r="N444" t="n">
        <v>0</v>
      </c>
      <c r="O444" t="n">
        <v>0</v>
      </c>
      <c r="P444" t="n">
        <v>0</v>
      </c>
      <c r="Q444" t="n">
        <v>0</v>
      </c>
      <c r="R444" t="n">
        <v>0</v>
      </c>
      <c r="S444" t="n">
        <v>0</v>
      </c>
      <c r="T444" t="n">
        <v>0</v>
      </c>
      <c r="U444" s="2" t="inlineStr"/>
    </row>
    <row r="445" ht="15" customHeight="1">
      <c r="A445" t="inlineStr">
        <is>
          <t>A 45683-2024</t>
        </is>
      </c>
      <c r="B445" t="inlineStr">
        <is>
          <t>avverkningsanmälan</t>
        </is>
      </c>
      <c r="C445" t="inlineStr">
        <is>
          <t>Föryngringsavverkning</t>
        </is>
      </c>
      <c r="D445" s="1" t="n">
        <v>45579</v>
      </c>
      <c r="E445" s="1" t="n">
        <v>46220</v>
      </c>
      <c r="F445" t="inlineStr">
        <is>
          <t>DALARNAS LÄN</t>
        </is>
      </c>
      <c r="G445" t="inlineStr">
        <is>
          <t>SMEDJEBACKEN</t>
        </is>
      </c>
      <c r="H445" t="inlineStr">
        <is>
          <t>Bergvik skog väst AB</t>
        </is>
      </c>
      <c r="I445" t="n">
        <v>7.5</v>
      </c>
      <c r="J445" t="n">
        <v>0</v>
      </c>
      <c r="K445" t="n">
        <v>0</v>
      </c>
      <c r="L445" t="n">
        <v>0</v>
      </c>
      <c r="M445" t="n">
        <v>0</v>
      </c>
      <c r="N445" t="n">
        <v>0</v>
      </c>
      <c r="O445" t="n">
        <v>0</v>
      </c>
      <c r="P445" t="n">
        <v>0</v>
      </c>
      <c r="Q445" t="n">
        <v>0</v>
      </c>
      <c r="R445" t="n">
        <v>0</v>
      </c>
      <c r="S445" t="n">
        <v>0</v>
      </c>
      <c r="T445" t="n">
        <v>0</v>
      </c>
      <c r="U445" s="2" t="inlineStr"/>
    </row>
    <row r="446" ht="15" customHeight="1">
      <c r="A446" t="inlineStr">
        <is>
          <t>A 19955-2026</t>
        </is>
      </c>
      <c r="B446" t="inlineStr">
        <is>
          <t>avverkningsanmälan</t>
        </is>
      </c>
      <c r="C446" t="inlineStr">
        <is>
          <t>Föryngringsavverkning</t>
        </is>
      </c>
      <c r="D446" s="1" t="n">
        <v>46136</v>
      </c>
      <c r="E446" s="1" t="n">
        <v>46220</v>
      </c>
      <c r="F446" t="inlineStr">
        <is>
          <t>DALARNAS LÄN</t>
        </is>
      </c>
      <c r="G446" t="inlineStr">
        <is>
          <t>SMEDJEBACKEN</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15786-2023</t>
        </is>
      </c>
      <c r="B447" t="inlineStr">
        <is>
          <t>avverkningsanmälan</t>
        </is>
      </c>
      <c r="C447" t="inlineStr">
        <is>
          <t>Föryngringsavverkning</t>
        </is>
      </c>
      <c r="D447" s="1" t="n">
        <v>45021</v>
      </c>
      <c r="E447" s="1" t="n">
        <v>46220</v>
      </c>
      <c r="F447" t="inlineStr">
        <is>
          <t>DALARNAS LÄN</t>
        </is>
      </c>
      <c r="G447" t="inlineStr">
        <is>
          <t>SMEDJEBACKEN</t>
        </is>
      </c>
      <c r="H447" t="inlineStr">
        <is>
          <t>Kommuner</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29530-2024</t>
        </is>
      </c>
      <c r="B448" t="inlineStr">
        <is>
          <t>avverkningsanmälan</t>
        </is>
      </c>
      <c r="C448" t="inlineStr">
        <is>
          <t>Föryngringsavverkning</t>
        </is>
      </c>
      <c r="D448" s="1" t="n">
        <v>45484</v>
      </c>
      <c r="E448" s="1" t="n">
        <v>46220</v>
      </c>
      <c r="F448" t="inlineStr">
        <is>
          <t>DALARNAS LÄN</t>
        </is>
      </c>
      <c r="G448" t="inlineStr">
        <is>
          <t>SMEDJEBACKEN</t>
        </is>
      </c>
      <c r="I448" t="n">
        <v>4</v>
      </c>
      <c r="J448" t="n">
        <v>0</v>
      </c>
      <c r="K448" t="n">
        <v>0</v>
      </c>
      <c r="L448" t="n">
        <v>0</v>
      </c>
      <c r="M448" t="n">
        <v>0</v>
      </c>
      <c r="N448" t="n">
        <v>0</v>
      </c>
      <c r="O448" t="n">
        <v>0</v>
      </c>
      <c r="P448" t="n">
        <v>0</v>
      </c>
      <c r="Q448" t="n">
        <v>0</v>
      </c>
      <c r="R448" t="n">
        <v>0</v>
      </c>
      <c r="S448" t="n">
        <v>0</v>
      </c>
      <c r="T448" t="n">
        <v>0</v>
      </c>
      <c r="U448" s="2" t="inlineStr"/>
    </row>
    <row r="449" ht="15" customHeight="1">
      <c r="A449" t="inlineStr">
        <is>
          <t>A 14462-2023</t>
        </is>
      </c>
      <c r="B449" t="inlineStr">
        <is>
          <t>avverkningsanmälan</t>
        </is>
      </c>
      <c r="C449" t="inlineStr">
        <is>
          <t>Föryngringsavverkning</t>
        </is>
      </c>
      <c r="D449" s="1" t="n">
        <v>45012</v>
      </c>
      <c r="E449" s="1" t="n">
        <v>46220</v>
      </c>
      <c r="F449" t="inlineStr">
        <is>
          <t>DALARNAS LÄN</t>
        </is>
      </c>
      <c r="G449" t="inlineStr">
        <is>
          <t>SMEDJEBACKEN</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58731-2025</t>
        </is>
      </c>
      <c r="B450" t="inlineStr">
        <is>
          <t>avverkningsanmälan</t>
        </is>
      </c>
      <c r="C450" t="inlineStr">
        <is>
          <t>Föryngringsavverkning</t>
        </is>
      </c>
      <c r="D450" s="1" t="n">
        <v>45986</v>
      </c>
      <c r="E450" s="1" t="n">
        <v>46220</v>
      </c>
      <c r="F450" t="inlineStr">
        <is>
          <t>DALARNAS LÄN</t>
        </is>
      </c>
      <c r="G450" t="inlineStr">
        <is>
          <t>SMEDJEBACKEN</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12027-2023</t>
        </is>
      </c>
      <c r="B451" t="inlineStr">
        <is>
          <t>avverkningsanmälan</t>
        </is>
      </c>
      <c r="C451" t="inlineStr">
        <is>
          <t>Föryngringsavverkning</t>
        </is>
      </c>
      <c r="D451" s="1" t="n">
        <v>44995</v>
      </c>
      <c r="E451" s="1" t="n">
        <v>46220</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20707-2026</t>
        </is>
      </c>
      <c r="B452" t="inlineStr">
        <is>
          <t>avverkningsanmälan</t>
        </is>
      </c>
      <c r="C452" t="inlineStr">
        <is>
          <t>Föryngringsavverkning</t>
        </is>
      </c>
      <c r="D452" s="1" t="n">
        <v>46141</v>
      </c>
      <c r="E452" s="1" t="n">
        <v>46220</v>
      </c>
      <c r="F452" t="inlineStr">
        <is>
          <t>DALARNAS LÄN</t>
        </is>
      </c>
      <c r="G452" t="inlineStr">
        <is>
          <t>SMEDJEBACKEN</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16597-2024</t>
        </is>
      </c>
      <c r="B453" t="inlineStr">
        <is>
          <t>avverkningsanmälan</t>
        </is>
      </c>
      <c r="C453" t="inlineStr">
        <is>
          <t>Föryngringsavverkning</t>
        </is>
      </c>
      <c r="D453" s="1" t="n">
        <v>45408</v>
      </c>
      <c r="E453" s="1" t="n">
        <v>46220</v>
      </c>
      <c r="F453" t="inlineStr">
        <is>
          <t>DALARNAS LÄN</t>
        </is>
      </c>
      <c r="G453" t="inlineStr">
        <is>
          <t>SMEDJEBACKEN</t>
        </is>
      </c>
      <c r="H453" t="inlineStr">
        <is>
          <t>Sveaskog</t>
        </is>
      </c>
      <c r="I453" t="n">
        <v>0.4</v>
      </c>
      <c r="J453" t="n">
        <v>0</v>
      </c>
      <c r="K453" t="n">
        <v>0</v>
      </c>
      <c r="L453" t="n">
        <v>0</v>
      </c>
      <c r="M453" t="n">
        <v>0</v>
      </c>
      <c r="N453" t="n">
        <v>0</v>
      </c>
      <c r="O453" t="n">
        <v>0</v>
      </c>
      <c r="P453" t="n">
        <v>0</v>
      </c>
      <c r="Q453" t="n">
        <v>0</v>
      </c>
      <c r="R453" t="n">
        <v>0</v>
      </c>
      <c r="S453" t="n">
        <v>0</v>
      </c>
      <c r="T453" t="n">
        <v>0</v>
      </c>
      <c r="U453" s="2" t="inlineStr"/>
    </row>
    <row r="454" ht="15" customHeight="1">
      <c r="A454" t="inlineStr">
        <is>
          <t>A 20718-2026</t>
        </is>
      </c>
      <c r="B454" t="inlineStr">
        <is>
          <t>avverkningsanmälan</t>
        </is>
      </c>
      <c r="C454" t="inlineStr">
        <is>
          <t>Föryngringsavverkning</t>
        </is>
      </c>
      <c r="D454" s="1" t="n">
        <v>46141</v>
      </c>
      <c r="E454" s="1" t="n">
        <v>46220</v>
      </c>
      <c r="F454" t="inlineStr">
        <is>
          <t>DALARNAS LÄN</t>
        </is>
      </c>
      <c r="G454" t="inlineStr">
        <is>
          <t>SMEDJEBACKEN</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20610-2026</t>
        </is>
      </c>
      <c r="B455" t="inlineStr">
        <is>
          <t>avverkningsanmälan</t>
        </is>
      </c>
      <c r="C455" t="inlineStr">
        <is>
          <t>Föryngringsavverkning</t>
        </is>
      </c>
      <c r="D455" s="1" t="n">
        <v>46140</v>
      </c>
      <c r="E455" s="1" t="n">
        <v>46220</v>
      </c>
      <c r="F455" t="inlineStr">
        <is>
          <t>DALARNAS LÄN</t>
        </is>
      </c>
      <c r="G455" t="inlineStr">
        <is>
          <t>SMEDJEBACKEN</t>
        </is>
      </c>
      <c r="I455" t="n">
        <v>5</v>
      </c>
      <c r="J455" t="n">
        <v>0</v>
      </c>
      <c r="K455" t="n">
        <v>0</v>
      </c>
      <c r="L455" t="n">
        <v>0</v>
      </c>
      <c r="M455" t="n">
        <v>0</v>
      </c>
      <c r="N455" t="n">
        <v>0</v>
      </c>
      <c r="O455" t="n">
        <v>0</v>
      </c>
      <c r="P455" t="n">
        <v>0</v>
      </c>
      <c r="Q455" t="n">
        <v>0</v>
      </c>
      <c r="R455" t="n">
        <v>0</v>
      </c>
      <c r="S455" t="n">
        <v>0</v>
      </c>
      <c r="T455" t="n">
        <v>0</v>
      </c>
      <c r="U455" s="2" t="inlineStr"/>
    </row>
    <row r="456" ht="15" customHeight="1">
      <c r="A456" t="inlineStr">
        <is>
          <t>A 4155-2023</t>
        </is>
      </c>
      <c r="B456" t="inlineStr">
        <is>
          <t>avverkningsanmälan</t>
        </is>
      </c>
      <c r="C456" t="inlineStr">
        <is>
          <t>Avverkning för annat ändamål</t>
        </is>
      </c>
      <c r="D456" s="1" t="n">
        <v>44950</v>
      </c>
      <c r="E456" s="1" t="n">
        <v>46220</v>
      </c>
      <c r="F456" t="inlineStr">
        <is>
          <t>DALARNAS LÄN</t>
        </is>
      </c>
      <c r="G456" t="inlineStr">
        <is>
          <t>SMEDJEBACKEN</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26367-2026</t>
        </is>
      </c>
      <c r="B457" t="inlineStr">
        <is>
          <t>avverkningsanmälan</t>
        </is>
      </c>
      <c r="C457" t="inlineStr">
        <is>
          <t>Föryngringsavverkning</t>
        </is>
      </c>
      <c r="D457" s="1" t="n">
        <v>46182</v>
      </c>
      <c r="E457" s="1" t="n">
        <v>46220</v>
      </c>
      <c r="F457" t="inlineStr">
        <is>
          <t>DALARNAS LÄN</t>
        </is>
      </c>
      <c r="G457" t="inlineStr">
        <is>
          <t>SMEDJEBACKEN</t>
        </is>
      </c>
      <c r="H457" t="inlineStr">
        <is>
          <t>Övriga Aktiebolag</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51115-2024</t>
        </is>
      </c>
      <c r="B458" t="inlineStr">
        <is>
          <t>avverkningsanmälan</t>
        </is>
      </c>
      <c r="C458" t="inlineStr">
        <is>
          <t>Avverkning för att bevara och utveckla /försöksver</t>
        </is>
      </c>
      <c r="D458" s="1" t="n">
        <v>45603</v>
      </c>
      <c r="E458" s="1" t="n">
        <v>46220</v>
      </c>
      <c r="F458" t="inlineStr">
        <is>
          <t>DALARNAS LÄN</t>
        </is>
      </c>
      <c r="G458" t="inlineStr">
        <is>
          <t>SMEDJEBACKEN</t>
        </is>
      </c>
      <c r="H458" t="inlineStr">
        <is>
          <t>Sveaskog</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15322-2025</t>
        </is>
      </c>
      <c r="B459" t="inlineStr">
        <is>
          <t>avverkningsanmälan</t>
        </is>
      </c>
      <c r="C459" t="inlineStr">
        <is>
          <t>Föryngringsavverkning</t>
        </is>
      </c>
      <c r="D459" s="1" t="n">
        <v>45747</v>
      </c>
      <c r="E459" s="1" t="n">
        <v>46220</v>
      </c>
      <c r="F459" t="inlineStr">
        <is>
          <t>DALARNAS LÄN</t>
        </is>
      </c>
      <c r="G459" t="inlineStr">
        <is>
          <t>SMEDJEBACKEN</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29120-2024</t>
        </is>
      </c>
      <c r="B460" t="inlineStr">
        <is>
          <t>avverkningsanmälan</t>
        </is>
      </c>
      <c r="C460" t="inlineStr">
        <is>
          <t>Föryngringsavverkning</t>
        </is>
      </c>
      <c r="D460" s="1" t="n">
        <v>45481</v>
      </c>
      <c r="E460" s="1" t="n">
        <v>46220</v>
      </c>
      <c r="F460" t="inlineStr">
        <is>
          <t>DALARNAS LÄN</t>
        </is>
      </c>
      <c r="G460" t="inlineStr">
        <is>
          <t>SMEDJEBACKEN</t>
        </is>
      </c>
      <c r="I460" t="n">
        <v>4.1</v>
      </c>
      <c r="J460" t="n">
        <v>0</v>
      </c>
      <c r="K460" t="n">
        <v>0</v>
      </c>
      <c r="L460" t="n">
        <v>0</v>
      </c>
      <c r="M460" t="n">
        <v>0</v>
      </c>
      <c r="N460" t="n">
        <v>0</v>
      </c>
      <c r="O460" t="n">
        <v>0</v>
      </c>
      <c r="P460" t="n">
        <v>0</v>
      </c>
      <c r="Q460" t="n">
        <v>0</v>
      </c>
      <c r="R460" t="n">
        <v>0</v>
      </c>
      <c r="S460" t="n">
        <v>0</v>
      </c>
      <c r="T460" t="n">
        <v>0</v>
      </c>
      <c r="U460" s="2" t="inlineStr"/>
    </row>
    <row r="461" ht="15" customHeight="1">
      <c r="A461" t="inlineStr">
        <is>
          <t>A 40870-2023</t>
        </is>
      </c>
      <c r="B461" t="inlineStr">
        <is>
          <t>avverkningsanmälan</t>
        </is>
      </c>
      <c r="C461" t="inlineStr">
        <is>
          <t>Föryngringsavverkning</t>
        </is>
      </c>
      <c r="D461" s="1" t="n">
        <v>45173</v>
      </c>
      <c r="E461" s="1" t="n">
        <v>46220</v>
      </c>
      <c r="F461" t="inlineStr">
        <is>
          <t>DALARNAS LÄN</t>
        </is>
      </c>
      <c r="G461" t="inlineStr">
        <is>
          <t>SMEDJEBACKEN</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2243-2026</t>
        </is>
      </c>
      <c r="B462" t="inlineStr">
        <is>
          <t>avverkningsanmälan</t>
        </is>
      </c>
      <c r="C462" t="inlineStr">
        <is>
          <t>Föryngringsavverkning</t>
        </is>
      </c>
      <c r="D462" s="1" t="n">
        <v>46036</v>
      </c>
      <c r="E462" s="1" t="n">
        <v>46220</v>
      </c>
      <c r="F462" t="inlineStr">
        <is>
          <t>DALARNAS LÄN</t>
        </is>
      </c>
      <c r="G462" t="inlineStr">
        <is>
          <t>SMEDJEBACKEN</t>
        </is>
      </c>
      <c r="I462" t="n">
        <v>4.1</v>
      </c>
      <c r="J462" t="n">
        <v>0</v>
      </c>
      <c r="K462" t="n">
        <v>0</v>
      </c>
      <c r="L462" t="n">
        <v>0</v>
      </c>
      <c r="M462" t="n">
        <v>0</v>
      </c>
      <c r="N462" t="n">
        <v>0</v>
      </c>
      <c r="O462" t="n">
        <v>0</v>
      </c>
      <c r="P462" t="n">
        <v>0</v>
      </c>
      <c r="Q462" t="n">
        <v>0</v>
      </c>
      <c r="R462" t="n">
        <v>0</v>
      </c>
      <c r="S462" t="n">
        <v>0</v>
      </c>
      <c r="T462" t="n">
        <v>0</v>
      </c>
      <c r="U462" s="2" t="inlineStr"/>
    </row>
    <row r="463" ht="15" customHeight="1">
      <c r="A463" t="inlineStr">
        <is>
          <t>A 27070-2022</t>
        </is>
      </c>
      <c r="B463" t="inlineStr">
        <is>
          <t>avverkningsanmälan</t>
        </is>
      </c>
      <c r="C463" t="inlineStr">
        <is>
          <t>Föryngringsavverkning</t>
        </is>
      </c>
      <c r="D463" s="1" t="n">
        <v>44741</v>
      </c>
      <c r="E463" s="1" t="n">
        <v>46220</v>
      </c>
      <c r="F463" t="inlineStr">
        <is>
          <t>DALARNAS LÄN</t>
        </is>
      </c>
      <c r="G463" t="inlineStr">
        <is>
          <t>SMEDJEBACKEN</t>
        </is>
      </c>
      <c r="H463" t="inlineStr">
        <is>
          <t>Sveaskog</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26661-2026</t>
        </is>
      </c>
      <c r="B464" t="inlineStr">
        <is>
          <t>avverkningsanmälan</t>
        </is>
      </c>
      <c r="C464" t="inlineStr">
        <is>
          <t>Föryngringsavverkning</t>
        </is>
      </c>
      <c r="D464" s="1" t="n">
        <v>46184</v>
      </c>
      <c r="E464" s="1" t="n">
        <v>46220</v>
      </c>
      <c r="F464" t="inlineStr">
        <is>
          <t>DALARNAS LÄN</t>
        </is>
      </c>
      <c r="G464" t="inlineStr">
        <is>
          <t>SMEDJEBACKEN</t>
        </is>
      </c>
      <c r="H464" t="inlineStr">
        <is>
          <t>Sveaskog</t>
        </is>
      </c>
      <c r="I464" t="n">
        <v>6.7</v>
      </c>
      <c r="J464" t="n">
        <v>0</v>
      </c>
      <c r="K464" t="n">
        <v>0</v>
      </c>
      <c r="L464" t="n">
        <v>0</v>
      </c>
      <c r="M464" t="n">
        <v>0</v>
      </c>
      <c r="N464" t="n">
        <v>0</v>
      </c>
      <c r="O464" t="n">
        <v>0</v>
      </c>
      <c r="P464" t="n">
        <v>0</v>
      </c>
      <c r="Q464" t="n">
        <v>0</v>
      </c>
      <c r="R464" t="n">
        <v>0</v>
      </c>
      <c r="S464" t="n">
        <v>0</v>
      </c>
      <c r="T464" t="n">
        <v>0</v>
      </c>
      <c r="U464" s="2" t="inlineStr"/>
    </row>
    <row r="465" ht="15" customHeight="1">
      <c r="A465" t="inlineStr">
        <is>
          <t>A 28613-2022</t>
        </is>
      </c>
      <c r="B465" t="inlineStr">
        <is>
          <t>avverkningsanmälan</t>
        </is>
      </c>
      <c r="C465" t="inlineStr">
        <is>
          <t>Föryngringsavverkning</t>
        </is>
      </c>
      <c r="D465" s="1" t="n">
        <v>44748</v>
      </c>
      <c r="E465" s="1" t="n">
        <v>46220</v>
      </c>
      <c r="F465" t="inlineStr">
        <is>
          <t>DALARNAS LÄN</t>
        </is>
      </c>
      <c r="G465" t="inlineStr">
        <is>
          <t>SMEDJEBACKEN</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38356-2024</t>
        </is>
      </c>
      <c r="B466" t="inlineStr">
        <is>
          <t>avverkningsanmälan</t>
        </is>
      </c>
      <c r="C466" t="inlineStr">
        <is>
          <t>Föryngringsavverkning</t>
        </is>
      </c>
      <c r="D466" s="1" t="n">
        <v>45545</v>
      </c>
      <c r="E466" s="1" t="n">
        <v>46220</v>
      </c>
      <c r="F466" t="inlineStr">
        <is>
          <t>DALARNAS LÄN</t>
        </is>
      </c>
      <c r="G466" t="inlineStr">
        <is>
          <t>SMEDJEBACKEN</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26659-2026</t>
        </is>
      </c>
      <c r="B467" t="inlineStr">
        <is>
          <t>avverkningsanmälan</t>
        </is>
      </c>
      <c r="C467" t="inlineStr">
        <is>
          <t>Föryngringsavverkning</t>
        </is>
      </c>
      <c r="D467" s="1" t="n">
        <v>46184</v>
      </c>
      <c r="E467" s="1" t="n">
        <v>46220</v>
      </c>
      <c r="F467" t="inlineStr">
        <is>
          <t>DALARNAS LÄN</t>
        </is>
      </c>
      <c r="G467" t="inlineStr">
        <is>
          <t>SMEDJEBACKEN</t>
        </is>
      </c>
      <c r="H467" t="inlineStr">
        <is>
          <t>Sveaskog</t>
        </is>
      </c>
      <c r="I467" t="n">
        <v>4.2</v>
      </c>
      <c r="J467" t="n">
        <v>0</v>
      </c>
      <c r="K467" t="n">
        <v>0</v>
      </c>
      <c r="L467" t="n">
        <v>0</v>
      </c>
      <c r="M467" t="n">
        <v>0</v>
      </c>
      <c r="N467" t="n">
        <v>0</v>
      </c>
      <c r="O467" t="n">
        <v>0</v>
      </c>
      <c r="P467" t="n">
        <v>0</v>
      </c>
      <c r="Q467" t="n">
        <v>0</v>
      </c>
      <c r="R467" t="n">
        <v>0</v>
      </c>
      <c r="S467" t="n">
        <v>0</v>
      </c>
      <c r="T467" t="n">
        <v>0</v>
      </c>
      <c r="U467" s="2" t="inlineStr"/>
    </row>
    <row r="468" ht="15" customHeight="1">
      <c r="A468" t="inlineStr">
        <is>
          <t>A 14843-2023</t>
        </is>
      </c>
      <c r="B468" t="inlineStr">
        <is>
          <t>avverkningsanmälan</t>
        </is>
      </c>
      <c r="C468" t="inlineStr">
        <is>
          <t>Föryngringsavverkning</t>
        </is>
      </c>
      <c r="D468" s="1" t="n">
        <v>45014</v>
      </c>
      <c r="E468" s="1" t="n">
        <v>46220</v>
      </c>
      <c r="F468" t="inlineStr">
        <is>
          <t>DALARNAS LÄN</t>
        </is>
      </c>
      <c r="G468" t="inlineStr">
        <is>
          <t>SMEDJEBACKEN</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26657-2026</t>
        </is>
      </c>
      <c r="B469" t="inlineStr">
        <is>
          <t>avverkningsanmälan</t>
        </is>
      </c>
      <c r="C469" t="inlineStr">
        <is>
          <t>Föryngringsavverkning</t>
        </is>
      </c>
      <c r="D469" s="1" t="n">
        <v>46184</v>
      </c>
      <c r="E469" s="1" t="n">
        <v>46220</v>
      </c>
      <c r="F469" t="inlineStr">
        <is>
          <t>DALARNAS LÄN</t>
        </is>
      </c>
      <c r="G469" t="inlineStr">
        <is>
          <t>SMEDJEBACKEN</t>
        </is>
      </c>
      <c r="H469" t="inlineStr">
        <is>
          <t>Sveaskog</t>
        </is>
      </c>
      <c r="I469" t="n">
        <v>3.8</v>
      </c>
      <c r="J469" t="n">
        <v>0</v>
      </c>
      <c r="K469" t="n">
        <v>0</v>
      </c>
      <c r="L469" t="n">
        <v>0</v>
      </c>
      <c r="M469" t="n">
        <v>0</v>
      </c>
      <c r="N469" t="n">
        <v>0</v>
      </c>
      <c r="O469" t="n">
        <v>0</v>
      </c>
      <c r="P469" t="n">
        <v>0</v>
      </c>
      <c r="Q469" t="n">
        <v>0</v>
      </c>
      <c r="R469" t="n">
        <v>0</v>
      </c>
      <c r="S469" t="n">
        <v>0</v>
      </c>
      <c r="T469" t="n">
        <v>0</v>
      </c>
      <c r="U469" s="2" t="inlineStr"/>
    </row>
    <row r="470" ht="15" customHeight="1">
      <c r="A470" t="inlineStr">
        <is>
          <t>A 53474-2024</t>
        </is>
      </c>
      <c r="B470" t="inlineStr">
        <is>
          <t>avverkningsanmälan</t>
        </is>
      </c>
      <c r="C470" t="inlineStr">
        <is>
          <t>Föryngringsavverkning</t>
        </is>
      </c>
      <c r="D470" s="1" t="n">
        <v>45611</v>
      </c>
      <c r="E470" s="1" t="n">
        <v>46220</v>
      </c>
      <c r="F470" t="inlineStr">
        <is>
          <t>DALARNAS LÄN</t>
        </is>
      </c>
      <c r="G470" t="inlineStr">
        <is>
          <t>SMEDJEBACKEN</t>
        </is>
      </c>
      <c r="I470" t="n">
        <v>4.9</v>
      </c>
      <c r="J470" t="n">
        <v>0</v>
      </c>
      <c r="K470" t="n">
        <v>0</v>
      </c>
      <c r="L470" t="n">
        <v>0</v>
      </c>
      <c r="M470" t="n">
        <v>0</v>
      </c>
      <c r="N470" t="n">
        <v>0</v>
      </c>
      <c r="O470" t="n">
        <v>0</v>
      </c>
      <c r="P470" t="n">
        <v>0</v>
      </c>
      <c r="Q470" t="n">
        <v>0</v>
      </c>
      <c r="R470" t="n">
        <v>0</v>
      </c>
      <c r="S470" t="n">
        <v>0</v>
      </c>
      <c r="T470" t="n">
        <v>0</v>
      </c>
      <c r="U470" s="2" t="inlineStr"/>
    </row>
    <row r="471" ht="15" customHeight="1">
      <c r="A471" t="inlineStr">
        <is>
          <t>A 26655-2026</t>
        </is>
      </c>
      <c r="B471" t="inlineStr">
        <is>
          <t>avverkningsanmälan</t>
        </is>
      </c>
      <c r="C471" t="inlineStr">
        <is>
          <t>Föryngringsavverkning</t>
        </is>
      </c>
      <c r="D471" s="1" t="n">
        <v>46184</v>
      </c>
      <c r="E471" s="1" t="n">
        <v>46220</v>
      </c>
      <c r="F471" t="inlineStr">
        <is>
          <t>DALARNAS LÄN</t>
        </is>
      </c>
      <c r="G471" t="inlineStr">
        <is>
          <t>SMEDJEBACKEN</t>
        </is>
      </c>
      <c r="H471" t="inlineStr">
        <is>
          <t>Sveaskog</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3418-2024</t>
        </is>
      </c>
      <c r="B472" t="inlineStr">
        <is>
          <t>avverkningsanmälan</t>
        </is>
      </c>
      <c r="C472" t="inlineStr">
        <is>
          <t>Föryngringsavverkning</t>
        </is>
      </c>
      <c r="D472" s="1" t="n">
        <v>45319</v>
      </c>
      <c r="E472" s="1" t="n">
        <v>46220</v>
      </c>
      <c r="F472" t="inlineStr">
        <is>
          <t>DALARNAS LÄN</t>
        </is>
      </c>
      <c r="G472" t="inlineStr">
        <is>
          <t>SMEDJEBACKEN</t>
        </is>
      </c>
      <c r="I472" t="n">
        <v>4.3</v>
      </c>
      <c r="J472" t="n">
        <v>0</v>
      </c>
      <c r="K472" t="n">
        <v>0</v>
      </c>
      <c r="L472" t="n">
        <v>0</v>
      </c>
      <c r="M472" t="n">
        <v>0</v>
      </c>
      <c r="N472" t="n">
        <v>0</v>
      </c>
      <c r="O472" t="n">
        <v>0</v>
      </c>
      <c r="P472" t="n">
        <v>0</v>
      </c>
      <c r="Q472" t="n">
        <v>0</v>
      </c>
      <c r="R472" t="n">
        <v>0</v>
      </c>
      <c r="S472" t="n">
        <v>0</v>
      </c>
      <c r="T472" t="n">
        <v>0</v>
      </c>
      <c r="U472" s="2" t="inlineStr"/>
    </row>
    <row r="473" ht="15" customHeight="1">
      <c r="A473" t="inlineStr">
        <is>
          <t>A 52354-2023</t>
        </is>
      </c>
      <c r="B473" t="inlineStr">
        <is>
          <t>avverkningsanmälan</t>
        </is>
      </c>
      <c r="C473" t="inlineStr">
        <is>
          <t>Föryngringsavverkning</t>
        </is>
      </c>
      <c r="D473" s="1" t="n">
        <v>45224</v>
      </c>
      <c r="E473" s="1" t="n">
        <v>46220</v>
      </c>
      <c r="F473" t="inlineStr">
        <is>
          <t>DALARNAS LÄN</t>
        </is>
      </c>
      <c r="G473" t="inlineStr">
        <is>
          <t>SMEDJEBACKEN</t>
        </is>
      </c>
      <c r="I473" t="n">
        <v>14.9</v>
      </c>
      <c r="J473" t="n">
        <v>0</v>
      </c>
      <c r="K473" t="n">
        <v>0</v>
      </c>
      <c r="L473" t="n">
        <v>0</v>
      </c>
      <c r="M473" t="n">
        <v>0</v>
      </c>
      <c r="N473" t="n">
        <v>0</v>
      </c>
      <c r="O473" t="n">
        <v>0</v>
      </c>
      <c r="P473" t="n">
        <v>0</v>
      </c>
      <c r="Q473" t="n">
        <v>0</v>
      </c>
      <c r="R473" t="n">
        <v>0</v>
      </c>
      <c r="S473" t="n">
        <v>0</v>
      </c>
      <c r="T473" t="n">
        <v>0</v>
      </c>
      <c r="U473" s="2" t="inlineStr"/>
    </row>
    <row r="474" ht="15" customHeight="1">
      <c r="A474" t="inlineStr">
        <is>
          <t>A 54260-2022</t>
        </is>
      </c>
      <c r="B474" t="inlineStr">
        <is>
          <t>avverkningsanmälan</t>
        </is>
      </c>
      <c r="C474" t="inlineStr">
        <is>
          <t>Föryngringsavverkning</t>
        </is>
      </c>
      <c r="D474" s="1" t="n">
        <v>44882</v>
      </c>
      <c r="E474" s="1" t="n">
        <v>46220</v>
      </c>
      <c r="F474" t="inlineStr">
        <is>
          <t>DALARNAS LÄN</t>
        </is>
      </c>
      <c r="G474" t="inlineStr">
        <is>
          <t>SMEDJEBACKEN</t>
        </is>
      </c>
      <c r="H474" t="inlineStr">
        <is>
          <t>Kyrkan</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26347-2026</t>
        </is>
      </c>
      <c r="B475" t="inlineStr">
        <is>
          <t>avverkningsanmälan</t>
        </is>
      </c>
      <c r="C475" t="inlineStr">
        <is>
          <t>Avverkning för annat ändamål</t>
        </is>
      </c>
      <c r="D475" s="1" t="n">
        <v>46182</v>
      </c>
      <c r="E475" s="1" t="n">
        <v>46220</v>
      </c>
      <c r="F475" t="inlineStr">
        <is>
          <t>DALARNAS LÄN</t>
        </is>
      </c>
      <c r="G475" t="inlineStr">
        <is>
          <t>SMEDJEBACKEN</t>
        </is>
      </c>
      <c r="H475" t="inlineStr">
        <is>
          <t>Sveaskog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18133-2024</t>
        </is>
      </c>
      <c r="B476" t="inlineStr">
        <is>
          <t>avverkningsanmälan</t>
        </is>
      </c>
      <c r="C476" t="inlineStr">
        <is>
          <t>Föryngringsavverkning</t>
        </is>
      </c>
      <c r="D476" s="1" t="n">
        <v>45420</v>
      </c>
      <c r="E476" s="1" t="n">
        <v>46220</v>
      </c>
      <c r="F476" t="inlineStr">
        <is>
          <t>DALARNAS LÄN</t>
        </is>
      </c>
      <c r="G476" t="inlineStr">
        <is>
          <t>SMEDJEBACKEN</t>
        </is>
      </c>
      <c r="H476" t="inlineStr">
        <is>
          <t>Sveaskog</t>
        </is>
      </c>
      <c r="I476" t="n">
        <v>8.5</v>
      </c>
      <c r="J476" t="n">
        <v>0</v>
      </c>
      <c r="K476" t="n">
        <v>0</v>
      </c>
      <c r="L476" t="n">
        <v>0</v>
      </c>
      <c r="M476" t="n">
        <v>0</v>
      </c>
      <c r="N476" t="n">
        <v>0</v>
      </c>
      <c r="O476" t="n">
        <v>0</v>
      </c>
      <c r="P476" t="n">
        <v>0</v>
      </c>
      <c r="Q476" t="n">
        <v>0</v>
      </c>
      <c r="R476" t="n">
        <v>0</v>
      </c>
      <c r="S476" t="n">
        <v>0</v>
      </c>
      <c r="T476" t="n">
        <v>0</v>
      </c>
      <c r="U476" s="2" t="inlineStr"/>
    </row>
    <row r="477" ht="15" customHeight="1">
      <c r="A477" t="inlineStr">
        <is>
          <t>A 21215-2026</t>
        </is>
      </c>
      <c r="B477" t="inlineStr">
        <is>
          <t>avverkningsanmälan</t>
        </is>
      </c>
      <c r="C477" t="inlineStr">
        <is>
          <t>Föryngringsavverkning</t>
        </is>
      </c>
      <c r="D477" s="1" t="n">
        <v>46146</v>
      </c>
      <c r="E477" s="1" t="n">
        <v>46220</v>
      </c>
      <c r="F477" t="inlineStr">
        <is>
          <t>DALARNAS LÄN</t>
        </is>
      </c>
      <c r="G477" t="inlineStr">
        <is>
          <t>SMEDJEBACKEN</t>
        </is>
      </c>
      <c r="H477" t="inlineStr">
        <is>
          <t>Bergvik skog väst AB</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56510-2024</t>
        </is>
      </c>
      <c r="B478" t="inlineStr">
        <is>
          <t>avverkningsanmälan</t>
        </is>
      </c>
      <c r="C478" t="inlineStr">
        <is>
          <t>Avverkning för att bevara och utveckla /försöksver</t>
        </is>
      </c>
      <c r="D478" s="1" t="n">
        <v>45625</v>
      </c>
      <c r="E478" s="1" t="n">
        <v>46220</v>
      </c>
      <c r="F478" t="inlineStr">
        <is>
          <t>DALARNAS LÄN</t>
        </is>
      </c>
      <c r="G478" t="inlineStr">
        <is>
          <t>SMEDJEBACKEN</t>
        </is>
      </c>
      <c r="H478" t="inlineStr">
        <is>
          <t>Sveaskog</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21216-2026</t>
        </is>
      </c>
      <c r="B479" t="inlineStr">
        <is>
          <t>avverkningsanmälan</t>
        </is>
      </c>
      <c r="C479" t="inlineStr">
        <is>
          <t>Föryngringsavverkning</t>
        </is>
      </c>
      <c r="D479" s="1" t="n">
        <v>46146</v>
      </c>
      <c r="E479" s="1" t="n">
        <v>46220</v>
      </c>
      <c r="F479" t="inlineStr">
        <is>
          <t>DALARNAS LÄN</t>
        </is>
      </c>
      <c r="G479" t="inlineStr">
        <is>
          <t>SMEDJEBACKEN</t>
        </is>
      </c>
      <c r="H479" t="inlineStr">
        <is>
          <t>Bergvik skog väst AB</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12125-2024</t>
        </is>
      </c>
      <c r="B480" t="inlineStr">
        <is>
          <t>avverkningsanmälan</t>
        </is>
      </c>
      <c r="C480" t="inlineStr">
        <is>
          <t>Avverkning för annat ändamål</t>
        </is>
      </c>
      <c r="D480" s="1" t="n">
        <v>45377</v>
      </c>
      <c r="E480" s="1" t="n">
        <v>46220</v>
      </c>
      <c r="F480" t="inlineStr">
        <is>
          <t>DALARNAS LÄN</t>
        </is>
      </c>
      <c r="G480" t="inlineStr">
        <is>
          <t>SMEDJEBACKEN</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38767-2023</t>
        </is>
      </c>
      <c r="B481" t="inlineStr">
        <is>
          <t>avverkningsanmälan</t>
        </is>
      </c>
      <c r="C481" t="inlineStr">
        <is>
          <t>Föryngringsavverkning</t>
        </is>
      </c>
      <c r="D481" s="1" t="n">
        <v>45163</v>
      </c>
      <c r="E481" s="1" t="n">
        <v>46220</v>
      </c>
      <c r="F481" t="inlineStr">
        <is>
          <t>DALARNAS LÄN</t>
        </is>
      </c>
      <c r="G481" t="inlineStr">
        <is>
          <t>SMEDJEBACKEN</t>
        </is>
      </c>
      <c r="H481" t="inlineStr">
        <is>
          <t>Sveaskog</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48459-2023</t>
        </is>
      </c>
      <c r="B482" t="inlineStr">
        <is>
          <t>avverkningsanmälan</t>
        </is>
      </c>
      <c r="C482" t="inlineStr">
        <is>
          <t>Föryngringsavverkning</t>
        </is>
      </c>
      <c r="D482" s="1" t="n">
        <v>45206</v>
      </c>
      <c r="E482" s="1" t="n">
        <v>46220</v>
      </c>
      <c r="F482" t="inlineStr">
        <is>
          <t>DALARNAS LÄN</t>
        </is>
      </c>
      <c r="G482" t="inlineStr">
        <is>
          <t>SMEDJEBACKEN</t>
        </is>
      </c>
      <c r="H482" t="inlineStr">
        <is>
          <t>Sveaskog</t>
        </is>
      </c>
      <c r="I482" t="n">
        <v>5.2</v>
      </c>
      <c r="J482" t="n">
        <v>0</v>
      </c>
      <c r="K482" t="n">
        <v>0</v>
      </c>
      <c r="L482" t="n">
        <v>0</v>
      </c>
      <c r="M482" t="n">
        <v>0</v>
      </c>
      <c r="N482" t="n">
        <v>0</v>
      </c>
      <c r="O482" t="n">
        <v>0</v>
      </c>
      <c r="P482" t="n">
        <v>0</v>
      </c>
      <c r="Q482" t="n">
        <v>0</v>
      </c>
      <c r="R482" t="n">
        <v>0</v>
      </c>
      <c r="S482" t="n">
        <v>0</v>
      </c>
      <c r="T482" t="n">
        <v>0</v>
      </c>
      <c r="U482" s="2" t="inlineStr"/>
    </row>
    <row r="483" ht="15" customHeight="1">
      <c r="A483" t="inlineStr">
        <is>
          <t>A 27786-2026</t>
        </is>
      </c>
      <c r="B483" t="inlineStr">
        <is>
          <t>avverkningsanmälan</t>
        </is>
      </c>
      <c r="C483" t="inlineStr">
        <is>
          <t>Föryngringsavverkning</t>
        </is>
      </c>
      <c r="D483" s="1" t="n">
        <v>46191</v>
      </c>
      <c r="E483" s="1" t="n">
        <v>46220</v>
      </c>
      <c r="F483" t="inlineStr">
        <is>
          <t>DALARNAS LÄN</t>
        </is>
      </c>
      <c r="G483" t="inlineStr">
        <is>
          <t>SMEDJEBACKEN</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45373-2023</t>
        </is>
      </c>
      <c r="B484" t="inlineStr">
        <is>
          <t>avverkningsanmälan</t>
        </is>
      </c>
      <c r="C484" t="inlineStr">
        <is>
          <t>Föryngringsavverkning</t>
        </is>
      </c>
      <c r="D484" s="1" t="n">
        <v>45193</v>
      </c>
      <c r="E484" s="1" t="n">
        <v>46220</v>
      </c>
      <c r="F484" t="inlineStr">
        <is>
          <t>DALARNAS LÄN</t>
        </is>
      </c>
      <c r="G484" t="inlineStr">
        <is>
          <t>SMEDJEBACKEN</t>
        </is>
      </c>
      <c r="H484" t="inlineStr">
        <is>
          <t>Sveaskog</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32384-2022</t>
        </is>
      </c>
      <c r="B485" t="inlineStr">
        <is>
          <t>avverkningsanmälan</t>
        </is>
      </c>
      <c r="C485" t="inlineStr">
        <is>
          <t>Föryngringsavverkning</t>
        </is>
      </c>
      <c r="D485" s="1" t="n">
        <v>44782</v>
      </c>
      <c r="E485" s="1" t="n">
        <v>46220</v>
      </c>
      <c r="F485" t="inlineStr">
        <is>
          <t>DALARNAS LÄN</t>
        </is>
      </c>
      <c r="G485" t="inlineStr">
        <is>
          <t>SMEDJEBACKEN</t>
        </is>
      </c>
      <c r="I485" t="n">
        <v>2.9</v>
      </c>
      <c r="J485" t="n">
        <v>0</v>
      </c>
      <c r="K485" t="n">
        <v>0</v>
      </c>
      <c r="L485" t="n">
        <v>0</v>
      </c>
      <c r="M485" t="n">
        <v>0</v>
      </c>
      <c r="N485" t="n">
        <v>0</v>
      </c>
      <c r="O485" t="n">
        <v>0</v>
      </c>
      <c r="P485" t="n">
        <v>0</v>
      </c>
      <c r="Q485" t="n">
        <v>0</v>
      </c>
      <c r="R485" t="n">
        <v>0</v>
      </c>
      <c r="S485" t="n">
        <v>0</v>
      </c>
      <c r="T485" t="n">
        <v>0</v>
      </c>
      <c r="U485" s="2" t="inlineStr"/>
    </row>
    <row r="486" ht="15" customHeight="1">
      <c r="A486" t="inlineStr">
        <is>
          <t>A 21631-2026</t>
        </is>
      </c>
      <c r="B486" t="inlineStr">
        <is>
          <t>avverkningsanmälan</t>
        </is>
      </c>
      <c r="C486" t="inlineStr">
        <is>
          <t>Föryngringsavverkning</t>
        </is>
      </c>
      <c r="D486" s="1" t="n">
        <v>46149</v>
      </c>
      <c r="E486" s="1" t="n">
        <v>46220</v>
      </c>
      <c r="F486" t="inlineStr">
        <is>
          <t>DALARNAS LÄN</t>
        </is>
      </c>
      <c r="G486" t="inlineStr">
        <is>
          <t>SMEDJEBACKEN</t>
        </is>
      </c>
      <c r="H486" t="inlineStr">
        <is>
          <t>Sveaskog</t>
        </is>
      </c>
      <c r="I486" t="n">
        <v>4.9</v>
      </c>
      <c r="J486" t="n">
        <v>0</v>
      </c>
      <c r="K486" t="n">
        <v>0</v>
      </c>
      <c r="L486" t="n">
        <v>0</v>
      </c>
      <c r="M486" t="n">
        <v>0</v>
      </c>
      <c r="N486" t="n">
        <v>0</v>
      </c>
      <c r="O486" t="n">
        <v>0</v>
      </c>
      <c r="P486" t="n">
        <v>0</v>
      </c>
      <c r="Q486" t="n">
        <v>0</v>
      </c>
      <c r="R486" t="n">
        <v>0</v>
      </c>
      <c r="S486" t="n">
        <v>0</v>
      </c>
      <c r="T486" t="n">
        <v>0</v>
      </c>
      <c r="U486" s="2" t="inlineStr"/>
    </row>
    <row r="487" ht="15" customHeight="1">
      <c r="A487" t="inlineStr">
        <is>
          <t>A 18022-2024</t>
        </is>
      </c>
      <c r="B487" t="inlineStr">
        <is>
          <t>avverkningsanmälan</t>
        </is>
      </c>
      <c r="C487" t="inlineStr">
        <is>
          <t>Avverkning för annat ändamål</t>
        </is>
      </c>
      <c r="D487" s="1" t="n">
        <v>45420</v>
      </c>
      <c r="E487" s="1" t="n">
        <v>46220</v>
      </c>
      <c r="F487" t="inlineStr">
        <is>
          <t>DALARNAS LÄN</t>
        </is>
      </c>
      <c r="G487" t="inlineStr">
        <is>
          <t>SMEDJEBACKEN</t>
        </is>
      </c>
      <c r="H487" t="inlineStr">
        <is>
          <t>Sveaskog</t>
        </is>
      </c>
      <c r="I487" t="n">
        <v>0.3</v>
      </c>
      <c r="J487" t="n">
        <v>0</v>
      </c>
      <c r="K487" t="n">
        <v>0</v>
      </c>
      <c r="L487" t="n">
        <v>0</v>
      </c>
      <c r="M487" t="n">
        <v>0</v>
      </c>
      <c r="N487" t="n">
        <v>0</v>
      </c>
      <c r="O487" t="n">
        <v>0</v>
      </c>
      <c r="P487" t="n">
        <v>0</v>
      </c>
      <c r="Q487" t="n">
        <v>0</v>
      </c>
      <c r="R487" t="n">
        <v>0</v>
      </c>
      <c r="S487" t="n">
        <v>0</v>
      </c>
      <c r="T487" t="n">
        <v>0</v>
      </c>
      <c r="U487" s="2" t="inlineStr"/>
    </row>
    <row r="488" ht="15" customHeight="1">
      <c r="A488" t="inlineStr">
        <is>
          <t>A 21632-2026</t>
        </is>
      </c>
      <c r="B488" t="inlineStr">
        <is>
          <t>avverkningsanmälan</t>
        </is>
      </c>
      <c r="C488" t="inlineStr">
        <is>
          <t>Föryngringsavverkning</t>
        </is>
      </c>
      <c r="D488" s="1" t="n">
        <v>46149</v>
      </c>
      <c r="E488" s="1" t="n">
        <v>46220</v>
      </c>
      <c r="F488" t="inlineStr">
        <is>
          <t>DALARNAS LÄN</t>
        </is>
      </c>
      <c r="G488" t="inlineStr">
        <is>
          <t>SMEDJEBACKEN</t>
        </is>
      </c>
      <c r="H488" t="inlineStr">
        <is>
          <t>Sveaskog</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11514-2024</t>
        </is>
      </c>
      <c r="B489" t="inlineStr">
        <is>
          <t>avverkningsanmälan</t>
        </is>
      </c>
      <c r="C489" t="inlineStr">
        <is>
          <t>Föryngringsavverkning</t>
        </is>
      </c>
      <c r="D489" s="1" t="n">
        <v>45372</v>
      </c>
      <c r="E489" s="1" t="n">
        <v>46220</v>
      </c>
      <c r="F489" t="inlineStr">
        <is>
          <t>DALARNAS LÄN</t>
        </is>
      </c>
      <c r="G489" t="inlineStr">
        <is>
          <t>SMEDJEBACKEN</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13354-2025</t>
        </is>
      </c>
      <c r="B490" t="inlineStr">
        <is>
          <t>avverkningsanmälan</t>
        </is>
      </c>
      <c r="C490" t="inlineStr">
        <is>
          <t>Föryngringsavverkning</t>
        </is>
      </c>
      <c r="D490" s="1" t="n">
        <v>45735</v>
      </c>
      <c r="E490" s="1" t="n">
        <v>46220</v>
      </c>
      <c r="F490" t="inlineStr">
        <is>
          <t>DALARNAS LÄN</t>
        </is>
      </c>
      <c r="G490" t="inlineStr">
        <is>
          <t>SMEDJEBACKEN</t>
        </is>
      </c>
      <c r="I490" t="n">
        <v>4.4</v>
      </c>
      <c r="J490" t="n">
        <v>0</v>
      </c>
      <c r="K490" t="n">
        <v>0</v>
      </c>
      <c r="L490" t="n">
        <v>0</v>
      </c>
      <c r="M490" t="n">
        <v>0</v>
      </c>
      <c r="N490" t="n">
        <v>0</v>
      </c>
      <c r="O490" t="n">
        <v>0</v>
      </c>
      <c r="P490" t="n">
        <v>0</v>
      </c>
      <c r="Q490" t="n">
        <v>0</v>
      </c>
      <c r="R490" t="n">
        <v>0</v>
      </c>
      <c r="S490" t="n">
        <v>0</v>
      </c>
      <c r="T490" t="n">
        <v>0</v>
      </c>
      <c r="U490" s="2" t="inlineStr"/>
    </row>
    <row r="491" ht="15" customHeight="1">
      <c r="A491" t="inlineStr">
        <is>
          <t>A 21996-2026</t>
        </is>
      </c>
      <c r="B491" t="inlineStr">
        <is>
          <t>avverkningsanmälan</t>
        </is>
      </c>
      <c r="C491" t="inlineStr">
        <is>
          <t>Föryngringsavverkning</t>
        </is>
      </c>
      <c r="D491" s="1" t="n">
        <v>46153</v>
      </c>
      <c r="E491" s="1" t="n">
        <v>46220</v>
      </c>
      <c r="F491" t="inlineStr">
        <is>
          <t>DALARNAS LÄN</t>
        </is>
      </c>
      <c r="G491" t="inlineStr">
        <is>
          <t>SMEDJEBACKEN</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21806-2026</t>
        </is>
      </c>
      <c r="B492" t="inlineStr">
        <is>
          <t>avverkningsanmälan</t>
        </is>
      </c>
      <c r="C492" t="inlineStr">
        <is>
          <t>Föryngringsavverkning</t>
        </is>
      </c>
      <c r="D492" s="1" t="n">
        <v>46150</v>
      </c>
      <c r="E492" s="1" t="n">
        <v>46220</v>
      </c>
      <c r="F492" t="inlineStr">
        <is>
          <t>DALARNAS LÄN</t>
        </is>
      </c>
      <c r="G492" t="inlineStr">
        <is>
          <t>SMEDJEBACKEN</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21838-2026</t>
        </is>
      </c>
      <c r="B493" t="inlineStr">
        <is>
          <t>avverkningsanmälan</t>
        </is>
      </c>
      <c r="C493" t="inlineStr">
        <is>
          <t>Föryngringsavverkning</t>
        </is>
      </c>
      <c r="D493" s="1" t="n">
        <v>46150</v>
      </c>
      <c r="E493" s="1" t="n">
        <v>46220</v>
      </c>
      <c r="F493" t="inlineStr">
        <is>
          <t>DALARNAS LÄN</t>
        </is>
      </c>
      <c r="G493" t="inlineStr">
        <is>
          <t>SMEDJEBACKEN</t>
        </is>
      </c>
      <c r="H493" t="inlineStr">
        <is>
          <t>Sveaskog</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21840-2026</t>
        </is>
      </c>
      <c r="B494" t="inlineStr">
        <is>
          <t>avverkningsanmälan</t>
        </is>
      </c>
      <c r="C494" t="inlineStr">
        <is>
          <t>Föryngringsavverkning</t>
        </is>
      </c>
      <c r="D494" s="1" t="n">
        <v>46150</v>
      </c>
      <c r="E494" s="1" t="n">
        <v>46220</v>
      </c>
      <c r="F494" t="inlineStr">
        <is>
          <t>DALARNAS LÄN</t>
        </is>
      </c>
      <c r="G494" t="inlineStr">
        <is>
          <t>SMEDJEBACKEN</t>
        </is>
      </c>
      <c r="H494" t="inlineStr">
        <is>
          <t>Sveaskog</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21841-2026</t>
        </is>
      </c>
      <c r="B495" t="inlineStr">
        <is>
          <t>avverkningsanmälan</t>
        </is>
      </c>
      <c r="C495" t="inlineStr">
        <is>
          <t>Föryngringsavverkning</t>
        </is>
      </c>
      <c r="D495" s="1" t="n">
        <v>46150</v>
      </c>
      <c r="E495" s="1" t="n">
        <v>46220</v>
      </c>
      <c r="F495" t="inlineStr">
        <is>
          <t>DALARNAS LÄN</t>
        </is>
      </c>
      <c r="G495" t="inlineStr">
        <is>
          <t>SMEDJEBACKEN</t>
        </is>
      </c>
      <c r="H495" t="inlineStr">
        <is>
          <t>Sveaskog</t>
        </is>
      </c>
      <c r="I495" t="n">
        <v>3.6</v>
      </c>
      <c r="J495" t="n">
        <v>0</v>
      </c>
      <c r="K495" t="n">
        <v>0</v>
      </c>
      <c r="L495" t="n">
        <v>0</v>
      </c>
      <c r="M495" t="n">
        <v>0</v>
      </c>
      <c r="N495" t="n">
        <v>0</v>
      </c>
      <c r="O495" t="n">
        <v>0</v>
      </c>
      <c r="P495" t="n">
        <v>0</v>
      </c>
      <c r="Q495" t="n">
        <v>0</v>
      </c>
      <c r="R495" t="n">
        <v>0</v>
      </c>
      <c r="S495" t="n">
        <v>0</v>
      </c>
      <c r="T495" t="n">
        <v>0</v>
      </c>
      <c r="U495" s="2" t="inlineStr"/>
    </row>
    <row r="496" ht="15" customHeight="1">
      <c r="A496" t="inlineStr">
        <is>
          <t>A 22627-2026</t>
        </is>
      </c>
      <c r="B496" t="inlineStr">
        <is>
          <t>avverkningsanmälan</t>
        </is>
      </c>
      <c r="C496" t="inlineStr">
        <is>
          <t>Föryngringsavverkning</t>
        </is>
      </c>
      <c r="D496" s="1" t="n">
        <v>46155</v>
      </c>
      <c r="E496" s="1" t="n">
        <v>46220</v>
      </c>
      <c r="F496" t="inlineStr">
        <is>
          <t>DALARNAS LÄN</t>
        </is>
      </c>
      <c r="G496" t="inlineStr">
        <is>
          <t>SMEDJEBACKEN</t>
        </is>
      </c>
      <c r="H496" t="inlineStr">
        <is>
          <t>Sveaskog</t>
        </is>
      </c>
      <c r="I496" t="n">
        <v>7.1</v>
      </c>
      <c r="J496" t="n">
        <v>0</v>
      </c>
      <c r="K496" t="n">
        <v>0</v>
      </c>
      <c r="L496" t="n">
        <v>0</v>
      </c>
      <c r="M496" t="n">
        <v>0</v>
      </c>
      <c r="N496" t="n">
        <v>0</v>
      </c>
      <c r="O496" t="n">
        <v>0</v>
      </c>
      <c r="P496" t="n">
        <v>0</v>
      </c>
      <c r="Q496" t="n">
        <v>0</v>
      </c>
      <c r="R496" t="n">
        <v>0</v>
      </c>
      <c r="S496" t="n">
        <v>0</v>
      </c>
      <c r="T496" t="n">
        <v>0</v>
      </c>
      <c r="U496" s="2" t="inlineStr"/>
    </row>
    <row r="497" ht="15" customHeight="1">
      <c r="A497" t="inlineStr">
        <is>
          <t>A 33846-2022</t>
        </is>
      </c>
      <c r="B497" t="inlineStr">
        <is>
          <t>avverkningsanmälan</t>
        </is>
      </c>
      <c r="C497" t="inlineStr">
        <is>
          <t>Föryngringsavverkning</t>
        </is>
      </c>
      <c r="D497" s="1" t="n">
        <v>44790</v>
      </c>
      <c r="E497" s="1" t="n">
        <v>46220</v>
      </c>
      <c r="F497" t="inlineStr">
        <is>
          <t>DALARNAS LÄN</t>
        </is>
      </c>
      <c r="G497" t="inlineStr">
        <is>
          <t>SMEDJEBACKEN</t>
        </is>
      </c>
      <c r="H497" t="inlineStr">
        <is>
          <t>Bergvik skog väst AB</t>
        </is>
      </c>
      <c r="I497" t="n">
        <v>2.7</v>
      </c>
      <c r="J497" t="n">
        <v>0</v>
      </c>
      <c r="K497" t="n">
        <v>0</v>
      </c>
      <c r="L497" t="n">
        <v>0</v>
      </c>
      <c r="M497" t="n">
        <v>0</v>
      </c>
      <c r="N497" t="n">
        <v>0</v>
      </c>
      <c r="O497" t="n">
        <v>0</v>
      </c>
      <c r="P497" t="n">
        <v>0</v>
      </c>
      <c r="Q497" t="n">
        <v>0</v>
      </c>
      <c r="R497" t="n">
        <v>0</v>
      </c>
      <c r="S497" t="n">
        <v>0</v>
      </c>
      <c r="T497" t="n">
        <v>0</v>
      </c>
      <c r="U497" s="2" t="inlineStr"/>
    </row>
    <row r="498" ht="15" customHeight="1">
      <c r="A498" t="inlineStr">
        <is>
          <t>A 29991-2023</t>
        </is>
      </c>
      <c r="B498" t="inlineStr">
        <is>
          <t>avverkningsanmälan</t>
        </is>
      </c>
      <c r="C498" t="inlineStr">
        <is>
          <t>Föryngringsavverkning</t>
        </is>
      </c>
      <c r="D498" s="1" t="n">
        <v>45109</v>
      </c>
      <c r="E498" s="1" t="n">
        <v>46220</v>
      </c>
      <c r="F498" t="inlineStr">
        <is>
          <t>DALARNAS LÄN</t>
        </is>
      </c>
      <c r="G498" t="inlineStr">
        <is>
          <t>SMEDJEBACKEN</t>
        </is>
      </c>
      <c r="I498" t="n">
        <v>3.3</v>
      </c>
      <c r="J498" t="n">
        <v>0</v>
      </c>
      <c r="K498" t="n">
        <v>0</v>
      </c>
      <c r="L498" t="n">
        <v>0</v>
      </c>
      <c r="M498" t="n">
        <v>0</v>
      </c>
      <c r="N498" t="n">
        <v>0</v>
      </c>
      <c r="O498" t="n">
        <v>0</v>
      </c>
      <c r="P498" t="n">
        <v>0</v>
      </c>
      <c r="Q498" t="n">
        <v>0</v>
      </c>
      <c r="R498" t="n">
        <v>0</v>
      </c>
      <c r="S498" t="n">
        <v>0</v>
      </c>
      <c r="T498" t="n">
        <v>0</v>
      </c>
      <c r="U498" s="2" t="inlineStr"/>
    </row>
    <row r="499" ht="15" customHeight="1">
      <c r="A499" t="inlineStr">
        <is>
          <t>A 30384-2024</t>
        </is>
      </c>
      <c r="B499" t="inlineStr">
        <is>
          <t>avverkningsanmälan</t>
        </is>
      </c>
      <c r="C499" t="inlineStr">
        <is>
          <t>Föryngringsavverkning</t>
        </is>
      </c>
      <c r="D499" s="1" t="n">
        <v>45490</v>
      </c>
      <c r="E499" s="1" t="n">
        <v>46220</v>
      </c>
      <c r="F499" t="inlineStr">
        <is>
          <t>DALARNAS LÄN</t>
        </is>
      </c>
      <c r="G499" t="inlineStr">
        <is>
          <t>SMEDJEBACKEN</t>
        </is>
      </c>
      <c r="I499" t="n">
        <v>8.4</v>
      </c>
      <c r="J499" t="n">
        <v>0</v>
      </c>
      <c r="K499" t="n">
        <v>0</v>
      </c>
      <c r="L499" t="n">
        <v>0</v>
      </c>
      <c r="M499" t="n">
        <v>0</v>
      </c>
      <c r="N499" t="n">
        <v>0</v>
      </c>
      <c r="O499" t="n">
        <v>0</v>
      </c>
      <c r="P499" t="n">
        <v>0</v>
      </c>
      <c r="Q499" t="n">
        <v>0</v>
      </c>
      <c r="R499" t="n">
        <v>0</v>
      </c>
      <c r="S499" t="n">
        <v>0</v>
      </c>
      <c r="T499" t="n">
        <v>0</v>
      </c>
      <c r="U499" s="2" t="inlineStr"/>
    </row>
    <row r="500" ht="15" customHeight="1">
      <c r="A500" t="inlineStr">
        <is>
          <t>A 50524-2024</t>
        </is>
      </c>
      <c r="B500" t="inlineStr">
        <is>
          <t>avverkningsanmälan</t>
        </is>
      </c>
      <c r="C500" t="inlineStr">
        <is>
          <t>Föryngringsavverkning</t>
        </is>
      </c>
      <c r="D500" s="1" t="n">
        <v>45600</v>
      </c>
      <c r="E500" s="1" t="n">
        <v>46220</v>
      </c>
      <c r="F500" t="inlineStr">
        <is>
          <t>DALARNAS LÄN</t>
        </is>
      </c>
      <c r="G500" t="inlineStr">
        <is>
          <t>SMEDJEBACKEN</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29068-2026</t>
        </is>
      </c>
      <c r="B501" t="inlineStr">
        <is>
          <t>avverkningsanmälan</t>
        </is>
      </c>
      <c r="C501" t="inlineStr">
        <is>
          <t>Föryngringsavverkning</t>
        </is>
      </c>
      <c r="D501" s="1" t="n">
        <v>46199</v>
      </c>
      <c r="E501" s="1" t="n">
        <v>46220</v>
      </c>
      <c r="F501" t="inlineStr">
        <is>
          <t>DALARNAS LÄN</t>
        </is>
      </c>
      <c r="G501" t="inlineStr">
        <is>
          <t>SMEDJEBACKEN</t>
        </is>
      </c>
      <c r="H501" t="inlineStr">
        <is>
          <t>Sveaskog</t>
        </is>
      </c>
      <c r="I501" t="n">
        <v>4.2</v>
      </c>
      <c r="J501" t="n">
        <v>0</v>
      </c>
      <c r="K501" t="n">
        <v>0</v>
      </c>
      <c r="L501" t="n">
        <v>0</v>
      </c>
      <c r="M501" t="n">
        <v>0</v>
      </c>
      <c r="N501" t="n">
        <v>0</v>
      </c>
      <c r="O501" t="n">
        <v>0</v>
      </c>
      <c r="P501" t="n">
        <v>0</v>
      </c>
      <c r="Q501" t="n">
        <v>0</v>
      </c>
      <c r="R501" t="n">
        <v>0</v>
      </c>
      <c r="S501" t="n">
        <v>0</v>
      </c>
      <c r="T501" t="n">
        <v>0</v>
      </c>
      <c r="U501" s="2" t="inlineStr"/>
    </row>
    <row r="502" ht="15" customHeight="1">
      <c r="A502" t="inlineStr">
        <is>
          <t>A 6712-2023</t>
        </is>
      </c>
      <c r="B502" t="inlineStr">
        <is>
          <t>avverkningsanmälan</t>
        </is>
      </c>
      <c r="C502" t="inlineStr">
        <is>
          <t>Föryngringsavverkning</t>
        </is>
      </c>
      <c r="D502" s="1" t="n">
        <v>44966</v>
      </c>
      <c r="E502" s="1" t="n">
        <v>46220</v>
      </c>
      <c r="F502" t="inlineStr">
        <is>
          <t>DALARNAS LÄN</t>
        </is>
      </c>
      <c r="G502" t="inlineStr">
        <is>
          <t>SMEDJEBACKEN</t>
        </is>
      </c>
      <c r="I502" t="n">
        <v>14.7</v>
      </c>
      <c r="J502" t="n">
        <v>0</v>
      </c>
      <c r="K502" t="n">
        <v>0</v>
      </c>
      <c r="L502" t="n">
        <v>0</v>
      </c>
      <c r="M502" t="n">
        <v>0</v>
      </c>
      <c r="N502" t="n">
        <v>0</v>
      </c>
      <c r="O502" t="n">
        <v>0</v>
      </c>
      <c r="P502" t="n">
        <v>0</v>
      </c>
      <c r="Q502" t="n">
        <v>0</v>
      </c>
      <c r="R502" t="n">
        <v>0</v>
      </c>
      <c r="S502" t="n">
        <v>0</v>
      </c>
      <c r="T502" t="n">
        <v>0</v>
      </c>
      <c r="U502" s="2" t="inlineStr"/>
    </row>
    <row r="503" ht="15" customHeight="1">
      <c r="A503" t="inlineStr">
        <is>
          <t>A 6716-2023</t>
        </is>
      </c>
      <c r="B503" t="inlineStr">
        <is>
          <t>avverkningsanmälan</t>
        </is>
      </c>
      <c r="C503" t="inlineStr">
        <is>
          <t>Föryngringsavverkning</t>
        </is>
      </c>
      <c r="D503" s="1" t="n">
        <v>44966</v>
      </c>
      <c r="E503" s="1" t="n">
        <v>46220</v>
      </c>
      <c r="F503" t="inlineStr">
        <is>
          <t>DALARNAS LÄN</t>
        </is>
      </c>
      <c r="G503" t="inlineStr">
        <is>
          <t>SMEDJEBACKEN</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29067-2026</t>
        </is>
      </c>
      <c r="B504" t="inlineStr">
        <is>
          <t>avverkningsanmälan</t>
        </is>
      </c>
      <c r="C504" t="inlineStr">
        <is>
          <t>Avverkning för att bevara och utveckla /försöksver</t>
        </is>
      </c>
      <c r="D504" s="1" t="n">
        <v>46199</v>
      </c>
      <c r="E504" s="1" t="n">
        <v>46220</v>
      </c>
      <c r="F504" t="inlineStr">
        <is>
          <t>DALARNAS LÄN</t>
        </is>
      </c>
      <c r="G504" t="inlineStr">
        <is>
          <t>SMEDJEBACKEN</t>
        </is>
      </c>
      <c r="H504" t="inlineStr">
        <is>
          <t>Sveaskog</t>
        </is>
      </c>
      <c r="I504" t="n">
        <v>2.3</v>
      </c>
      <c r="J504" t="n">
        <v>0</v>
      </c>
      <c r="K504" t="n">
        <v>0</v>
      </c>
      <c r="L504" t="n">
        <v>0</v>
      </c>
      <c r="M504" t="n">
        <v>0</v>
      </c>
      <c r="N504" t="n">
        <v>0</v>
      </c>
      <c r="O504" t="n">
        <v>0</v>
      </c>
      <c r="P504" t="n">
        <v>0</v>
      </c>
      <c r="Q504" t="n">
        <v>0</v>
      </c>
      <c r="R504" t="n">
        <v>0</v>
      </c>
      <c r="S504" t="n">
        <v>0</v>
      </c>
      <c r="T504" t="n">
        <v>0</v>
      </c>
      <c r="U504" s="2" t="inlineStr"/>
    </row>
    <row r="505" ht="15" customHeight="1">
      <c r="A505" t="inlineStr">
        <is>
          <t>A 29069-2026</t>
        </is>
      </c>
      <c r="B505" t="inlineStr">
        <is>
          <t>avverkningsanmälan</t>
        </is>
      </c>
      <c r="C505" t="inlineStr">
        <is>
          <t>Föryngringsavverkning</t>
        </is>
      </c>
      <c r="D505" s="1" t="n">
        <v>46199</v>
      </c>
      <c r="E505" s="1" t="n">
        <v>46220</v>
      </c>
      <c r="F505" t="inlineStr">
        <is>
          <t>DALARNAS LÄN</t>
        </is>
      </c>
      <c r="G505" t="inlineStr">
        <is>
          <t>SMEDJEBACKEN</t>
        </is>
      </c>
      <c r="H505" t="inlineStr">
        <is>
          <t>Sveaskog</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19527-2026</t>
        </is>
      </c>
      <c r="B506" t="inlineStr">
        <is>
          <t>avverkningsanmälan</t>
        </is>
      </c>
      <c r="C506" t="inlineStr">
        <is>
          <t>Föryngringsavverkning</t>
        </is>
      </c>
      <c r="D506" s="1" t="n">
        <v>46134</v>
      </c>
      <c r="E506" s="1" t="n">
        <v>46220</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57217-2023</t>
        </is>
      </c>
      <c r="B507" t="inlineStr">
        <is>
          <t>avverkningsanmälan</t>
        </is>
      </c>
      <c r="C507" t="inlineStr">
        <is>
          <t>Föryngringsavverkning</t>
        </is>
      </c>
      <c r="D507" s="1" t="n">
        <v>45239</v>
      </c>
      <c r="E507" s="1" t="n">
        <v>46220</v>
      </c>
      <c r="F507" t="inlineStr">
        <is>
          <t>DALARNAS LÄN</t>
        </is>
      </c>
      <c r="G507" t="inlineStr">
        <is>
          <t>SMEDJEBACKEN</t>
        </is>
      </c>
      <c r="H507" t="inlineStr">
        <is>
          <t>Bergvik skog väst AB</t>
        </is>
      </c>
      <c r="I507" t="n">
        <v>4.2</v>
      </c>
      <c r="J507" t="n">
        <v>0</v>
      </c>
      <c r="K507" t="n">
        <v>0</v>
      </c>
      <c r="L507" t="n">
        <v>0</v>
      </c>
      <c r="M507" t="n">
        <v>0</v>
      </c>
      <c r="N507" t="n">
        <v>0</v>
      </c>
      <c r="O507" t="n">
        <v>0</v>
      </c>
      <c r="P507" t="n">
        <v>0</v>
      </c>
      <c r="Q507" t="n">
        <v>0</v>
      </c>
      <c r="R507" t="n">
        <v>0</v>
      </c>
      <c r="S507" t="n">
        <v>0</v>
      </c>
      <c r="T507" t="n">
        <v>0</v>
      </c>
      <c r="U507" s="2" t="inlineStr"/>
    </row>
    <row r="508" ht="15" customHeight="1">
      <c r="A508" t="inlineStr">
        <is>
          <t>A 16870-2023</t>
        </is>
      </c>
      <c r="B508" t="inlineStr">
        <is>
          <t>avverkningsanmälan</t>
        </is>
      </c>
      <c r="C508" t="inlineStr">
        <is>
          <t>Föryngringsavverkning</t>
        </is>
      </c>
      <c r="D508" s="1" t="n">
        <v>45033</v>
      </c>
      <c r="E508" s="1" t="n">
        <v>46220</v>
      </c>
      <c r="F508" t="inlineStr">
        <is>
          <t>DALARNAS LÄN</t>
        </is>
      </c>
      <c r="G508" t="inlineStr">
        <is>
          <t>SMEDJEBACKEN</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38440-2022</t>
        </is>
      </c>
      <c r="B509" t="inlineStr">
        <is>
          <t>avverkningsanmälan</t>
        </is>
      </c>
      <c r="C509" t="inlineStr">
        <is>
          <t>Föryngringsavverkning</t>
        </is>
      </c>
      <c r="D509" s="1" t="n">
        <v>44813</v>
      </c>
      <c r="E509" s="1" t="n">
        <v>46220</v>
      </c>
      <c r="F509" t="inlineStr">
        <is>
          <t>DALARNAS LÄN</t>
        </is>
      </c>
      <c r="G509" t="inlineStr">
        <is>
          <t>SMEDJEBACKEN</t>
        </is>
      </c>
      <c r="H509" t="inlineStr">
        <is>
          <t>Bergvik skog väst AB</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19524-2026</t>
        </is>
      </c>
      <c r="B510" t="inlineStr">
        <is>
          <t>avverkningsanmälan</t>
        </is>
      </c>
      <c r="C510" t="inlineStr">
        <is>
          <t>Föryngringsavverkning</t>
        </is>
      </c>
      <c r="D510" s="1" t="n">
        <v>46134</v>
      </c>
      <c r="E510" s="1" t="n">
        <v>46220</v>
      </c>
      <c r="F510" t="inlineStr">
        <is>
          <t>DALARNAS LÄN</t>
        </is>
      </c>
      <c r="G510" t="inlineStr">
        <is>
          <t>SMEDJEBACKEN</t>
        </is>
      </c>
      <c r="H510" t="inlineStr">
        <is>
          <t>Sveaskog</t>
        </is>
      </c>
      <c r="I510" t="n">
        <v>6.2</v>
      </c>
      <c r="J510" t="n">
        <v>0</v>
      </c>
      <c r="K510" t="n">
        <v>0</v>
      </c>
      <c r="L510" t="n">
        <v>0</v>
      </c>
      <c r="M510" t="n">
        <v>0</v>
      </c>
      <c r="N510" t="n">
        <v>0</v>
      </c>
      <c r="O510" t="n">
        <v>0</v>
      </c>
      <c r="P510" t="n">
        <v>0</v>
      </c>
      <c r="Q510" t="n">
        <v>0</v>
      </c>
      <c r="R510" t="n">
        <v>0</v>
      </c>
      <c r="S510" t="n">
        <v>0</v>
      </c>
      <c r="T510" t="n">
        <v>0</v>
      </c>
      <c r="U510" s="2" t="inlineStr"/>
    </row>
    <row r="511" ht="15" customHeight="1">
      <c r="A511" t="inlineStr">
        <is>
          <t>A 22763-2026</t>
        </is>
      </c>
      <c r="B511" t="inlineStr">
        <is>
          <t>avverkningsanmälan</t>
        </is>
      </c>
      <c r="C511" t="inlineStr">
        <is>
          <t>Föryngringsavverkning</t>
        </is>
      </c>
      <c r="D511" s="1" t="n">
        <v>46157</v>
      </c>
      <c r="E511" s="1" t="n">
        <v>46220</v>
      </c>
      <c r="F511" t="inlineStr">
        <is>
          <t>DALARNAS LÄN</t>
        </is>
      </c>
      <c r="G511" t="inlineStr">
        <is>
          <t>SMEDJEBACKEN</t>
        </is>
      </c>
      <c r="I511" t="n">
        <v>2</v>
      </c>
      <c r="J511" t="n">
        <v>0</v>
      </c>
      <c r="K511" t="n">
        <v>0</v>
      </c>
      <c r="L511" t="n">
        <v>0</v>
      </c>
      <c r="M511" t="n">
        <v>0</v>
      </c>
      <c r="N511" t="n">
        <v>0</v>
      </c>
      <c r="O511" t="n">
        <v>0</v>
      </c>
      <c r="P511" t="n">
        <v>0</v>
      </c>
      <c r="Q511" t="n">
        <v>0</v>
      </c>
      <c r="R511" t="n">
        <v>0</v>
      </c>
      <c r="S511" t="n">
        <v>0</v>
      </c>
      <c r="T511" t="n">
        <v>0</v>
      </c>
      <c r="U511" s="2" t="inlineStr"/>
    </row>
    <row r="512" ht="15" customHeight="1">
      <c r="A512" t="inlineStr">
        <is>
          <t>A 22775-2026</t>
        </is>
      </c>
      <c r="B512" t="inlineStr">
        <is>
          <t>avverkningsanmälan</t>
        </is>
      </c>
      <c r="C512" t="inlineStr">
        <is>
          <t>Avverkning för annat ändamål</t>
        </is>
      </c>
      <c r="D512" s="1" t="n">
        <v>46157</v>
      </c>
      <c r="E512" s="1" t="n">
        <v>46220</v>
      </c>
      <c r="F512" t="inlineStr">
        <is>
          <t>DALARNAS LÄN</t>
        </is>
      </c>
      <c r="G512" t="inlineStr">
        <is>
          <t>SMEDJEBACKEN</t>
        </is>
      </c>
      <c r="H512" t="inlineStr">
        <is>
          <t>Sveaskog</t>
        </is>
      </c>
      <c r="I512" t="n">
        <v>0.3</v>
      </c>
      <c r="J512" t="n">
        <v>0</v>
      </c>
      <c r="K512" t="n">
        <v>0</v>
      </c>
      <c r="L512" t="n">
        <v>0</v>
      </c>
      <c r="M512" t="n">
        <v>0</v>
      </c>
      <c r="N512" t="n">
        <v>0</v>
      </c>
      <c r="O512" t="n">
        <v>0</v>
      </c>
      <c r="P512" t="n">
        <v>0</v>
      </c>
      <c r="Q512" t="n">
        <v>0</v>
      </c>
      <c r="R512" t="n">
        <v>0</v>
      </c>
      <c r="S512" t="n">
        <v>0</v>
      </c>
      <c r="T512" t="n">
        <v>0</v>
      </c>
      <c r="U512" s="2" t="inlineStr"/>
    </row>
    <row r="513" ht="15" customHeight="1">
      <c r="A513" t="inlineStr">
        <is>
          <t>A 29287-2026</t>
        </is>
      </c>
      <c r="B513" t="inlineStr">
        <is>
          <t>avverkningsanmälan</t>
        </is>
      </c>
      <c r="C513" t="inlineStr">
        <is>
          <t>Föryngringsavverkning</t>
        </is>
      </c>
      <c r="D513" s="1" t="n">
        <v>46202</v>
      </c>
      <c r="E513" s="1" t="n">
        <v>46220</v>
      </c>
      <c r="F513" t="inlineStr">
        <is>
          <t>DALARNAS LÄN</t>
        </is>
      </c>
      <c r="G513" t="inlineStr">
        <is>
          <t>SMEDJEBACKEN</t>
        </is>
      </c>
      <c r="H513" t="inlineStr">
        <is>
          <t>Sveaskog</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29288-2026</t>
        </is>
      </c>
      <c r="B514" t="inlineStr">
        <is>
          <t>avverkningsanmälan</t>
        </is>
      </c>
      <c r="C514" t="inlineStr">
        <is>
          <t>Föryngringsavverkning</t>
        </is>
      </c>
      <c r="D514" s="1" t="n">
        <v>46202</v>
      </c>
      <c r="E514" s="1" t="n">
        <v>46220</v>
      </c>
      <c r="F514" t="inlineStr">
        <is>
          <t>DALARNAS LÄN</t>
        </is>
      </c>
      <c r="G514" t="inlineStr">
        <is>
          <t>SMEDJEBACKEN</t>
        </is>
      </c>
      <c r="H514" t="inlineStr">
        <is>
          <t>Sveaskog</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29290-2026</t>
        </is>
      </c>
      <c r="B515" t="inlineStr">
        <is>
          <t>avverkningsanmälan</t>
        </is>
      </c>
      <c r="C515" t="inlineStr">
        <is>
          <t>Föryngringsavverkning</t>
        </is>
      </c>
      <c r="D515" s="1" t="n">
        <v>46202</v>
      </c>
      <c r="E515" s="1" t="n">
        <v>46220</v>
      </c>
      <c r="F515" t="inlineStr">
        <is>
          <t>DALARNAS LÄN</t>
        </is>
      </c>
      <c r="G515" t="inlineStr">
        <is>
          <t>SMEDJEBACKEN</t>
        </is>
      </c>
      <c r="H515" t="inlineStr">
        <is>
          <t>Sveaskog</t>
        </is>
      </c>
      <c r="I515" t="n">
        <v>5.3</v>
      </c>
      <c r="J515" t="n">
        <v>0</v>
      </c>
      <c r="K515" t="n">
        <v>0</v>
      </c>
      <c r="L515" t="n">
        <v>0</v>
      </c>
      <c r="M515" t="n">
        <v>0</v>
      </c>
      <c r="N515" t="n">
        <v>0</v>
      </c>
      <c r="O515" t="n">
        <v>0</v>
      </c>
      <c r="P515" t="n">
        <v>0</v>
      </c>
      <c r="Q515" t="n">
        <v>0</v>
      </c>
      <c r="R515" t="n">
        <v>0</v>
      </c>
      <c r="S515" t="n">
        <v>0</v>
      </c>
      <c r="T515" t="n">
        <v>0</v>
      </c>
      <c r="U515" s="2" t="inlineStr"/>
    </row>
    <row r="516" ht="15" customHeight="1">
      <c r="A516" t="inlineStr">
        <is>
          <t>A 29289-2026</t>
        </is>
      </c>
      <c r="B516" t="inlineStr">
        <is>
          <t>avverkningsanmälan</t>
        </is>
      </c>
      <c r="C516" t="inlineStr">
        <is>
          <t>Föryngringsavverkning</t>
        </is>
      </c>
      <c r="D516" s="1" t="n">
        <v>46202</v>
      </c>
      <c r="E516" s="1" t="n">
        <v>46220</v>
      </c>
      <c r="F516" t="inlineStr">
        <is>
          <t>DALARNAS LÄN</t>
        </is>
      </c>
      <c r="G516" t="inlineStr">
        <is>
          <t>SMEDJEBACKEN</t>
        </is>
      </c>
      <c r="H516" t="inlineStr">
        <is>
          <t>Sveaskog</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29294-2026</t>
        </is>
      </c>
      <c r="B517" t="inlineStr">
        <is>
          <t>avverkningsanmälan</t>
        </is>
      </c>
      <c r="C517" t="inlineStr">
        <is>
          <t>Föryngringsavverkning</t>
        </is>
      </c>
      <c r="D517" s="1" t="n">
        <v>46202</v>
      </c>
      <c r="E517" s="1" t="n">
        <v>46220</v>
      </c>
      <c r="F517" t="inlineStr">
        <is>
          <t>DALARNAS LÄN</t>
        </is>
      </c>
      <c r="G517" t="inlineStr">
        <is>
          <t>SMEDJEBACKEN</t>
        </is>
      </c>
      <c r="I517" t="n">
        <v>3.6</v>
      </c>
      <c r="J517" t="n">
        <v>0</v>
      </c>
      <c r="K517" t="n">
        <v>0</v>
      </c>
      <c r="L517" t="n">
        <v>0</v>
      </c>
      <c r="M517" t="n">
        <v>0</v>
      </c>
      <c r="N517" t="n">
        <v>0</v>
      </c>
      <c r="O517" t="n">
        <v>0</v>
      </c>
      <c r="P517" t="n">
        <v>0</v>
      </c>
      <c r="Q517" t="n">
        <v>0</v>
      </c>
      <c r="R517" t="n">
        <v>0</v>
      </c>
      <c r="S517" t="n">
        <v>0</v>
      </c>
      <c r="T517" t="n">
        <v>0</v>
      </c>
      <c r="U517" s="2" t="inlineStr"/>
    </row>
    <row r="518" ht="15" customHeight="1">
      <c r="A518" t="inlineStr">
        <is>
          <t>A 29460-2026</t>
        </is>
      </c>
      <c r="B518" t="inlineStr">
        <is>
          <t>avverkningsanmälan</t>
        </is>
      </c>
      <c r="C518" t="inlineStr">
        <is>
          <t>Föryngringsavverkning</t>
        </is>
      </c>
      <c r="D518" s="1" t="n">
        <v>46203</v>
      </c>
      <c r="E518" s="1" t="n">
        <v>46220</v>
      </c>
      <c r="F518" t="inlineStr">
        <is>
          <t>DALARNAS LÄN</t>
        </is>
      </c>
      <c r="G518" t="inlineStr">
        <is>
          <t>SMEDJEBACKEN</t>
        </is>
      </c>
      <c r="H518" t="inlineStr">
        <is>
          <t>Sveaskog</t>
        </is>
      </c>
      <c r="I518" t="n">
        <v>3.1</v>
      </c>
      <c r="J518" t="n">
        <v>0</v>
      </c>
      <c r="K518" t="n">
        <v>0</v>
      </c>
      <c r="L518" t="n">
        <v>0</v>
      </c>
      <c r="M518" t="n">
        <v>0</v>
      </c>
      <c r="N518" t="n">
        <v>0</v>
      </c>
      <c r="O518" t="n">
        <v>0</v>
      </c>
      <c r="P518" t="n">
        <v>0</v>
      </c>
      <c r="Q518" t="n">
        <v>0</v>
      </c>
      <c r="R518" t="n">
        <v>0</v>
      </c>
      <c r="S518" t="n">
        <v>0</v>
      </c>
      <c r="T518" t="n">
        <v>0</v>
      </c>
      <c r="U518" s="2" t="inlineStr"/>
    </row>
    <row r="519" ht="15" customHeight="1">
      <c r="A519" t="inlineStr">
        <is>
          <t>A 23372-2026</t>
        </is>
      </c>
      <c r="B519" t="inlineStr">
        <is>
          <t>avverkningsanmälan</t>
        </is>
      </c>
      <c r="C519" t="inlineStr">
        <is>
          <t>Föryngringsavverkning</t>
        </is>
      </c>
      <c r="D519" s="1" t="n">
        <v>46162</v>
      </c>
      <c r="E519" s="1" t="n">
        <v>46220</v>
      </c>
      <c r="F519" t="inlineStr">
        <is>
          <t>DALARNAS LÄN</t>
        </is>
      </c>
      <c r="G519" t="inlineStr">
        <is>
          <t>SMEDJEBACKEN</t>
        </is>
      </c>
      <c r="H519" t="inlineStr">
        <is>
          <t>Sveaskog</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23677-2026</t>
        </is>
      </c>
      <c r="B520" t="inlineStr">
        <is>
          <t>avverkningsanmälan</t>
        </is>
      </c>
      <c r="C520" t="inlineStr">
        <is>
          <t>Föryngringsavverkning</t>
        </is>
      </c>
      <c r="D520" s="1" t="n">
        <v>46163</v>
      </c>
      <c r="E520" s="1" t="n">
        <v>46220</v>
      </c>
      <c r="F520" t="inlineStr">
        <is>
          <t>DALARNAS LÄN</t>
        </is>
      </c>
      <c r="G520" t="inlineStr">
        <is>
          <t>SMEDJEBACKEN</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37024-2023</t>
        </is>
      </c>
      <c r="B521" t="inlineStr">
        <is>
          <t>avverkningsanmälan</t>
        </is>
      </c>
      <c r="C521" t="inlineStr">
        <is>
          <t>Föryngringsavverkning</t>
        </is>
      </c>
      <c r="D521" s="1" t="n">
        <v>45154</v>
      </c>
      <c r="E521" s="1" t="n">
        <v>46220</v>
      </c>
      <c r="F521" t="inlineStr">
        <is>
          <t>DALARNAS LÄN</t>
        </is>
      </c>
      <c r="G521" t="inlineStr">
        <is>
          <t>SMEDJEBACKEN</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23672-2026</t>
        </is>
      </c>
      <c r="B522" t="inlineStr">
        <is>
          <t>avverkningsanmälan</t>
        </is>
      </c>
      <c r="C522" t="inlineStr">
        <is>
          <t>Föryngringsavverkning</t>
        </is>
      </c>
      <c r="D522" s="1" t="n">
        <v>46163</v>
      </c>
      <c r="E522" s="1" t="n">
        <v>46220</v>
      </c>
      <c r="F522" t="inlineStr">
        <is>
          <t>DALARNAS LÄN</t>
        </is>
      </c>
      <c r="G522" t="inlineStr">
        <is>
          <t>SMEDJEBACKEN</t>
        </is>
      </c>
      <c r="I522" t="n">
        <v>10.6</v>
      </c>
      <c r="J522" t="n">
        <v>0</v>
      </c>
      <c r="K522" t="n">
        <v>0</v>
      </c>
      <c r="L522" t="n">
        <v>0</v>
      </c>
      <c r="M522" t="n">
        <v>0</v>
      </c>
      <c r="N522" t="n">
        <v>0</v>
      </c>
      <c r="O522" t="n">
        <v>0</v>
      </c>
      <c r="P522" t="n">
        <v>0</v>
      </c>
      <c r="Q522" t="n">
        <v>0</v>
      </c>
      <c r="R522" t="n">
        <v>0</v>
      </c>
      <c r="S522" t="n">
        <v>0</v>
      </c>
      <c r="T522" t="n">
        <v>0</v>
      </c>
      <c r="U522" s="2" t="inlineStr"/>
    </row>
    <row r="523" ht="15" customHeight="1">
      <c r="A523" t="inlineStr">
        <is>
          <t>A 23676-2026</t>
        </is>
      </c>
      <c r="B523" t="inlineStr">
        <is>
          <t>avverkningsanmälan</t>
        </is>
      </c>
      <c r="C523" t="inlineStr">
        <is>
          <t>Föryngringsavverkning</t>
        </is>
      </c>
      <c r="D523" s="1" t="n">
        <v>46163</v>
      </c>
      <c r="E523" s="1" t="n">
        <v>46220</v>
      </c>
      <c r="F523" t="inlineStr">
        <is>
          <t>DALARNAS LÄN</t>
        </is>
      </c>
      <c r="G523" t="inlineStr">
        <is>
          <t>SMEDJEBACKEN</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28251-2024</t>
        </is>
      </c>
      <c r="B524" t="inlineStr">
        <is>
          <t>avverkningsanmälan</t>
        </is>
      </c>
      <c r="C524" t="inlineStr">
        <is>
          <t>Föryngringsavverkning</t>
        </is>
      </c>
      <c r="D524" s="1" t="n">
        <v>45477</v>
      </c>
      <c r="E524" s="1" t="n">
        <v>46220</v>
      </c>
      <c r="F524" t="inlineStr">
        <is>
          <t>DALARNAS LÄN</t>
        </is>
      </c>
      <c r="G524" t="inlineStr">
        <is>
          <t>SMEDJEBACKEN</t>
        </is>
      </c>
      <c r="H524" t="inlineStr">
        <is>
          <t>Sveaskog</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23374-2026</t>
        </is>
      </c>
      <c r="B525" t="inlineStr">
        <is>
          <t>avverkningsanmälan</t>
        </is>
      </c>
      <c r="C525" t="inlineStr">
        <is>
          <t>Avverkning för att bevara och utveckla /försöksver</t>
        </is>
      </c>
      <c r="D525" s="1" t="n">
        <v>46162</v>
      </c>
      <c r="E525" s="1" t="n">
        <v>46220</v>
      </c>
      <c r="F525" t="inlineStr">
        <is>
          <t>DALARNAS LÄN</t>
        </is>
      </c>
      <c r="G525" t="inlineStr">
        <is>
          <t>SMEDJEBACKEN</t>
        </is>
      </c>
      <c r="H525" t="inlineStr">
        <is>
          <t>Sveaskog</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29438-2023</t>
        </is>
      </c>
      <c r="B526" t="inlineStr">
        <is>
          <t>avverkningsanmälan</t>
        </is>
      </c>
      <c r="C526" t="inlineStr">
        <is>
          <t>Avverkning för att bevara och utveckla /försöksver</t>
        </is>
      </c>
      <c r="D526" s="1" t="n">
        <v>45106</v>
      </c>
      <c r="E526" s="1" t="n">
        <v>46220</v>
      </c>
      <c r="F526" t="inlineStr">
        <is>
          <t>DALARNAS LÄN</t>
        </is>
      </c>
      <c r="G526" t="inlineStr">
        <is>
          <t>SMEDJEBACKEN</t>
        </is>
      </c>
      <c r="H526" t="inlineStr">
        <is>
          <t>Sveaskog</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56480-2022</t>
        </is>
      </c>
      <c r="B527" t="inlineStr">
        <is>
          <t>avverkningsanmälan</t>
        </is>
      </c>
      <c r="C527" t="inlineStr">
        <is>
          <t>Föryngringsavverkning</t>
        </is>
      </c>
      <c r="D527" s="1" t="n">
        <v>44893</v>
      </c>
      <c r="E527" s="1" t="n">
        <v>46220</v>
      </c>
      <c r="F527" t="inlineStr">
        <is>
          <t>DALARNAS LÄN</t>
        </is>
      </c>
      <c r="G527" t="inlineStr">
        <is>
          <t>SMEDJEBACKEN</t>
        </is>
      </c>
      <c r="H527" t="inlineStr">
        <is>
          <t>Sveaskog</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17681-2025</t>
        </is>
      </c>
      <c r="B528" t="inlineStr">
        <is>
          <t>avverkningsanmälan</t>
        </is>
      </c>
      <c r="C528" t="inlineStr">
        <is>
          <t>Föryngringsavverkning</t>
        </is>
      </c>
      <c r="D528" s="1" t="n">
        <v>45758</v>
      </c>
      <c r="E528" s="1" t="n">
        <v>46220</v>
      </c>
      <c r="F528" t="inlineStr">
        <is>
          <t>DALARNAS LÄN</t>
        </is>
      </c>
      <c r="G528" t="inlineStr">
        <is>
          <t>SMEDJEBACKEN</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15211-2023</t>
        </is>
      </c>
      <c r="B529" t="inlineStr">
        <is>
          <t>avverkningsanmälan</t>
        </is>
      </c>
      <c r="C529" t="inlineStr">
        <is>
          <t>Föryngringsavverkning</t>
        </is>
      </c>
      <c r="D529" s="1" t="n">
        <v>45018</v>
      </c>
      <c r="E529" s="1" t="n">
        <v>46220</v>
      </c>
      <c r="F529" t="inlineStr">
        <is>
          <t>DALARNAS LÄN</t>
        </is>
      </c>
      <c r="G529" t="inlineStr">
        <is>
          <t>SMEDJEBACKEN</t>
        </is>
      </c>
      <c r="I529" t="n">
        <v>1.6</v>
      </c>
      <c r="J529" t="n">
        <v>0</v>
      </c>
      <c r="K529" t="n">
        <v>0</v>
      </c>
      <c r="L529" t="n">
        <v>0</v>
      </c>
      <c r="M529" t="n">
        <v>0</v>
      </c>
      <c r="N529" t="n">
        <v>0</v>
      </c>
      <c r="O529" t="n">
        <v>0</v>
      </c>
      <c r="P529" t="n">
        <v>0</v>
      </c>
      <c r="Q529" t="n">
        <v>0</v>
      </c>
      <c r="R529" t="n">
        <v>0</v>
      </c>
      <c r="S529" t="n">
        <v>0</v>
      </c>
      <c r="T529" t="n">
        <v>0</v>
      </c>
      <c r="U529" s="2" t="inlineStr"/>
    </row>
    <row r="530" ht="15" customHeight="1">
      <c r="A530" t="inlineStr">
        <is>
          <t>A 30269-2026</t>
        </is>
      </c>
      <c r="B530" t="inlineStr">
        <is>
          <t>avverkningsanmälan</t>
        </is>
      </c>
      <c r="C530" t="inlineStr">
        <is>
          <t>Föryngringsavverkning</t>
        </is>
      </c>
      <c r="D530" s="1" t="n">
        <v>46206</v>
      </c>
      <c r="E530" s="1" t="n">
        <v>46220</v>
      </c>
      <c r="F530" t="inlineStr">
        <is>
          <t>DALARNAS LÄN</t>
        </is>
      </c>
      <c r="G530" t="inlineStr">
        <is>
          <t>SMEDJEBACKEN</t>
        </is>
      </c>
      <c r="H530" t="inlineStr">
        <is>
          <t>Sveaskog</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30271-2026</t>
        </is>
      </c>
      <c r="B531" t="inlineStr">
        <is>
          <t>avverkningsanmälan</t>
        </is>
      </c>
      <c r="C531" t="inlineStr">
        <is>
          <t>Föryngringsavverkning</t>
        </is>
      </c>
      <c r="D531" s="1" t="n">
        <v>46206</v>
      </c>
      <c r="E531" s="1" t="n">
        <v>46220</v>
      </c>
      <c r="F531" t="inlineStr">
        <is>
          <t>DALARNAS LÄN</t>
        </is>
      </c>
      <c r="G531" t="inlineStr">
        <is>
          <t>SMEDJEBACKEN</t>
        </is>
      </c>
      <c r="H531" t="inlineStr">
        <is>
          <t>Sveaskog</t>
        </is>
      </c>
      <c r="I531" t="n">
        <v>6.2</v>
      </c>
      <c r="J531" t="n">
        <v>0</v>
      </c>
      <c r="K531" t="n">
        <v>0</v>
      </c>
      <c r="L531" t="n">
        <v>0</v>
      </c>
      <c r="M531" t="n">
        <v>0</v>
      </c>
      <c r="N531" t="n">
        <v>0</v>
      </c>
      <c r="O531" t="n">
        <v>0</v>
      </c>
      <c r="P531" t="n">
        <v>0</v>
      </c>
      <c r="Q531" t="n">
        <v>0</v>
      </c>
      <c r="R531" t="n">
        <v>0</v>
      </c>
      <c r="S531" t="n">
        <v>0</v>
      </c>
      <c r="T531" t="n">
        <v>0</v>
      </c>
      <c r="U531" s="2" t="inlineStr"/>
    </row>
    <row r="532" ht="15" customHeight="1">
      <c r="A532" t="inlineStr">
        <is>
          <t>A 2046-2024</t>
        </is>
      </c>
      <c r="B532" t="inlineStr">
        <is>
          <t>avverkningsanmälan</t>
        </is>
      </c>
      <c r="C532" t="inlineStr">
        <is>
          <t>Föryngringsavverkning</t>
        </is>
      </c>
      <c r="D532" s="1" t="n">
        <v>45308</v>
      </c>
      <c r="E532" s="1" t="n">
        <v>46220</v>
      </c>
      <c r="F532" t="inlineStr">
        <is>
          <t>DALARNAS LÄN</t>
        </is>
      </c>
      <c r="G532" t="inlineStr">
        <is>
          <t>SMEDJEBACKEN</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30154-2026</t>
        </is>
      </c>
      <c r="B533" t="inlineStr">
        <is>
          <t>avverkningsanmälan</t>
        </is>
      </c>
      <c r="C533" t="inlineStr">
        <is>
          <t>Föryngringsavverkning</t>
        </is>
      </c>
      <c r="D533" s="1" t="n">
        <v>46206</v>
      </c>
      <c r="E533" s="1" t="n">
        <v>46220</v>
      </c>
      <c r="F533" t="inlineStr">
        <is>
          <t>DALARNAS LÄN</t>
        </is>
      </c>
      <c r="G533" t="inlineStr">
        <is>
          <t>SMEDJEBACKEN</t>
        </is>
      </c>
      <c r="H533" t="inlineStr">
        <is>
          <t>Sveaskog</t>
        </is>
      </c>
      <c r="I533" t="n">
        <v>6.5</v>
      </c>
      <c r="J533" t="n">
        <v>0</v>
      </c>
      <c r="K533" t="n">
        <v>0</v>
      </c>
      <c r="L533" t="n">
        <v>0</v>
      </c>
      <c r="M533" t="n">
        <v>0</v>
      </c>
      <c r="N533" t="n">
        <v>0</v>
      </c>
      <c r="O533" t="n">
        <v>0</v>
      </c>
      <c r="P533" t="n">
        <v>0</v>
      </c>
      <c r="Q533" t="n">
        <v>0</v>
      </c>
      <c r="R533" t="n">
        <v>0</v>
      </c>
      <c r="S533" t="n">
        <v>0</v>
      </c>
      <c r="T533" t="n">
        <v>0</v>
      </c>
      <c r="U533" s="2" t="inlineStr"/>
    </row>
    <row r="534" ht="15" customHeight="1">
      <c r="A534" t="inlineStr">
        <is>
          <t>A 36614-2023</t>
        </is>
      </c>
      <c r="B534" t="inlineStr">
        <is>
          <t>avverkningsanmälan</t>
        </is>
      </c>
      <c r="C534" t="inlineStr">
        <is>
          <t>Föryngringsavverkning</t>
        </is>
      </c>
      <c r="D534" s="1" t="n">
        <v>45153</v>
      </c>
      <c r="E534" s="1" t="n">
        <v>46220</v>
      </c>
      <c r="F534" t="inlineStr">
        <is>
          <t>DALARNAS LÄN</t>
        </is>
      </c>
      <c r="G534" t="inlineStr">
        <is>
          <t>SMEDJEBACKEN</t>
        </is>
      </c>
      <c r="I534" t="n">
        <v>8</v>
      </c>
      <c r="J534" t="n">
        <v>0</v>
      </c>
      <c r="K534" t="n">
        <v>0</v>
      </c>
      <c r="L534" t="n">
        <v>0</v>
      </c>
      <c r="M534" t="n">
        <v>0</v>
      </c>
      <c r="N534" t="n">
        <v>0</v>
      </c>
      <c r="O534" t="n">
        <v>0</v>
      </c>
      <c r="P534" t="n">
        <v>0</v>
      </c>
      <c r="Q534" t="n">
        <v>0</v>
      </c>
      <c r="R534" t="n">
        <v>0</v>
      </c>
      <c r="S534" t="n">
        <v>0</v>
      </c>
      <c r="T534" t="n">
        <v>0</v>
      </c>
      <c r="U534" s="2" t="inlineStr"/>
      <c r="X534">
        <f>HYPERLINK("https://klasma.github.io/Logging_2061/knärot/A 36614-2023 karta knärot.png", "A 36614-2023")</f>
        <v/>
      </c>
      <c r="Y534">
        <f>HYPERLINK("https://klasma.github.io/Logging_2061/klagomål/A 36614-2023 FSC-klagomål.docx", "A 36614-2023")</f>
        <v/>
      </c>
      <c r="Z534">
        <f>HYPERLINK("https://klasma.github.io/Logging_2061/klagomålsmail/A 36614-2023 FSC-klagomål mail.docx", "A 36614-2023")</f>
        <v/>
      </c>
      <c r="AA534">
        <f>HYPERLINK("https://klasma.github.io/Logging_2061/tillsyn/A 36614-2023 tillsynsbegäran.docx", "A 36614-2023")</f>
        <v/>
      </c>
      <c r="AB534">
        <f>HYPERLINK("https://klasma.github.io/Logging_2061/tillsynsmail/A 36614-2023 tillsynsbegäran mail.docx", "A 36614-2023")</f>
        <v/>
      </c>
    </row>
    <row r="535" ht="15" customHeight="1">
      <c r="A535" t="inlineStr">
        <is>
          <t>A 30149-2026</t>
        </is>
      </c>
      <c r="B535" t="inlineStr">
        <is>
          <t>avverkningsanmälan</t>
        </is>
      </c>
      <c r="C535" t="inlineStr">
        <is>
          <t>Föryngringsavverkning</t>
        </is>
      </c>
      <c r="D535" s="1" t="n">
        <v>46206</v>
      </c>
      <c r="E535" s="1" t="n">
        <v>46220</v>
      </c>
      <c r="F535" t="inlineStr">
        <is>
          <t>DALARNAS LÄN</t>
        </is>
      </c>
      <c r="G535" t="inlineStr">
        <is>
          <t>SMEDJEBACKEN</t>
        </is>
      </c>
      <c r="H535" t="inlineStr">
        <is>
          <t>Sveaskog</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30270-2026</t>
        </is>
      </c>
      <c r="B536" t="inlineStr">
        <is>
          <t>avverkningsanmälan</t>
        </is>
      </c>
      <c r="C536" t="inlineStr">
        <is>
          <t>Föryngringsavverkning</t>
        </is>
      </c>
      <c r="D536" s="1" t="n">
        <v>46206</v>
      </c>
      <c r="E536" s="1" t="n">
        <v>46220</v>
      </c>
      <c r="F536" t="inlineStr">
        <is>
          <t>DALARNAS LÄN</t>
        </is>
      </c>
      <c r="G536" t="inlineStr">
        <is>
          <t>SMEDJEBACKEN</t>
        </is>
      </c>
      <c r="H536" t="inlineStr">
        <is>
          <t>Sveaskog</t>
        </is>
      </c>
      <c r="I536" t="n">
        <v>2.7</v>
      </c>
      <c r="J536" t="n">
        <v>0</v>
      </c>
      <c r="K536" t="n">
        <v>0</v>
      </c>
      <c r="L536" t="n">
        <v>0</v>
      </c>
      <c r="M536" t="n">
        <v>0</v>
      </c>
      <c r="N536" t="n">
        <v>0</v>
      </c>
      <c r="O536" t="n">
        <v>0</v>
      </c>
      <c r="P536" t="n">
        <v>0</v>
      </c>
      <c r="Q536" t="n">
        <v>0</v>
      </c>
      <c r="R536" t="n">
        <v>0</v>
      </c>
      <c r="S536" t="n">
        <v>0</v>
      </c>
      <c r="T536" t="n">
        <v>0</v>
      </c>
      <c r="U536" s="2" t="inlineStr"/>
    </row>
    <row r="537" ht="15" customHeight="1">
      <c r="A537" t="inlineStr">
        <is>
          <t>A 30582-2026</t>
        </is>
      </c>
      <c r="B537" t="inlineStr">
        <is>
          <t>avverkningsanmälan</t>
        </is>
      </c>
      <c r="C537" t="inlineStr">
        <is>
          <t>Föryngringsavverkning</t>
        </is>
      </c>
      <c r="D537" s="1" t="n">
        <v>46210</v>
      </c>
      <c r="E537" s="1" t="n">
        <v>46220</v>
      </c>
      <c r="F537" t="inlineStr">
        <is>
          <t>DALARNAS LÄN</t>
        </is>
      </c>
      <c r="G537" t="inlineStr">
        <is>
          <t>SMEDJEBACKEN</t>
        </is>
      </c>
      <c r="H537" t="inlineStr">
        <is>
          <t>Sveaskog</t>
        </is>
      </c>
      <c r="I537" t="n">
        <v>2.1</v>
      </c>
      <c r="J537" t="n">
        <v>0</v>
      </c>
      <c r="K537" t="n">
        <v>0</v>
      </c>
      <c r="L537" t="n">
        <v>0</v>
      </c>
      <c r="M537" t="n">
        <v>0</v>
      </c>
      <c r="N537" t="n">
        <v>0</v>
      </c>
      <c r="O537" t="n">
        <v>0</v>
      </c>
      <c r="P537" t="n">
        <v>0</v>
      </c>
      <c r="Q537" t="n">
        <v>0</v>
      </c>
      <c r="R537" t="n">
        <v>0</v>
      </c>
      <c r="S537" t="n">
        <v>0</v>
      </c>
      <c r="T537" t="n">
        <v>0</v>
      </c>
      <c r="U537" s="2" t="inlineStr"/>
    </row>
    <row r="538" ht="15" customHeight="1">
      <c r="A538" t="inlineStr">
        <is>
          <t>A 50778-2024</t>
        </is>
      </c>
      <c r="B538" t="inlineStr">
        <is>
          <t>avverkningsanmälan</t>
        </is>
      </c>
      <c r="C538" t="inlineStr">
        <is>
          <t>Föryngringsavverkning</t>
        </is>
      </c>
      <c r="D538" s="1" t="n">
        <v>45601</v>
      </c>
      <c r="E538" s="1" t="n">
        <v>46220</v>
      </c>
      <c r="F538" t="inlineStr">
        <is>
          <t>DALARNAS LÄN</t>
        </is>
      </c>
      <c r="G538" t="inlineStr">
        <is>
          <t>SMEDJEBACKEN</t>
        </is>
      </c>
      <c r="H538" t="inlineStr">
        <is>
          <t>Bergvik skog väst AB</t>
        </is>
      </c>
      <c r="I538" t="n">
        <v>14.8</v>
      </c>
      <c r="J538" t="n">
        <v>0</v>
      </c>
      <c r="K538" t="n">
        <v>0</v>
      </c>
      <c r="L538" t="n">
        <v>0</v>
      </c>
      <c r="M538" t="n">
        <v>0</v>
      </c>
      <c r="N538" t="n">
        <v>0</v>
      </c>
      <c r="O538" t="n">
        <v>0</v>
      </c>
      <c r="P538" t="n">
        <v>0</v>
      </c>
      <c r="Q538" t="n">
        <v>0</v>
      </c>
      <c r="R538" t="n">
        <v>0</v>
      </c>
      <c r="S538" t="n">
        <v>0</v>
      </c>
      <c r="T538" t="n">
        <v>0</v>
      </c>
      <c r="U538" s="2" t="inlineStr"/>
    </row>
    <row r="539" ht="15" customHeight="1">
      <c r="A539" t="inlineStr">
        <is>
          <t>A 28248-2024</t>
        </is>
      </c>
      <c r="B539" t="inlineStr">
        <is>
          <t>avverkningsanmälan</t>
        </is>
      </c>
      <c r="C539" t="inlineStr">
        <is>
          <t>Föryngringsavverkning</t>
        </is>
      </c>
      <c r="D539" s="1" t="n">
        <v>45477</v>
      </c>
      <c r="E539" s="1" t="n">
        <v>46220</v>
      </c>
      <c r="F539" t="inlineStr">
        <is>
          <t>DALARNAS LÄN</t>
        </is>
      </c>
      <c r="G539" t="inlineStr">
        <is>
          <t>SMEDJEBACKEN</t>
        </is>
      </c>
      <c r="H539" t="inlineStr">
        <is>
          <t>Sveaskog</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24229-2026</t>
        </is>
      </c>
      <c r="B540" t="inlineStr">
        <is>
          <t>avverkningsanmälan</t>
        </is>
      </c>
      <c r="C540" t="inlineStr">
        <is>
          <t>Föryngringsavverkning</t>
        </is>
      </c>
      <c r="D540" s="1" t="n">
        <v>46168</v>
      </c>
      <c r="E540" s="1" t="n">
        <v>46220</v>
      </c>
      <c r="F540" t="inlineStr">
        <is>
          <t>DALARNAS LÄN</t>
        </is>
      </c>
      <c r="G540" t="inlineStr">
        <is>
          <t>SMEDJEBACKEN</t>
        </is>
      </c>
      <c r="H540" t="inlineStr">
        <is>
          <t>Sveaskog</t>
        </is>
      </c>
      <c r="I540" t="n">
        <v>6.5</v>
      </c>
      <c r="J540" t="n">
        <v>0</v>
      </c>
      <c r="K540" t="n">
        <v>0</v>
      </c>
      <c r="L540" t="n">
        <v>0</v>
      </c>
      <c r="M540" t="n">
        <v>0</v>
      </c>
      <c r="N540" t="n">
        <v>0</v>
      </c>
      <c r="O540" t="n">
        <v>0</v>
      </c>
      <c r="P540" t="n">
        <v>0</v>
      </c>
      <c r="Q540" t="n">
        <v>0</v>
      </c>
      <c r="R540" t="n">
        <v>0</v>
      </c>
      <c r="S540" t="n">
        <v>0</v>
      </c>
      <c r="T540" t="n">
        <v>0</v>
      </c>
      <c r="U540" s="2" t="inlineStr"/>
    </row>
    <row r="541" ht="15" customHeight="1">
      <c r="A541" t="inlineStr">
        <is>
          <t>A 16419-2025</t>
        </is>
      </c>
      <c r="B541" t="inlineStr">
        <is>
          <t>avverkningsanmälan</t>
        </is>
      </c>
      <c r="C541" t="inlineStr">
        <is>
          <t>Föryngringsavverkning</t>
        </is>
      </c>
      <c r="D541" s="1" t="n">
        <v>45751</v>
      </c>
      <c r="E541" s="1" t="n">
        <v>46220</v>
      </c>
      <c r="F541" t="inlineStr">
        <is>
          <t>DALARNAS LÄN</t>
        </is>
      </c>
      <c r="G541" t="inlineStr">
        <is>
          <t>SMEDJEBACKEN</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45114-2023</t>
        </is>
      </c>
      <c r="B542" t="inlineStr">
        <is>
          <t>avverkningsanmälan</t>
        </is>
      </c>
      <c r="C542" t="inlineStr">
        <is>
          <t>Föryngringsavverkning</t>
        </is>
      </c>
      <c r="D542" s="1" t="n">
        <v>45191</v>
      </c>
      <c r="E542" s="1" t="n">
        <v>46220</v>
      </c>
      <c r="F542" t="inlineStr">
        <is>
          <t>DALARNAS LÄN</t>
        </is>
      </c>
      <c r="G542" t="inlineStr">
        <is>
          <t>SMEDJEBACKEN</t>
        </is>
      </c>
      <c r="H542" t="inlineStr">
        <is>
          <t>Sveaskog</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24206-2026</t>
        </is>
      </c>
      <c r="B543" t="inlineStr">
        <is>
          <t>avverkningsanmälan</t>
        </is>
      </c>
      <c r="C543" t="inlineStr">
        <is>
          <t>Föryngringsavverkning</t>
        </is>
      </c>
      <c r="D543" s="1" t="n">
        <v>46168</v>
      </c>
      <c r="E543" s="1" t="n">
        <v>46220</v>
      </c>
      <c r="F543" t="inlineStr">
        <is>
          <t>DALARNAS LÄN</t>
        </is>
      </c>
      <c r="G543" t="inlineStr">
        <is>
          <t>SMEDJEBACKEN</t>
        </is>
      </c>
      <c r="H543" t="inlineStr">
        <is>
          <t>Övriga Aktiebolag</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24208-2026</t>
        </is>
      </c>
      <c r="B544" t="inlineStr">
        <is>
          <t>avverkningsanmälan</t>
        </is>
      </c>
      <c r="C544" t="inlineStr">
        <is>
          <t>Föryngringsavverkning</t>
        </is>
      </c>
      <c r="D544" s="1" t="n">
        <v>46168</v>
      </c>
      <c r="E544" s="1" t="n">
        <v>46220</v>
      </c>
      <c r="F544" t="inlineStr">
        <is>
          <t>DALARNAS LÄN</t>
        </is>
      </c>
      <c r="G544" t="inlineStr">
        <is>
          <t>SMEDJEBACKEN</t>
        </is>
      </c>
      <c r="H544" t="inlineStr">
        <is>
          <t>Övriga Aktiebolag</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60684-2024</t>
        </is>
      </c>
      <c r="B545" t="inlineStr">
        <is>
          <t>avverkningsanmälan</t>
        </is>
      </c>
      <c r="C545" t="inlineStr">
        <is>
          <t>Föryngringsavverkning</t>
        </is>
      </c>
      <c r="D545" s="1" t="n">
        <v>45644</v>
      </c>
      <c r="E545" s="1" t="n">
        <v>46220</v>
      </c>
      <c r="F545" t="inlineStr">
        <is>
          <t>DALARNAS LÄN</t>
        </is>
      </c>
      <c r="G545" t="inlineStr">
        <is>
          <t>SMEDJEBACKEN</t>
        </is>
      </c>
      <c r="I545" t="n">
        <v>3.3</v>
      </c>
      <c r="J545" t="n">
        <v>0</v>
      </c>
      <c r="K545" t="n">
        <v>0</v>
      </c>
      <c r="L545" t="n">
        <v>0</v>
      </c>
      <c r="M545" t="n">
        <v>0</v>
      </c>
      <c r="N545" t="n">
        <v>0</v>
      </c>
      <c r="O545" t="n">
        <v>0</v>
      </c>
      <c r="P545" t="n">
        <v>0</v>
      </c>
      <c r="Q545" t="n">
        <v>0</v>
      </c>
      <c r="R545" t="n">
        <v>0</v>
      </c>
      <c r="S545" t="n">
        <v>0</v>
      </c>
      <c r="T545" t="n">
        <v>0</v>
      </c>
      <c r="U545" s="2" t="inlineStr"/>
    </row>
    <row r="546" ht="15" customHeight="1">
      <c r="A546" t="inlineStr">
        <is>
          <t>A 30583-2026</t>
        </is>
      </c>
      <c r="B546" t="inlineStr">
        <is>
          <t>avverkningsanmälan</t>
        </is>
      </c>
      <c r="C546" t="inlineStr">
        <is>
          <t>Föryngringsavverkning</t>
        </is>
      </c>
      <c r="D546" s="1" t="n">
        <v>46210</v>
      </c>
      <c r="E546" s="1" t="n">
        <v>46220</v>
      </c>
      <c r="F546" t="inlineStr">
        <is>
          <t>DALARNAS LÄN</t>
        </is>
      </c>
      <c r="G546" t="inlineStr">
        <is>
          <t>SMEDJEBACKEN</t>
        </is>
      </c>
      <c r="H546" t="inlineStr">
        <is>
          <t>Sveaskog</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44116-2023</t>
        </is>
      </c>
      <c r="B547" t="inlineStr">
        <is>
          <t>avverkningsanmälan</t>
        </is>
      </c>
      <c r="C547" t="inlineStr">
        <is>
          <t>Föryngringsavverkning</t>
        </is>
      </c>
      <c r="D547" s="1" t="n">
        <v>45188</v>
      </c>
      <c r="E547" s="1" t="n">
        <v>46220</v>
      </c>
      <c r="F547" t="inlineStr">
        <is>
          <t>DALARNAS LÄN</t>
        </is>
      </c>
      <c r="G547" t="inlineStr">
        <is>
          <t>SMEDJEBACKEN</t>
        </is>
      </c>
      <c r="H547" t="inlineStr">
        <is>
          <t>Bergvik skog väst AB</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14845-2023</t>
        </is>
      </c>
      <c r="B548" t="inlineStr">
        <is>
          <t>avverkningsanmälan</t>
        </is>
      </c>
      <c r="C548" t="inlineStr">
        <is>
          <t>Föryngringsavverkning</t>
        </is>
      </c>
      <c r="D548" s="1" t="n">
        <v>45014</v>
      </c>
      <c r="E548" s="1" t="n">
        <v>46220</v>
      </c>
      <c r="F548" t="inlineStr">
        <is>
          <t>DALARNAS LÄN</t>
        </is>
      </c>
      <c r="G548" t="inlineStr">
        <is>
          <t>SMEDJEBACKEN</t>
        </is>
      </c>
      <c r="I548" t="n">
        <v>3.8</v>
      </c>
      <c r="J548" t="n">
        <v>0</v>
      </c>
      <c r="K548" t="n">
        <v>0</v>
      </c>
      <c r="L548" t="n">
        <v>0</v>
      </c>
      <c r="M548" t="n">
        <v>0</v>
      </c>
      <c r="N548" t="n">
        <v>0</v>
      </c>
      <c r="O548" t="n">
        <v>0</v>
      </c>
      <c r="P548" t="n">
        <v>0</v>
      </c>
      <c r="Q548" t="n">
        <v>0</v>
      </c>
      <c r="R548" t="n">
        <v>0</v>
      </c>
      <c r="S548" t="n">
        <v>0</v>
      </c>
      <c r="T548" t="n">
        <v>0</v>
      </c>
      <c r="U548" s="2" t="inlineStr"/>
    </row>
    <row r="549" ht="15" customHeight="1">
      <c r="A549" t="inlineStr">
        <is>
          <t>A 18105-2025</t>
        </is>
      </c>
      <c r="B549" t="inlineStr">
        <is>
          <t>avverkningsanmälan</t>
        </is>
      </c>
      <c r="C549" t="inlineStr">
        <is>
          <t>Föryngringsavverkning</t>
        </is>
      </c>
      <c r="D549" s="1" t="n">
        <v>45761</v>
      </c>
      <c r="E549" s="1" t="n">
        <v>46220</v>
      </c>
      <c r="F549" t="inlineStr">
        <is>
          <t>DALARNAS LÄN</t>
        </is>
      </c>
      <c r="G549" t="inlineStr">
        <is>
          <t>SMEDJEBACKEN</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25074-2026</t>
        </is>
      </c>
      <c r="B550" t="inlineStr">
        <is>
          <t>avverkningsanmälan</t>
        </is>
      </c>
      <c r="C550" t="inlineStr">
        <is>
          <t>Föryngringsavverkning</t>
        </is>
      </c>
      <c r="D550" s="1" t="n">
        <v>46171</v>
      </c>
      <c r="E550" s="1" t="n">
        <v>46220</v>
      </c>
      <c r="F550" t="inlineStr">
        <is>
          <t>DALARNAS LÄN</t>
        </is>
      </c>
      <c r="G550" t="inlineStr">
        <is>
          <t>SMEDJEBACKEN</t>
        </is>
      </c>
      <c r="I550" t="n">
        <v>12.2</v>
      </c>
      <c r="J550" t="n">
        <v>0</v>
      </c>
      <c r="K550" t="n">
        <v>0</v>
      </c>
      <c r="L550" t="n">
        <v>0</v>
      </c>
      <c r="M550" t="n">
        <v>0</v>
      </c>
      <c r="N550" t="n">
        <v>0</v>
      </c>
      <c r="O550" t="n">
        <v>0</v>
      </c>
      <c r="P550" t="n">
        <v>0</v>
      </c>
      <c r="Q550" t="n">
        <v>0</v>
      </c>
      <c r="R550" t="n">
        <v>0</v>
      </c>
      <c r="S550" t="n">
        <v>0</v>
      </c>
      <c r="T550" t="n">
        <v>0</v>
      </c>
      <c r="U550" s="2" t="inlineStr"/>
    </row>
    <row r="551" ht="15" customHeight="1">
      <c r="A551" t="inlineStr">
        <is>
          <t>A 25065-2026</t>
        </is>
      </c>
      <c r="B551" t="inlineStr">
        <is>
          <t>avverkningsanmälan</t>
        </is>
      </c>
      <c r="C551" t="inlineStr">
        <is>
          <t>Föryngringsavverkning</t>
        </is>
      </c>
      <c r="D551" s="1" t="n">
        <v>46171</v>
      </c>
      <c r="E551" s="1" t="n">
        <v>46220</v>
      </c>
      <c r="F551" t="inlineStr">
        <is>
          <t>DALARNAS LÄN</t>
        </is>
      </c>
      <c r="G551" t="inlineStr">
        <is>
          <t>SMEDJEBACKEN</t>
        </is>
      </c>
      <c r="H551" t="inlineStr">
        <is>
          <t>Bergvik skog väst AB</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A 54965-2022</t>
        </is>
      </c>
      <c r="B552" t="inlineStr">
        <is>
          <t>avverkningsanmälan</t>
        </is>
      </c>
      <c r="C552" t="inlineStr">
        <is>
          <t>Föryngringsavverkning</t>
        </is>
      </c>
      <c r="D552" s="1" t="n">
        <v>44886</v>
      </c>
      <c r="E552" s="1" t="n">
        <v>46220</v>
      </c>
      <c r="F552" t="inlineStr">
        <is>
          <t>DALARNAS LÄN</t>
        </is>
      </c>
      <c r="G552" t="inlineStr">
        <is>
          <t>SMEDJEBACKEN</t>
        </is>
      </c>
      <c r="H552" t="inlineStr">
        <is>
          <t>Sveaskog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30803-2026</t>
        </is>
      </c>
      <c r="B553" t="inlineStr">
        <is>
          <t>avverkningsanmälan</t>
        </is>
      </c>
      <c r="C553" t="inlineStr">
        <is>
          <t>Föryngringsavverkning</t>
        </is>
      </c>
      <c r="D553" s="1" t="n">
        <v>46212</v>
      </c>
      <c r="E553" s="1" t="n">
        <v>46220</v>
      </c>
      <c r="F553" t="inlineStr">
        <is>
          <t>DALARNAS LÄN</t>
        </is>
      </c>
      <c r="G553" t="inlineStr">
        <is>
          <t>SMEDJEBACKEN</t>
        </is>
      </c>
      <c r="H553" t="inlineStr">
        <is>
          <t>Övriga Aktiebolag</t>
        </is>
      </c>
      <c r="I553" t="n">
        <v>7.9</v>
      </c>
      <c r="J553" t="n">
        <v>0</v>
      </c>
      <c r="K553" t="n">
        <v>0</v>
      </c>
      <c r="L553" t="n">
        <v>0</v>
      </c>
      <c r="M553" t="n">
        <v>0</v>
      </c>
      <c r="N553" t="n">
        <v>0</v>
      </c>
      <c r="O553" t="n">
        <v>0</v>
      </c>
      <c r="P553" t="n">
        <v>0</v>
      </c>
      <c r="Q553" t="n">
        <v>0</v>
      </c>
      <c r="R553" t="n">
        <v>0</v>
      </c>
      <c r="S553" t="n">
        <v>0</v>
      </c>
      <c r="T553" t="n">
        <v>0</v>
      </c>
      <c r="U553" s="2" t="inlineStr"/>
    </row>
    <row r="554" ht="15" customHeight="1">
      <c r="A554" t="inlineStr">
        <is>
          <t>A 39535-2021</t>
        </is>
      </c>
      <c r="B554" t="inlineStr">
        <is>
          <t>avverkningsanmälan</t>
        </is>
      </c>
      <c r="C554" t="inlineStr">
        <is>
          <t>Föryngringsavverkning</t>
        </is>
      </c>
      <c r="D554" s="1" t="n">
        <v>44415</v>
      </c>
      <c r="E554" s="1" t="n">
        <v>46220</v>
      </c>
      <c r="F554" t="inlineStr">
        <is>
          <t>DALARNAS LÄN</t>
        </is>
      </c>
      <c r="G554" t="inlineStr">
        <is>
          <t>SMEDJEBACKEN</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24872-2026</t>
        </is>
      </c>
      <c r="B555" t="inlineStr">
        <is>
          <t>avverkningsanmälan</t>
        </is>
      </c>
      <c r="C555" t="inlineStr">
        <is>
          <t>Föryngringsavverkning</t>
        </is>
      </c>
      <c r="D555" s="1" t="n">
        <v>46174</v>
      </c>
      <c r="E555" s="1" t="n">
        <v>46220</v>
      </c>
      <c r="F555" t="inlineStr">
        <is>
          <t>DALARNAS LÄN</t>
        </is>
      </c>
      <c r="G555" t="inlineStr">
        <is>
          <t>SMEDJEBACKEN</t>
        </is>
      </c>
      <c r="H555" t="inlineStr">
        <is>
          <t>Sveaskog</t>
        </is>
      </c>
      <c r="I555" t="n">
        <v>7.4</v>
      </c>
      <c r="J555" t="n">
        <v>0</v>
      </c>
      <c r="K555" t="n">
        <v>0</v>
      </c>
      <c r="L555" t="n">
        <v>0</v>
      </c>
      <c r="M555" t="n">
        <v>0</v>
      </c>
      <c r="N555" t="n">
        <v>0</v>
      </c>
      <c r="O555" t="n">
        <v>0</v>
      </c>
      <c r="P555" t="n">
        <v>0</v>
      </c>
      <c r="Q555" t="n">
        <v>0</v>
      </c>
      <c r="R555" t="n">
        <v>0</v>
      </c>
      <c r="S555" t="n">
        <v>0</v>
      </c>
      <c r="T555" t="n">
        <v>0</v>
      </c>
      <c r="U555" s="2" t="inlineStr"/>
    </row>
    <row r="556" ht="15" customHeight="1">
      <c r="A556" t="inlineStr">
        <is>
          <t>A 24905-2026</t>
        </is>
      </c>
      <c r="B556" t="inlineStr">
        <is>
          <t>avverkningsanmälan</t>
        </is>
      </c>
      <c r="C556" t="inlineStr">
        <is>
          <t>Föryngringsavverkning</t>
        </is>
      </c>
      <c r="D556" s="1" t="n">
        <v>46174</v>
      </c>
      <c r="E556" s="1" t="n">
        <v>46220</v>
      </c>
      <c r="F556" t="inlineStr">
        <is>
          <t>DALARNAS LÄN</t>
        </is>
      </c>
      <c r="G556" t="inlineStr">
        <is>
          <t>SMEDJEBACKEN</t>
        </is>
      </c>
      <c r="H556" t="inlineStr">
        <is>
          <t>Sveaskog</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19085-2025</t>
        </is>
      </c>
      <c r="B557" t="inlineStr">
        <is>
          <t>avverkningsanmälan</t>
        </is>
      </c>
      <c r="C557" t="inlineStr">
        <is>
          <t>Avverkning för att bevara och utveckla /försöksver</t>
        </is>
      </c>
      <c r="D557" s="1" t="n">
        <v>45766</v>
      </c>
      <c r="E557" s="1" t="n">
        <v>46220</v>
      </c>
      <c r="F557" t="inlineStr">
        <is>
          <t>DALARNAS LÄN</t>
        </is>
      </c>
      <c r="G557" t="inlineStr">
        <is>
          <t>SMEDJEBACKEN</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24902-2026</t>
        </is>
      </c>
      <c r="B558" t="inlineStr">
        <is>
          <t>avverkningsanmälan</t>
        </is>
      </c>
      <c r="C558" t="inlineStr">
        <is>
          <t>Föryngringsavverkning</t>
        </is>
      </c>
      <c r="D558" s="1" t="n">
        <v>46174</v>
      </c>
      <c r="E558" s="1" t="n">
        <v>46220</v>
      </c>
      <c r="F558" t="inlineStr">
        <is>
          <t>DALARNAS LÄN</t>
        </is>
      </c>
      <c r="G558" t="inlineStr">
        <is>
          <t>SMEDJEBACKEN</t>
        </is>
      </c>
      <c r="H558" t="inlineStr">
        <is>
          <t>Sveaskog</t>
        </is>
      </c>
      <c r="I558" t="n">
        <v>7.5</v>
      </c>
      <c r="J558" t="n">
        <v>0</v>
      </c>
      <c r="K558" t="n">
        <v>0</v>
      </c>
      <c r="L558" t="n">
        <v>0</v>
      </c>
      <c r="M558" t="n">
        <v>0</v>
      </c>
      <c r="N558" t="n">
        <v>0</v>
      </c>
      <c r="O558" t="n">
        <v>0</v>
      </c>
      <c r="P558" t="n">
        <v>0</v>
      </c>
      <c r="Q558" t="n">
        <v>0</v>
      </c>
      <c r="R558" t="n">
        <v>0</v>
      </c>
      <c r="S558" t="n">
        <v>0</v>
      </c>
      <c r="T558" t="n">
        <v>0</v>
      </c>
      <c r="U558" s="2" t="inlineStr"/>
    </row>
    <row r="559" ht="15" customHeight="1">
      <c r="A559" t="inlineStr">
        <is>
          <t>A 24946-2026</t>
        </is>
      </c>
      <c r="B559" t="inlineStr">
        <is>
          <t>avverkningsanmälan</t>
        </is>
      </c>
      <c r="C559" t="inlineStr">
        <is>
          <t>Föryngringsavverkning</t>
        </is>
      </c>
      <c r="D559" s="1" t="n">
        <v>46174</v>
      </c>
      <c r="E559" s="1" t="n">
        <v>46220</v>
      </c>
      <c r="F559" t="inlineStr">
        <is>
          <t>DALARNAS LÄN</t>
        </is>
      </c>
      <c r="G559" t="inlineStr">
        <is>
          <t>SMEDJEBACKEN</t>
        </is>
      </c>
      <c r="H559" t="inlineStr">
        <is>
          <t>Sveaskog</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63518-2021</t>
        </is>
      </c>
      <c r="B560" t="inlineStr">
        <is>
          <t>avverkningsanmälan</t>
        </is>
      </c>
      <c r="C560" t="inlineStr">
        <is>
          <t>Föryngringsavverkning</t>
        </is>
      </c>
      <c r="D560" s="1" t="n">
        <v>44508</v>
      </c>
      <c r="E560" s="1" t="n">
        <v>46220</v>
      </c>
      <c r="F560" t="inlineStr">
        <is>
          <t>DALARNAS LÄN</t>
        </is>
      </c>
      <c r="G560" t="inlineStr">
        <is>
          <t>SMEDJEBACKEN</t>
        </is>
      </c>
      <c r="H560" t="inlineStr">
        <is>
          <t>Sveaskog</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26480-2023</t>
        </is>
      </c>
      <c r="B561" t="inlineStr">
        <is>
          <t>avverkningsanmälan</t>
        </is>
      </c>
      <c r="C561" t="inlineStr">
        <is>
          <t>Avverkning för annat ändamål</t>
        </is>
      </c>
      <c r="D561" s="1" t="n">
        <v>45092</v>
      </c>
      <c r="E561" s="1" t="n">
        <v>46220</v>
      </c>
      <c r="F561" t="inlineStr">
        <is>
          <t>DALARNAS LÄN</t>
        </is>
      </c>
      <c r="G561" t="inlineStr">
        <is>
          <t>SMEDJEBACKEN</t>
        </is>
      </c>
      <c r="H561" t="inlineStr">
        <is>
          <t>Sveaskog</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24906-2026</t>
        </is>
      </c>
      <c r="B562" t="inlineStr">
        <is>
          <t>avverkningsanmälan</t>
        </is>
      </c>
      <c r="C562" t="inlineStr">
        <is>
          <t>Föryngringsavverkning</t>
        </is>
      </c>
      <c r="D562" s="1" t="n">
        <v>46174</v>
      </c>
      <c r="E562" s="1" t="n">
        <v>46220</v>
      </c>
      <c r="F562" t="inlineStr">
        <is>
          <t>DALARNAS LÄN</t>
        </is>
      </c>
      <c r="G562" t="inlineStr">
        <is>
          <t>SMEDJEBACKEN</t>
        </is>
      </c>
      <c r="H562" t="inlineStr">
        <is>
          <t>Sveaskog</t>
        </is>
      </c>
      <c r="I562" t="n">
        <v>6.8</v>
      </c>
      <c r="J562" t="n">
        <v>0</v>
      </c>
      <c r="K562" t="n">
        <v>0</v>
      </c>
      <c r="L562" t="n">
        <v>0</v>
      </c>
      <c r="M562" t="n">
        <v>0</v>
      </c>
      <c r="N562" t="n">
        <v>0</v>
      </c>
      <c r="O562" t="n">
        <v>0</v>
      </c>
      <c r="P562" t="n">
        <v>0</v>
      </c>
      <c r="Q562" t="n">
        <v>0</v>
      </c>
      <c r="R562" t="n">
        <v>0</v>
      </c>
      <c r="S562" t="n">
        <v>0</v>
      </c>
      <c r="T562" t="n">
        <v>0</v>
      </c>
      <c r="U562" s="2" t="inlineStr"/>
    </row>
    <row r="563" ht="15" customHeight="1">
      <c r="A563" t="inlineStr">
        <is>
          <t>A 33487-2023</t>
        </is>
      </c>
      <c r="B563" t="inlineStr">
        <is>
          <t>avverkningsanmälan</t>
        </is>
      </c>
      <c r="C563" t="inlineStr">
        <is>
          <t>Föryngringsavverkning</t>
        </is>
      </c>
      <c r="D563" s="1" t="n">
        <v>45131</v>
      </c>
      <c r="E563" s="1" t="n">
        <v>46220</v>
      </c>
      <c r="F563" t="inlineStr">
        <is>
          <t>DALARNAS LÄN</t>
        </is>
      </c>
      <c r="G563" t="inlineStr">
        <is>
          <t>SMEDJEBACKEN</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24908-2026</t>
        </is>
      </c>
      <c r="B564" t="inlineStr">
        <is>
          <t>avverkningsanmälan</t>
        </is>
      </c>
      <c r="C564" t="inlineStr">
        <is>
          <t>Föryngringsavverkning</t>
        </is>
      </c>
      <c r="D564" s="1" t="n">
        <v>46174</v>
      </c>
      <c r="E564" s="1" t="n">
        <v>46220</v>
      </c>
      <c r="F564" t="inlineStr">
        <is>
          <t>DALARNAS LÄN</t>
        </is>
      </c>
      <c r="G564" t="inlineStr">
        <is>
          <t>SMEDJEBACKEN</t>
        </is>
      </c>
      <c r="H564" t="inlineStr">
        <is>
          <t>Sveaskog</t>
        </is>
      </c>
      <c r="I564" t="n">
        <v>5.3</v>
      </c>
      <c r="J564" t="n">
        <v>0</v>
      </c>
      <c r="K564" t="n">
        <v>0</v>
      </c>
      <c r="L564" t="n">
        <v>0</v>
      </c>
      <c r="M564" t="n">
        <v>0</v>
      </c>
      <c r="N564" t="n">
        <v>0</v>
      </c>
      <c r="O564" t="n">
        <v>0</v>
      </c>
      <c r="P564" t="n">
        <v>0</v>
      </c>
      <c r="Q564" t="n">
        <v>0</v>
      </c>
      <c r="R564" t="n">
        <v>0</v>
      </c>
      <c r="S564" t="n">
        <v>0</v>
      </c>
      <c r="T564" t="n">
        <v>0</v>
      </c>
      <c r="U564" s="2" t="inlineStr"/>
    </row>
    <row r="565" ht="15" customHeight="1">
      <c r="A565" t="inlineStr">
        <is>
          <t>A 15390-2025</t>
        </is>
      </c>
      <c r="B565" t="inlineStr">
        <is>
          <t>avverkningsanmälan</t>
        </is>
      </c>
      <c r="C565" t="inlineStr">
        <is>
          <t>Föryngringsavverkning</t>
        </is>
      </c>
      <c r="D565" s="1" t="n">
        <v>45747</v>
      </c>
      <c r="E565" s="1" t="n">
        <v>46220</v>
      </c>
      <c r="F565" t="inlineStr">
        <is>
          <t>DALARNAS LÄN</t>
        </is>
      </c>
      <c r="G565" t="inlineStr">
        <is>
          <t>SMEDJEBACKEN</t>
        </is>
      </c>
      <c r="H565" t="inlineStr">
        <is>
          <t>Bergvik skog väst AB</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14677-2024</t>
        </is>
      </c>
      <c r="B566" t="inlineStr">
        <is>
          <t>avverkningsanmälan</t>
        </is>
      </c>
      <c r="C566" t="inlineStr">
        <is>
          <t>Föryngringsavverkning</t>
        </is>
      </c>
      <c r="D566" s="1" t="n">
        <v>45397</v>
      </c>
      <c r="E566" s="1" t="n">
        <v>46220</v>
      </c>
      <c r="F566" t="inlineStr">
        <is>
          <t>DALARNAS LÄN</t>
        </is>
      </c>
      <c r="G566" t="inlineStr">
        <is>
          <t>SMEDJEBACKEN</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25858-2026</t>
        </is>
      </c>
      <c r="B567" t="inlineStr">
        <is>
          <t>avverkningsanmälan</t>
        </is>
      </c>
      <c r="C567" t="inlineStr">
        <is>
          <t>Föryngringsavverkning</t>
        </is>
      </c>
      <c r="D567" s="1" t="n">
        <v>46176</v>
      </c>
      <c r="E567" s="1" t="n">
        <v>46220</v>
      </c>
      <c r="F567" t="inlineStr">
        <is>
          <t>DALARNAS LÄN</t>
        </is>
      </c>
      <c r="G567" t="inlineStr">
        <is>
          <t>SMEDJEBACKEN</t>
        </is>
      </c>
      <c r="H567" t="inlineStr">
        <is>
          <t>Övriga Aktiebolag</t>
        </is>
      </c>
      <c r="I567" t="n">
        <v>6.9</v>
      </c>
      <c r="J567" t="n">
        <v>0</v>
      </c>
      <c r="K567" t="n">
        <v>0</v>
      </c>
      <c r="L567" t="n">
        <v>0</v>
      </c>
      <c r="M567" t="n">
        <v>0</v>
      </c>
      <c r="N567" t="n">
        <v>0</v>
      </c>
      <c r="O567" t="n">
        <v>0</v>
      </c>
      <c r="P567" t="n">
        <v>0</v>
      </c>
      <c r="Q567" t="n">
        <v>0</v>
      </c>
      <c r="R567" t="n">
        <v>0</v>
      </c>
      <c r="S567" t="n">
        <v>0</v>
      </c>
      <c r="T567" t="n">
        <v>0</v>
      </c>
      <c r="U567" s="2" t="inlineStr"/>
    </row>
    <row r="568" ht="15" customHeight="1">
      <c r="A568" t="inlineStr">
        <is>
          <t>A 25290-2026</t>
        </is>
      </c>
      <c r="B568" t="inlineStr">
        <is>
          <t>avverkningsanmälan</t>
        </is>
      </c>
      <c r="C568" t="inlineStr">
        <is>
          <t>Föryngringsavverkning</t>
        </is>
      </c>
      <c r="D568" s="1" t="n">
        <v>46176</v>
      </c>
      <c r="E568" s="1" t="n">
        <v>46220</v>
      </c>
      <c r="F568" t="inlineStr">
        <is>
          <t>DALARNAS LÄN</t>
        </is>
      </c>
      <c r="G568" t="inlineStr">
        <is>
          <t>SMEDJEBACKEN</t>
        </is>
      </c>
      <c r="H568" t="inlineStr">
        <is>
          <t>Sveaskog</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25289-2026</t>
        </is>
      </c>
      <c r="B569" t="inlineStr">
        <is>
          <t>avverkningsanmälan</t>
        </is>
      </c>
      <c r="C569" t="inlineStr">
        <is>
          <t>Föryngringsavverkning</t>
        </is>
      </c>
      <c r="D569" s="1" t="n">
        <v>46176</v>
      </c>
      <c r="E569" s="1" t="n">
        <v>46220</v>
      </c>
      <c r="F569" t="inlineStr">
        <is>
          <t>DALARNAS LÄN</t>
        </is>
      </c>
      <c r="G569" t="inlineStr">
        <is>
          <t>SMEDJEBACKEN</t>
        </is>
      </c>
      <c r="H569" t="inlineStr">
        <is>
          <t>Sveaskog</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25296-2026</t>
        </is>
      </c>
      <c r="B570" t="inlineStr">
        <is>
          <t>avverkningsanmälan</t>
        </is>
      </c>
      <c r="C570" t="inlineStr">
        <is>
          <t>Föryngringsavverkning</t>
        </is>
      </c>
      <c r="D570" s="1" t="n">
        <v>46176</v>
      </c>
      <c r="E570" s="1" t="n">
        <v>46220</v>
      </c>
      <c r="F570" t="inlineStr">
        <is>
          <t>DALARNAS LÄN</t>
        </is>
      </c>
      <c r="G570" t="inlineStr">
        <is>
          <t>SMEDJEBACKEN</t>
        </is>
      </c>
      <c r="H570" t="inlineStr">
        <is>
          <t>Sveaskog</t>
        </is>
      </c>
      <c r="I570" t="n">
        <v>8.199999999999999</v>
      </c>
      <c r="J570" t="n">
        <v>0</v>
      </c>
      <c r="K570" t="n">
        <v>0</v>
      </c>
      <c r="L570" t="n">
        <v>0</v>
      </c>
      <c r="M570" t="n">
        <v>0</v>
      </c>
      <c r="N570" t="n">
        <v>0</v>
      </c>
      <c r="O570" t="n">
        <v>0</v>
      </c>
      <c r="P570" t="n">
        <v>0</v>
      </c>
      <c r="Q570" t="n">
        <v>0</v>
      </c>
      <c r="R570" t="n">
        <v>0</v>
      </c>
      <c r="S570" t="n">
        <v>0</v>
      </c>
      <c r="T570" t="n">
        <v>0</v>
      </c>
      <c r="U570" s="2" t="inlineStr"/>
    </row>
    <row r="571" ht="15" customHeight="1">
      <c r="A571" t="inlineStr">
        <is>
          <t>A 6720-2023</t>
        </is>
      </c>
      <c r="B571" t="inlineStr">
        <is>
          <t>avverkningsanmälan</t>
        </is>
      </c>
      <c r="C571" t="inlineStr">
        <is>
          <t>Föryngringsavverkning</t>
        </is>
      </c>
      <c r="D571" s="1" t="n">
        <v>44966</v>
      </c>
      <c r="E571" s="1" t="n">
        <v>46220</v>
      </c>
      <c r="F571" t="inlineStr">
        <is>
          <t>DALARNAS LÄN</t>
        </is>
      </c>
      <c r="G571" t="inlineStr">
        <is>
          <t>SMEDJEBACKEN</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25322-2026</t>
        </is>
      </c>
      <c r="B572" t="inlineStr">
        <is>
          <t>avverkningsanmälan</t>
        </is>
      </c>
      <c r="C572" t="inlineStr">
        <is>
          <t>Föryngringsavverkning</t>
        </is>
      </c>
      <c r="D572" s="1" t="n">
        <v>46176</v>
      </c>
      <c r="E572" s="1" t="n">
        <v>46220</v>
      </c>
      <c r="F572" t="inlineStr">
        <is>
          <t>DALARNAS LÄN</t>
        </is>
      </c>
      <c r="G572" t="inlineStr">
        <is>
          <t>SMEDJEBACKEN</t>
        </is>
      </c>
      <c r="H572" t="inlineStr">
        <is>
          <t>Sveaskog</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25294-2026</t>
        </is>
      </c>
      <c r="B573" t="inlineStr">
        <is>
          <t>avverkningsanmälan</t>
        </is>
      </c>
      <c r="C573" t="inlineStr">
        <is>
          <t>Föryngringsavverkning</t>
        </is>
      </c>
      <c r="D573" s="1" t="n">
        <v>46176</v>
      </c>
      <c r="E573" s="1" t="n">
        <v>46220</v>
      </c>
      <c r="F573" t="inlineStr">
        <is>
          <t>DALARNAS LÄN</t>
        </is>
      </c>
      <c r="G573" t="inlineStr">
        <is>
          <t>SMEDJEBACKEN</t>
        </is>
      </c>
      <c r="H573" t="inlineStr">
        <is>
          <t>Sveaskog</t>
        </is>
      </c>
      <c r="I573" t="n">
        <v>5.9</v>
      </c>
      <c r="J573" t="n">
        <v>0</v>
      </c>
      <c r="K573" t="n">
        <v>0</v>
      </c>
      <c r="L573" t="n">
        <v>0</v>
      </c>
      <c r="M573" t="n">
        <v>0</v>
      </c>
      <c r="N573" t="n">
        <v>0</v>
      </c>
      <c r="O573" t="n">
        <v>0</v>
      </c>
      <c r="P573" t="n">
        <v>0</v>
      </c>
      <c r="Q573" t="n">
        <v>0</v>
      </c>
      <c r="R573" t="n">
        <v>0</v>
      </c>
      <c r="S573" t="n">
        <v>0</v>
      </c>
      <c r="T573" t="n">
        <v>0</v>
      </c>
      <c r="U573" s="2" t="inlineStr"/>
    </row>
    <row r="574" ht="15" customHeight="1">
      <c r="A574" t="inlineStr">
        <is>
          <t>A 58397-2023</t>
        </is>
      </c>
      <c r="B574" t="inlineStr">
        <is>
          <t>avverkningsanmälan</t>
        </is>
      </c>
      <c r="C574" t="inlineStr">
        <is>
          <t>Avverkning för att bevara och utveckla /försöksver</t>
        </is>
      </c>
      <c r="D574" s="1" t="n">
        <v>45250</v>
      </c>
      <c r="E574" s="1" t="n">
        <v>46220</v>
      </c>
      <c r="F574" t="inlineStr">
        <is>
          <t>DALARNAS LÄN</t>
        </is>
      </c>
      <c r="G574" t="inlineStr">
        <is>
          <t>SMEDJEBACKEN</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43909-2024</t>
        </is>
      </c>
      <c r="B575" t="inlineStr">
        <is>
          <t>avverkningsanmälan</t>
        </is>
      </c>
      <c r="C575" t="inlineStr">
        <is>
          <t>Föryngringsavverkning</t>
        </is>
      </c>
      <c r="D575" s="1" t="n">
        <v>45572</v>
      </c>
      <c r="E575" s="1" t="n">
        <v>46220</v>
      </c>
      <c r="F575" t="inlineStr">
        <is>
          <t>DALARNAS LÄN</t>
        </is>
      </c>
      <c r="G575" t="inlineStr">
        <is>
          <t>SMEDJEBACKEN</t>
        </is>
      </c>
      <c r="I575" t="n">
        <v>1</v>
      </c>
      <c r="J575" t="n">
        <v>0</v>
      </c>
      <c r="K575" t="n">
        <v>0</v>
      </c>
      <c r="L575" t="n">
        <v>0</v>
      </c>
      <c r="M575" t="n">
        <v>0</v>
      </c>
      <c r="N575" t="n">
        <v>0</v>
      </c>
      <c r="O575" t="n">
        <v>0</v>
      </c>
      <c r="P575" t="n">
        <v>0</v>
      </c>
      <c r="Q575" t="n">
        <v>0</v>
      </c>
      <c r="R575" t="n">
        <v>0</v>
      </c>
      <c r="S575" t="n">
        <v>0</v>
      </c>
      <c r="T575" t="n">
        <v>0</v>
      </c>
      <c r="U575" s="2" t="inlineStr"/>
    </row>
    <row r="576" ht="15" customHeight="1">
      <c r="A576" t="inlineStr">
        <is>
          <t>A 61541-2022</t>
        </is>
      </c>
      <c r="B576" t="inlineStr">
        <is>
          <t>avverkningsanmälan</t>
        </is>
      </c>
      <c r="C576" t="inlineStr">
        <is>
          <t>Föryngringsavverkning</t>
        </is>
      </c>
      <c r="D576" s="1" t="n">
        <v>44916</v>
      </c>
      <c r="E576" s="1" t="n">
        <v>46220</v>
      </c>
      <c r="F576" t="inlineStr">
        <is>
          <t>DALARNAS LÄN</t>
        </is>
      </c>
      <c r="G576" t="inlineStr">
        <is>
          <t>SMEDJEBACKEN</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25291-2026</t>
        </is>
      </c>
      <c r="B577" t="inlineStr">
        <is>
          <t>avverkningsanmälan</t>
        </is>
      </c>
      <c r="C577" t="inlineStr">
        <is>
          <t>Föryngringsavverkning</t>
        </is>
      </c>
      <c r="D577" s="1" t="n">
        <v>46176</v>
      </c>
      <c r="E577" s="1" t="n">
        <v>46220</v>
      </c>
      <c r="F577" t="inlineStr">
        <is>
          <t>DALARNAS LÄN</t>
        </is>
      </c>
      <c r="G577" t="inlineStr">
        <is>
          <t>SMEDJEBACKEN</t>
        </is>
      </c>
      <c r="H577" t="inlineStr">
        <is>
          <t>Sveaskog</t>
        </is>
      </c>
      <c r="I577" t="n">
        <v>18.4</v>
      </c>
      <c r="J577" t="n">
        <v>0</v>
      </c>
      <c r="K577" t="n">
        <v>0</v>
      </c>
      <c r="L577" t="n">
        <v>0</v>
      </c>
      <c r="M577" t="n">
        <v>0</v>
      </c>
      <c r="N577" t="n">
        <v>0</v>
      </c>
      <c r="O577" t="n">
        <v>0</v>
      </c>
      <c r="P577" t="n">
        <v>0</v>
      </c>
      <c r="Q577" t="n">
        <v>0</v>
      </c>
      <c r="R577" t="n">
        <v>0</v>
      </c>
      <c r="S577" t="n">
        <v>0</v>
      </c>
      <c r="T577" t="n">
        <v>0</v>
      </c>
      <c r="U577" s="2" t="inlineStr"/>
    </row>
    <row r="578" ht="15" customHeight="1">
      <c r="A578" t="inlineStr">
        <is>
          <t>A 24469-2022</t>
        </is>
      </c>
      <c r="B578" t="inlineStr">
        <is>
          <t>avverkningsanmälan</t>
        </is>
      </c>
      <c r="C578" t="inlineStr">
        <is>
          <t>Föryngringsavverkning</t>
        </is>
      </c>
      <c r="D578" s="1" t="n">
        <v>44726</v>
      </c>
      <c r="E578" s="1" t="n">
        <v>46220</v>
      </c>
      <c r="F578" t="inlineStr">
        <is>
          <t>DALARNAS LÄN</t>
        </is>
      </c>
      <c r="G578" t="inlineStr">
        <is>
          <t>SMEDJEBACKEN</t>
        </is>
      </c>
      <c r="I578" t="n">
        <v>4.3</v>
      </c>
      <c r="J578" t="n">
        <v>0</v>
      </c>
      <c r="K578" t="n">
        <v>0</v>
      </c>
      <c r="L578" t="n">
        <v>0</v>
      </c>
      <c r="M578" t="n">
        <v>0</v>
      </c>
      <c r="N578" t="n">
        <v>0</v>
      </c>
      <c r="O578" t="n">
        <v>0</v>
      </c>
      <c r="P578" t="n">
        <v>0</v>
      </c>
      <c r="Q578" t="n">
        <v>0</v>
      </c>
      <c r="R578" t="n">
        <v>0</v>
      </c>
      <c r="S578" t="n">
        <v>0</v>
      </c>
      <c r="T578" t="n">
        <v>0</v>
      </c>
      <c r="U578" s="2" t="inlineStr"/>
    </row>
    <row r="579" ht="15" customHeight="1">
      <c r="A579" t="inlineStr">
        <is>
          <t>A 20901-2025</t>
        </is>
      </c>
      <c r="B579" t="inlineStr">
        <is>
          <t>avverkningsanmälan</t>
        </is>
      </c>
      <c r="C579" t="inlineStr">
        <is>
          <t>Föryngringsavverkning</t>
        </is>
      </c>
      <c r="D579" s="1" t="n">
        <v>45777</v>
      </c>
      <c r="E579" s="1" t="n">
        <v>46220</v>
      </c>
      <c r="F579" t="inlineStr">
        <is>
          <t>DALARNAS LÄN</t>
        </is>
      </c>
      <c r="G579" t="inlineStr">
        <is>
          <t>SMEDJEBACKEN</t>
        </is>
      </c>
      <c r="H579" t="inlineStr">
        <is>
          <t>Sveaskog</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20903-2025</t>
        </is>
      </c>
      <c r="B580" t="inlineStr">
        <is>
          <t>avverkningsanmälan</t>
        </is>
      </c>
      <c r="C580" t="inlineStr">
        <is>
          <t>Föryngringsavverkning</t>
        </is>
      </c>
      <c r="D580" s="1" t="n">
        <v>45777</v>
      </c>
      <c r="E580" s="1" t="n">
        <v>46220</v>
      </c>
      <c r="F580" t="inlineStr">
        <is>
          <t>DALARNAS LÄN</t>
        </is>
      </c>
      <c r="G580" t="inlineStr">
        <is>
          <t>SMEDJEBACKEN</t>
        </is>
      </c>
      <c r="H580" t="inlineStr">
        <is>
          <t>Sveaskog</t>
        </is>
      </c>
      <c r="I580" t="n">
        <v>2.2</v>
      </c>
      <c r="J580" t="n">
        <v>0</v>
      </c>
      <c r="K580" t="n">
        <v>0</v>
      </c>
      <c r="L580" t="n">
        <v>0</v>
      </c>
      <c r="M580" t="n">
        <v>0</v>
      </c>
      <c r="N580" t="n">
        <v>0</v>
      </c>
      <c r="O580" t="n">
        <v>0</v>
      </c>
      <c r="P580" t="n">
        <v>0</v>
      </c>
      <c r="Q580" t="n">
        <v>0</v>
      </c>
      <c r="R580" t="n">
        <v>0</v>
      </c>
      <c r="S580" t="n">
        <v>0</v>
      </c>
      <c r="T580" t="n">
        <v>0</v>
      </c>
      <c r="U580" s="2" t="inlineStr"/>
    </row>
    <row r="581" ht="15" customHeight="1">
      <c r="A581" t="inlineStr">
        <is>
          <t>A 42315-2024</t>
        </is>
      </c>
      <c r="B581" t="inlineStr">
        <is>
          <t>avverkningsanmälan</t>
        </is>
      </c>
      <c r="C581" t="inlineStr">
        <is>
          <t>Föryngringsavverkning</t>
        </is>
      </c>
      <c r="D581" s="1" t="n">
        <v>45562</v>
      </c>
      <c r="E581" s="1" t="n">
        <v>46220</v>
      </c>
      <c r="F581" t="inlineStr">
        <is>
          <t>DALARNAS LÄN</t>
        </is>
      </c>
      <c r="G581" t="inlineStr">
        <is>
          <t>SMEDJEBACKEN</t>
        </is>
      </c>
      <c r="I581" t="n">
        <v>5.7</v>
      </c>
      <c r="J581" t="n">
        <v>0</v>
      </c>
      <c r="K581" t="n">
        <v>0</v>
      </c>
      <c r="L581" t="n">
        <v>0</v>
      </c>
      <c r="M581" t="n">
        <v>0</v>
      </c>
      <c r="N581" t="n">
        <v>0</v>
      </c>
      <c r="O581" t="n">
        <v>0</v>
      </c>
      <c r="P581" t="n">
        <v>0</v>
      </c>
      <c r="Q581" t="n">
        <v>0</v>
      </c>
      <c r="R581" t="n">
        <v>0</v>
      </c>
      <c r="S581" t="n">
        <v>0</v>
      </c>
      <c r="T581" t="n">
        <v>0</v>
      </c>
      <c r="U581" s="2" t="inlineStr"/>
    </row>
    <row r="582" ht="15" customHeight="1">
      <c r="A582" t="inlineStr">
        <is>
          <t>A 25393-2024</t>
        </is>
      </c>
      <c r="B582" t="inlineStr">
        <is>
          <t>avverkningsanmälan</t>
        </is>
      </c>
      <c r="C582" t="inlineStr">
        <is>
          <t>Föryngringsavverkning</t>
        </is>
      </c>
      <c r="D582" s="1" t="n">
        <v>45463</v>
      </c>
      <c r="E582" s="1" t="n">
        <v>46220</v>
      </c>
      <c r="F582" t="inlineStr">
        <is>
          <t>DALARNAS LÄN</t>
        </is>
      </c>
      <c r="G582" t="inlineStr">
        <is>
          <t>SMEDJEBACKEN</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43926-2024</t>
        </is>
      </c>
      <c r="B583" t="inlineStr">
        <is>
          <t>avverkningsanmälan</t>
        </is>
      </c>
      <c r="C583" t="inlineStr">
        <is>
          <t>Föryngringsavverkning</t>
        </is>
      </c>
      <c r="D583" s="1" t="n">
        <v>45572</v>
      </c>
      <c r="E583" s="1" t="n">
        <v>46220</v>
      </c>
      <c r="F583" t="inlineStr">
        <is>
          <t>DALARNAS LÄN</t>
        </is>
      </c>
      <c r="G583" t="inlineStr">
        <is>
          <t>SMEDJEBACKEN</t>
        </is>
      </c>
      <c r="H583" t="inlineStr">
        <is>
          <t>Sveaskog</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22207-2024</t>
        </is>
      </c>
      <c r="B584" t="inlineStr">
        <is>
          <t>avverkningsanmälan</t>
        </is>
      </c>
      <c r="C584" t="inlineStr">
        <is>
          <t>Föryngringsavverkning</t>
        </is>
      </c>
      <c r="D584" s="1" t="n">
        <v>45446</v>
      </c>
      <c r="E584" s="1" t="n">
        <v>46220</v>
      </c>
      <c r="F584" t="inlineStr">
        <is>
          <t>DALARNAS LÄN</t>
        </is>
      </c>
      <c r="G584" t="inlineStr">
        <is>
          <t>SMEDJEBACKEN</t>
        </is>
      </c>
      <c r="H584" t="inlineStr">
        <is>
          <t>Sveaskog</t>
        </is>
      </c>
      <c r="I584" t="n">
        <v>1.3</v>
      </c>
      <c r="J584" t="n">
        <v>0</v>
      </c>
      <c r="K584" t="n">
        <v>0</v>
      </c>
      <c r="L584" t="n">
        <v>0</v>
      </c>
      <c r="M584" t="n">
        <v>0</v>
      </c>
      <c r="N584" t="n">
        <v>0</v>
      </c>
      <c r="O584" t="n">
        <v>0</v>
      </c>
      <c r="P584" t="n">
        <v>0</v>
      </c>
      <c r="Q584" t="n">
        <v>0</v>
      </c>
      <c r="R584" t="n">
        <v>0</v>
      </c>
      <c r="S584" t="n">
        <v>0</v>
      </c>
      <c r="T584" t="n">
        <v>0</v>
      </c>
      <c r="U584" s="2" t="inlineStr"/>
    </row>
    <row r="585" ht="15" customHeight="1">
      <c r="A585" t="inlineStr">
        <is>
          <t>A 50539-2024</t>
        </is>
      </c>
      <c r="B585" t="inlineStr">
        <is>
          <t>avverkningsanmälan</t>
        </is>
      </c>
      <c r="C585" t="inlineStr">
        <is>
          <t>Föryngringsavverkning</t>
        </is>
      </c>
      <c r="D585" s="1" t="n">
        <v>45600</v>
      </c>
      <c r="E585" s="1" t="n">
        <v>46220</v>
      </c>
      <c r="F585" t="inlineStr">
        <is>
          <t>DALARNAS LÄN</t>
        </is>
      </c>
      <c r="G585" t="inlineStr">
        <is>
          <t>SMEDJEBACKEN</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51771-2024</t>
        </is>
      </c>
      <c r="B586" t="inlineStr">
        <is>
          <t>avverkningsanmälan</t>
        </is>
      </c>
      <c r="C586" t="inlineStr">
        <is>
          <t>Föryngringsavverkning</t>
        </is>
      </c>
      <c r="D586" s="1" t="n">
        <v>45607</v>
      </c>
      <c r="E586" s="1" t="n">
        <v>46220</v>
      </c>
      <c r="F586" t="inlineStr">
        <is>
          <t>DALARNAS LÄN</t>
        </is>
      </c>
      <c r="G586" t="inlineStr">
        <is>
          <t>SMEDJEBACKEN</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41333-2024</t>
        </is>
      </c>
      <c r="B587" t="inlineStr">
        <is>
          <t>avverkningsanmälan</t>
        </is>
      </c>
      <c r="C587" t="inlineStr">
        <is>
          <t>Föryngringsavverkning</t>
        </is>
      </c>
      <c r="D587" s="1" t="n">
        <v>45559</v>
      </c>
      <c r="E587" s="1" t="n">
        <v>46220</v>
      </c>
      <c r="F587" t="inlineStr">
        <is>
          <t>DALARNAS LÄN</t>
        </is>
      </c>
      <c r="G587" t="inlineStr">
        <is>
          <t>SMEDJEBACKEN</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50567-2024</t>
        </is>
      </c>
      <c r="B588" t="inlineStr">
        <is>
          <t>avverkningsanmälan</t>
        </is>
      </c>
      <c r="C588" t="inlineStr">
        <is>
          <t>Föryngringsavverkning</t>
        </is>
      </c>
      <c r="D588" s="1" t="n">
        <v>45600</v>
      </c>
      <c r="E588" s="1" t="n">
        <v>46220</v>
      </c>
      <c r="F588" t="inlineStr">
        <is>
          <t>DALARNAS LÄN</t>
        </is>
      </c>
      <c r="G588" t="inlineStr">
        <is>
          <t>SMEDJEBACKEN</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46220</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4717-2024</t>
        </is>
      </c>
      <c r="B590" t="inlineStr">
        <is>
          <t>samrådsanmälan</t>
        </is>
      </c>
      <c r="C590" t="inlineStr">
        <is>
          <t>Annan skogsbruksåtgärd</t>
        </is>
      </c>
      <c r="D590" s="1" t="n">
        <v>45607</v>
      </c>
      <c r="E590" s="1" t="n">
        <v>46220</v>
      </c>
      <c r="F590" t="inlineStr">
        <is>
          <t>DALARNAS LÄN</t>
        </is>
      </c>
      <c r="G590" t="inlineStr">
        <is>
          <t>SMEDJEBACKEN</t>
        </is>
      </c>
      <c r="H590" t="inlineStr">
        <is>
          <t>Bergvik skog väst AB</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S 5042-2021</t>
        </is>
      </c>
      <c r="B591" t="inlineStr">
        <is>
          <t>samrådsanmälan</t>
        </is>
      </c>
      <c r="C591" t="inlineStr">
        <is>
          <t>Skogsbilväg</t>
        </is>
      </c>
      <c r="D591" s="1" t="n">
        <v>44420</v>
      </c>
      <c r="E591" s="1" t="n">
        <v>46220</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s="2" t="inlineStr"/>
    </row>
    <row r="592" ht="15" customHeight="1">
      <c r="A592" t="inlineStr">
        <is>
          <t>S 9265-2021</t>
        </is>
      </c>
      <c r="B592" t="inlineStr">
        <is>
          <t>samrådsanmälan</t>
        </is>
      </c>
      <c r="C592" t="inlineStr">
        <is>
          <t>Annan skogsbruksåtgärd</t>
        </is>
      </c>
      <c r="D592" s="1" t="n">
        <v>44517</v>
      </c>
      <c r="E592" s="1" t="n">
        <v>46220</v>
      </c>
      <c r="F592" t="inlineStr">
        <is>
          <t>DALARNAS LÄN</t>
        </is>
      </c>
      <c r="G592" t="inlineStr">
        <is>
          <t>SMEDJEBACKEN</t>
        </is>
      </c>
      <c r="H592" t="inlineStr">
        <is>
          <t>Bergvik skog väst AB</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S 9266-2021</t>
        </is>
      </c>
      <c r="B593" t="inlineStr">
        <is>
          <t>samrådsanmälan</t>
        </is>
      </c>
      <c r="C593" t="inlineStr">
        <is>
          <t>Annan skogsbruksåtgärd</t>
        </is>
      </c>
      <c r="D593" s="1" t="n">
        <v>44517</v>
      </c>
      <c r="E593" s="1" t="n">
        <v>46220</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S 3505-2024</t>
        </is>
      </c>
      <c r="B594" t="inlineStr">
        <is>
          <t>samrådsanmälan</t>
        </is>
      </c>
      <c r="C594" t="inlineStr">
        <is>
          <t>Annan skogsbruksåtgärd</t>
        </is>
      </c>
      <c r="D594" s="1" t="n">
        <v>45540</v>
      </c>
      <c r="E594" s="1" t="n">
        <v>46220</v>
      </c>
      <c r="F594" t="inlineStr">
        <is>
          <t>DALARNAS LÄN</t>
        </is>
      </c>
      <c r="G594" t="inlineStr">
        <is>
          <t>SMEDJEBACKEN</t>
        </is>
      </c>
      <c r="H594" t="inlineStr">
        <is>
          <t>Bergvik skog väst AB</t>
        </is>
      </c>
      <c r="I594" t="n">
        <v>9.800000000000001</v>
      </c>
      <c r="J594" t="n">
        <v>0</v>
      </c>
      <c r="K594" t="n">
        <v>0</v>
      </c>
      <c r="L594" t="n">
        <v>0</v>
      </c>
      <c r="M594" t="n">
        <v>0</v>
      </c>
      <c r="N594" t="n">
        <v>0</v>
      </c>
      <c r="O594" t="n">
        <v>0</v>
      </c>
      <c r="P594" t="n">
        <v>0</v>
      </c>
      <c r="Q594" t="n">
        <v>0</v>
      </c>
      <c r="R594" t="n">
        <v>0</v>
      </c>
      <c r="S594" t="n">
        <v>0</v>
      </c>
      <c r="T594" t="n">
        <v>0</v>
      </c>
      <c r="U594" s="2" t="inlineStr"/>
    </row>
    <row r="595" ht="15" customHeight="1">
      <c r="A595" t="inlineStr">
        <is>
          <t>S 9267-2021</t>
        </is>
      </c>
      <c r="B595" t="inlineStr">
        <is>
          <t>samrådsanmälan</t>
        </is>
      </c>
      <c r="C595" t="inlineStr">
        <is>
          <t>Annan skogsbruksåtgärd</t>
        </is>
      </c>
      <c r="D595" s="1" t="n">
        <v>44517</v>
      </c>
      <c r="E595" s="1" t="n">
        <v>46220</v>
      </c>
      <c r="F595" t="inlineStr">
        <is>
          <t>DALARNAS LÄN</t>
        </is>
      </c>
      <c r="G595" t="inlineStr">
        <is>
          <t>SMEDJEBACKEN</t>
        </is>
      </c>
      <c r="H595" t="inlineStr">
        <is>
          <t>Bergvik skog väst AB</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S 2340-2022</t>
        </is>
      </c>
      <c r="B596" t="inlineStr">
        <is>
          <t>samrådsanmälan</t>
        </is>
      </c>
      <c r="C596" t="inlineStr">
        <is>
          <t>Skogsbilväg</t>
        </is>
      </c>
      <c r="D596" s="1" t="n">
        <v>44686</v>
      </c>
      <c r="E596" s="1" t="n">
        <v>46220</v>
      </c>
      <c r="F596" t="inlineStr">
        <is>
          <t>DALARNAS LÄN</t>
        </is>
      </c>
      <c r="G596" t="inlineStr">
        <is>
          <t>SMEDJEBACKEN</t>
        </is>
      </c>
      <c r="H596" t="inlineStr">
        <is>
          <t>Övriga Aktiebolag</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46220</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46220</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46220</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46220</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46220</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46220</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46220</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46220</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46220</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46220</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46220</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46220</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46220</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2026-07-17T01:42:33Z</dcterms:created>
  <dcterms:modified xmlns:dcterms="http://purl.org/dc/terms/" xmlns:xsi="http://www.w3.org/2001/XMLSchema-instance" xsi:type="dcterms:W3CDTF">2026-07-17T01:42:34Z</dcterms:modified>
</cp:coreProperties>
</file>