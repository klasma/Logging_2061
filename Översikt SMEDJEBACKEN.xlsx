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45575</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45575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45575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45575</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45575</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45575</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45575</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45575</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45575</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45575</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45575</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45575</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45575</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63684-2020</t>
        </is>
      </c>
      <c r="B15" s="1" t="n">
        <v>44166</v>
      </c>
      <c r="C15" s="1" t="n">
        <v>45575</v>
      </c>
      <c r="D15" t="inlineStr">
        <is>
          <t>DALARNAS LÄN</t>
        </is>
      </c>
      <c r="E15" t="inlineStr">
        <is>
          <t>SMEDJEBACKEN</t>
        </is>
      </c>
      <c r="F15" t="inlineStr">
        <is>
          <t>Sveaskog</t>
        </is>
      </c>
      <c r="G15" t="n">
        <v>2.9</v>
      </c>
      <c r="H15" t="n">
        <v>0</v>
      </c>
      <c r="I15" t="n">
        <v>2</v>
      </c>
      <c r="J15" t="n">
        <v>0</v>
      </c>
      <c r="K15" t="n">
        <v>0</v>
      </c>
      <c r="L15" t="n">
        <v>0</v>
      </c>
      <c r="M15" t="n">
        <v>1</v>
      </c>
      <c r="N15" t="n">
        <v>0</v>
      </c>
      <c r="O15" t="n">
        <v>1</v>
      </c>
      <c r="P15" t="n">
        <v>1</v>
      </c>
      <c r="Q15" t="n">
        <v>3</v>
      </c>
      <c r="R15" s="2" t="inlineStr">
        <is>
          <t>Skogsalm
Brandticka
Dvärgtufs</t>
        </is>
      </c>
      <c r="S15">
        <f>HYPERLINK("https://klasma.github.io/Logging_2061/artfynd/A 63684-2020 artfynd.xlsx", "A 63684-2020")</f>
        <v/>
      </c>
      <c r="T15">
        <f>HYPERLINK("https://klasma.github.io/Logging_2061/kartor/A 63684-2020 karta.png", "A 63684-2020")</f>
        <v/>
      </c>
      <c r="V15">
        <f>HYPERLINK("https://klasma.github.io/Logging_2061/klagomål/A 63684-2020 FSC-klagomål.docx", "A 63684-2020")</f>
        <v/>
      </c>
      <c r="W15">
        <f>HYPERLINK("https://klasma.github.io/Logging_2061/klagomålsmail/A 63684-2020 FSC-klagomål mail.docx", "A 63684-2020")</f>
        <v/>
      </c>
      <c r="X15">
        <f>HYPERLINK("https://klasma.github.io/Logging_2061/tillsyn/A 63684-2020 tillsynsbegäran.docx", "A 63684-2020")</f>
        <v/>
      </c>
      <c r="Y15">
        <f>HYPERLINK("https://klasma.github.io/Logging_2061/tillsynsmail/A 63684-2020 tillsynsbegäran mail.docx", "A 63684-2020")</f>
        <v/>
      </c>
    </row>
    <row r="16" ht="15" customHeight="1">
      <c r="A16" t="inlineStr">
        <is>
          <t>A 30934-2024</t>
        </is>
      </c>
      <c r="B16" s="1" t="n">
        <v>45498</v>
      </c>
      <c r="C16" s="1" t="n">
        <v>45575</v>
      </c>
      <c r="D16" t="inlineStr">
        <is>
          <t>DALARNAS LÄN</t>
        </is>
      </c>
      <c r="E16" t="inlineStr">
        <is>
          <t>SMEDJEBACKEN</t>
        </is>
      </c>
      <c r="F16" t="inlineStr">
        <is>
          <t>Övriga Aktiebolag</t>
        </is>
      </c>
      <c r="G16" t="n">
        <v>1.4</v>
      </c>
      <c r="H16" t="n">
        <v>1</v>
      </c>
      <c r="I16" t="n">
        <v>2</v>
      </c>
      <c r="J16" t="n">
        <v>0</v>
      </c>
      <c r="K16" t="n">
        <v>0</v>
      </c>
      <c r="L16" t="n">
        <v>0</v>
      </c>
      <c r="M16" t="n">
        <v>0</v>
      </c>
      <c r="N16" t="n">
        <v>0</v>
      </c>
      <c r="O16" t="n">
        <v>0</v>
      </c>
      <c r="P16" t="n">
        <v>0</v>
      </c>
      <c r="Q16" t="n">
        <v>3</v>
      </c>
      <c r="R16" s="2" t="inlineStr">
        <is>
          <t>Björksplintborre
Vedticka
Revlummer</t>
        </is>
      </c>
      <c r="S16">
        <f>HYPERLINK("https://klasma.github.io/Logging_2061/artfynd/A 30934-2024 artfynd.xlsx", "A 30934-2024")</f>
        <v/>
      </c>
      <c r="T16">
        <f>HYPERLINK("https://klasma.github.io/Logging_2061/kartor/A 30934-2024 karta.png", "A 30934-2024")</f>
        <v/>
      </c>
      <c r="V16">
        <f>HYPERLINK("https://klasma.github.io/Logging_2061/klagomål/A 30934-2024 FSC-klagomål.docx", "A 30934-2024")</f>
        <v/>
      </c>
      <c r="W16">
        <f>HYPERLINK("https://klasma.github.io/Logging_2061/klagomålsmail/A 30934-2024 FSC-klagomål mail.docx", "A 30934-2024")</f>
        <v/>
      </c>
      <c r="X16">
        <f>HYPERLINK("https://klasma.github.io/Logging_2061/tillsyn/A 30934-2024 tillsynsbegäran.docx", "A 30934-2024")</f>
        <v/>
      </c>
      <c r="Y16">
        <f>HYPERLINK("https://klasma.github.io/Logging_2061/tillsynsmail/A 30934-2024 tillsynsbegäran mail.docx", "A 30934-2024")</f>
        <v/>
      </c>
    </row>
    <row r="17" ht="15" customHeight="1">
      <c r="A17" t="inlineStr">
        <is>
          <t>A 21403-2021</t>
        </is>
      </c>
      <c r="B17" s="1" t="n">
        <v>44321</v>
      </c>
      <c r="C17" s="1" t="n">
        <v>45575</v>
      </c>
      <c r="D17" t="inlineStr">
        <is>
          <t>DALARNAS LÄN</t>
        </is>
      </c>
      <c r="E17" t="inlineStr">
        <is>
          <t>SMEDJEBACKEN</t>
        </is>
      </c>
      <c r="G17" t="n">
        <v>1.6</v>
      </c>
      <c r="H17" t="n">
        <v>1</v>
      </c>
      <c r="I17" t="n">
        <v>0</v>
      </c>
      <c r="J17" t="n">
        <v>1</v>
      </c>
      <c r="K17" t="n">
        <v>0</v>
      </c>
      <c r="L17" t="n">
        <v>0</v>
      </c>
      <c r="M17" t="n">
        <v>0</v>
      </c>
      <c r="N17" t="n">
        <v>0</v>
      </c>
      <c r="O17" t="n">
        <v>1</v>
      </c>
      <c r="P17" t="n">
        <v>0</v>
      </c>
      <c r="Q17" t="n">
        <v>2</v>
      </c>
      <c r="R17" s="2" t="inlineStr">
        <is>
          <t>Motaggsvamp
Blåsippa</t>
        </is>
      </c>
      <c r="S17">
        <f>HYPERLINK("https://klasma.github.io/Logging_2061/artfynd/A 21403-2021 artfynd.xlsx", "A 21403-2021")</f>
        <v/>
      </c>
      <c r="T17">
        <f>HYPERLINK("https://klasma.github.io/Logging_2061/kartor/A 21403-2021 karta.png", "A 21403-2021")</f>
        <v/>
      </c>
      <c r="V17">
        <f>HYPERLINK("https://klasma.github.io/Logging_2061/klagomål/A 21403-2021 FSC-klagomål.docx", "A 21403-2021")</f>
        <v/>
      </c>
      <c r="W17">
        <f>HYPERLINK("https://klasma.github.io/Logging_2061/klagomålsmail/A 21403-2021 FSC-klagomål mail.docx", "A 21403-2021")</f>
        <v/>
      </c>
      <c r="X17">
        <f>HYPERLINK("https://klasma.github.io/Logging_2061/tillsyn/A 21403-2021 tillsynsbegäran.docx", "A 21403-2021")</f>
        <v/>
      </c>
      <c r="Y17">
        <f>HYPERLINK("https://klasma.github.io/Logging_2061/tillsynsmail/A 21403-2021 tillsynsbegäran mail.docx", "A 21403-2021")</f>
        <v/>
      </c>
    </row>
    <row r="18" ht="15" customHeight="1">
      <c r="A18" t="inlineStr">
        <is>
          <t>A 40537-2021</t>
        </is>
      </c>
      <c r="B18" s="1" t="n">
        <v>44420</v>
      </c>
      <c r="C18" s="1" t="n">
        <v>45575</v>
      </c>
      <c r="D18" t="inlineStr">
        <is>
          <t>DALARNAS LÄN</t>
        </is>
      </c>
      <c r="E18" t="inlineStr">
        <is>
          <t>SMEDJEBACKEN</t>
        </is>
      </c>
      <c r="F18" t="inlineStr">
        <is>
          <t>Övriga Aktiebolag</t>
        </is>
      </c>
      <c r="G18" t="n">
        <v>10</v>
      </c>
      <c r="H18" t="n">
        <v>2</v>
      </c>
      <c r="I18" t="n">
        <v>0</v>
      </c>
      <c r="J18" t="n">
        <v>1</v>
      </c>
      <c r="K18" t="n">
        <v>0</v>
      </c>
      <c r="L18" t="n">
        <v>0</v>
      </c>
      <c r="M18" t="n">
        <v>0</v>
      </c>
      <c r="N18" t="n">
        <v>0</v>
      </c>
      <c r="O18" t="n">
        <v>1</v>
      </c>
      <c r="P18" t="n">
        <v>0</v>
      </c>
      <c r="Q18" t="n">
        <v>2</v>
      </c>
      <c r="R18" s="2" t="inlineStr">
        <is>
          <t>Tretåig hackspett
Blåsippa</t>
        </is>
      </c>
      <c r="S18">
        <f>HYPERLINK("https://klasma.github.io/Logging_2061/artfynd/A 40537-2021 artfynd.xlsx", "A 40537-2021")</f>
        <v/>
      </c>
      <c r="T18">
        <f>HYPERLINK("https://klasma.github.io/Logging_2061/kartor/A 40537-2021 karta.png", "A 40537-2021")</f>
        <v/>
      </c>
      <c r="V18">
        <f>HYPERLINK("https://klasma.github.io/Logging_2061/klagomål/A 40537-2021 FSC-klagomål.docx", "A 40537-2021")</f>
        <v/>
      </c>
      <c r="W18">
        <f>HYPERLINK("https://klasma.github.io/Logging_2061/klagomålsmail/A 40537-2021 FSC-klagomål mail.docx", "A 40537-2021")</f>
        <v/>
      </c>
      <c r="X18">
        <f>HYPERLINK("https://klasma.github.io/Logging_2061/tillsyn/A 40537-2021 tillsynsbegäran.docx", "A 40537-2021")</f>
        <v/>
      </c>
      <c r="Y18">
        <f>HYPERLINK("https://klasma.github.io/Logging_2061/tillsynsmail/A 40537-2021 tillsynsbegäran mail.docx", "A 40537-2021")</f>
        <v/>
      </c>
      <c r="Z18">
        <f>HYPERLINK("https://klasma.github.io/Logging_2061/fåglar/A 40537-2021 prioriterade fågelarter.docx", "A 40537-2021")</f>
        <v/>
      </c>
    </row>
    <row r="19" ht="15" customHeight="1">
      <c r="A19" t="inlineStr">
        <is>
          <t>A 36059-2022</t>
        </is>
      </c>
      <c r="B19" s="1" t="n">
        <v>44802</v>
      </c>
      <c r="C19" s="1" t="n">
        <v>45575</v>
      </c>
      <c r="D19" t="inlineStr">
        <is>
          <t>DALARNAS LÄN</t>
        </is>
      </c>
      <c r="E19" t="inlineStr">
        <is>
          <t>SMEDJEBACKEN</t>
        </is>
      </c>
      <c r="G19" t="n">
        <v>8.9</v>
      </c>
      <c r="H19" t="n">
        <v>2</v>
      </c>
      <c r="I19" t="n">
        <v>0</v>
      </c>
      <c r="J19" t="n">
        <v>2</v>
      </c>
      <c r="K19" t="n">
        <v>0</v>
      </c>
      <c r="L19" t="n">
        <v>0</v>
      </c>
      <c r="M19" t="n">
        <v>0</v>
      </c>
      <c r="N19" t="n">
        <v>0</v>
      </c>
      <c r="O19" t="n">
        <v>2</v>
      </c>
      <c r="P19" t="n">
        <v>0</v>
      </c>
      <c r="Q19" t="n">
        <v>2</v>
      </c>
      <c r="R19" s="2" t="inlineStr">
        <is>
          <t>Brunlångöra
Tretåig hackspett</t>
        </is>
      </c>
      <c r="S19">
        <f>HYPERLINK("https://klasma.github.io/Logging_2061/artfynd/A 36059-2022 artfynd.xlsx", "A 36059-2022")</f>
        <v/>
      </c>
      <c r="T19">
        <f>HYPERLINK("https://klasma.github.io/Logging_2061/kartor/A 36059-2022 karta.png", "A 36059-2022")</f>
        <v/>
      </c>
      <c r="V19">
        <f>HYPERLINK("https://klasma.github.io/Logging_2061/klagomål/A 36059-2022 FSC-klagomål.docx", "A 36059-2022")</f>
        <v/>
      </c>
      <c r="W19">
        <f>HYPERLINK("https://klasma.github.io/Logging_2061/klagomålsmail/A 36059-2022 FSC-klagomål mail.docx", "A 36059-2022")</f>
        <v/>
      </c>
      <c r="X19">
        <f>HYPERLINK("https://klasma.github.io/Logging_2061/tillsyn/A 36059-2022 tillsynsbegäran.docx", "A 36059-2022")</f>
        <v/>
      </c>
      <c r="Y19">
        <f>HYPERLINK("https://klasma.github.io/Logging_2061/tillsynsmail/A 36059-2022 tillsynsbegäran mail.docx", "A 36059-2022")</f>
        <v/>
      </c>
      <c r="Z19">
        <f>HYPERLINK("https://klasma.github.io/Logging_2061/fåglar/A 36059-2022 prioriterade fågelarter.docx", "A 36059-2022")</f>
        <v/>
      </c>
    </row>
    <row r="20" ht="15" customHeight="1">
      <c r="A20" t="inlineStr">
        <is>
          <t>A 61289-2022</t>
        </is>
      </c>
      <c r="B20" s="1" t="n">
        <v>44909</v>
      </c>
      <c r="C20" s="1" t="n">
        <v>45575</v>
      </c>
      <c r="D20" t="inlineStr">
        <is>
          <t>DALARNAS LÄN</t>
        </is>
      </c>
      <c r="E20" t="inlineStr">
        <is>
          <t>SMEDJEBACKEN</t>
        </is>
      </c>
      <c r="F20" t="inlineStr">
        <is>
          <t>Bergvik skog väst AB</t>
        </is>
      </c>
      <c r="G20" t="n">
        <v>9.6</v>
      </c>
      <c r="H20" t="n">
        <v>1</v>
      </c>
      <c r="I20" t="n">
        <v>0</v>
      </c>
      <c r="J20" t="n">
        <v>2</v>
      </c>
      <c r="K20" t="n">
        <v>0</v>
      </c>
      <c r="L20" t="n">
        <v>0</v>
      </c>
      <c r="M20" t="n">
        <v>0</v>
      </c>
      <c r="N20" t="n">
        <v>0</v>
      </c>
      <c r="O20" t="n">
        <v>2</v>
      </c>
      <c r="P20" t="n">
        <v>0</v>
      </c>
      <c r="Q20" t="n">
        <v>2</v>
      </c>
      <c r="R20" s="2" t="inlineStr">
        <is>
          <t>Kungsörn
Skogshare</t>
        </is>
      </c>
      <c r="S20">
        <f>HYPERLINK("https://klasma.github.io/Logging_2061/artfynd/A 61289-2022 artfynd.xlsx", "A 61289-2022")</f>
        <v/>
      </c>
      <c r="T20">
        <f>HYPERLINK("https://klasma.github.io/Logging_2061/kartor/A 61289-2022 karta.png", "A 61289-2022")</f>
        <v/>
      </c>
      <c r="V20">
        <f>HYPERLINK("https://klasma.github.io/Logging_2061/klagomål/A 61289-2022 FSC-klagomål.docx", "A 61289-2022")</f>
        <v/>
      </c>
      <c r="W20">
        <f>HYPERLINK("https://klasma.github.io/Logging_2061/klagomålsmail/A 61289-2022 FSC-klagomål mail.docx", "A 61289-2022")</f>
        <v/>
      </c>
      <c r="X20">
        <f>HYPERLINK("https://klasma.github.io/Logging_2061/tillsyn/A 61289-2022 tillsynsbegäran.docx", "A 61289-2022")</f>
        <v/>
      </c>
      <c r="Y20">
        <f>HYPERLINK("https://klasma.github.io/Logging_2061/tillsynsmail/A 61289-2022 tillsynsbegäran mail.docx", "A 61289-2022")</f>
        <v/>
      </c>
      <c r="Z20">
        <f>HYPERLINK("https://klasma.github.io/Logging_2061/fåglar/A 61289-2022 prioriterade fågelarter.docx", "A 61289-2022")</f>
        <v/>
      </c>
    </row>
    <row r="21" ht="15" customHeight="1">
      <c r="A21" t="inlineStr">
        <is>
          <t>A 15210-2023</t>
        </is>
      </c>
      <c r="B21" s="1" t="n">
        <v>45018</v>
      </c>
      <c r="C21" s="1" t="n">
        <v>45575</v>
      </c>
      <c r="D21" t="inlineStr">
        <is>
          <t>DALARNAS LÄN</t>
        </is>
      </c>
      <c r="E21" t="inlineStr">
        <is>
          <t>SMEDJEBACKEN</t>
        </is>
      </c>
      <c r="G21" t="n">
        <v>9.4</v>
      </c>
      <c r="H21" t="n">
        <v>2</v>
      </c>
      <c r="I21" t="n">
        <v>0</v>
      </c>
      <c r="J21" t="n">
        <v>1</v>
      </c>
      <c r="K21" t="n">
        <v>0</v>
      </c>
      <c r="L21" t="n">
        <v>0</v>
      </c>
      <c r="M21" t="n">
        <v>0</v>
      </c>
      <c r="N21" t="n">
        <v>0</v>
      </c>
      <c r="O21" t="n">
        <v>1</v>
      </c>
      <c r="P21" t="n">
        <v>0</v>
      </c>
      <c r="Q21" t="n">
        <v>2</v>
      </c>
      <c r="R21" s="2" t="inlineStr">
        <is>
          <t>Nordfladdermus
Vattenfladdermus</t>
        </is>
      </c>
      <c r="S21">
        <f>HYPERLINK("https://klasma.github.io/Logging_2061/artfynd/A 15210-2023 artfynd.xlsx", "A 15210-2023")</f>
        <v/>
      </c>
      <c r="T21">
        <f>HYPERLINK("https://klasma.github.io/Logging_2061/kartor/A 15210-2023 karta.png", "A 15210-2023")</f>
        <v/>
      </c>
      <c r="V21">
        <f>HYPERLINK("https://klasma.github.io/Logging_2061/klagomål/A 15210-2023 FSC-klagomål.docx", "A 15210-2023")</f>
        <v/>
      </c>
      <c r="W21">
        <f>HYPERLINK("https://klasma.github.io/Logging_2061/klagomålsmail/A 15210-2023 FSC-klagomål mail.docx", "A 15210-2023")</f>
        <v/>
      </c>
      <c r="X21">
        <f>HYPERLINK("https://klasma.github.io/Logging_2061/tillsyn/A 15210-2023 tillsynsbegäran.docx", "A 15210-2023")</f>
        <v/>
      </c>
      <c r="Y21">
        <f>HYPERLINK("https://klasma.github.io/Logging_2061/tillsynsmail/A 15210-2023 tillsynsbegäran mail.docx", "A 15210-2023")</f>
        <v/>
      </c>
    </row>
    <row r="22" ht="15" customHeight="1">
      <c r="A22" t="inlineStr">
        <is>
          <t>A 21706-2023</t>
        </is>
      </c>
      <c r="B22" s="1" t="n">
        <v>45064</v>
      </c>
      <c r="C22" s="1" t="n">
        <v>45575</v>
      </c>
      <c r="D22" t="inlineStr">
        <is>
          <t>DALARNAS LÄN</t>
        </is>
      </c>
      <c r="E22" t="inlineStr">
        <is>
          <t>SMEDJEBACKEN</t>
        </is>
      </c>
      <c r="F22" t="inlineStr">
        <is>
          <t>Övriga Aktiebolag</t>
        </is>
      </c>
      <c r="G22" t="n">
        <v>7.1</v>
      </c>
      <c r="H22" t="n">
        <v>2</v>
      </c>
      <c r="I22" t="n">
        <v>0</v>
      </c>
      <c r="J22" t="n">
        <v>0</v>
      </c>
      <c r="K22" t="n">
        <v>0</v>
      </c>
      <c r="L22" t="n">
        <v>0</v>
      </c>
      <c r="M22" t="n">
        <v>0</v>
      </c>
      <c r="N22" t="n">
        <v>0</v>
      </c>
      <c r="O22" t="n">
        <v>0</v>
      </c>
      <c r="P22" t="n">
        <v>0</v>
      </c>
      <c r="Q22" t="n">
        <v>2</v>
      </c>
      <c r="R22" s="2" t="inlineStr">
        <is>
          <t>Fläcknycklar
Mattlummer</t>
        </is>
      </c>
      <c r="S22">
        <f>HYPERLINK("https://klasma.github.io/Logging_2061/artfynd/A 21706-2023 artfynd.xlsx", "A 21706-2023")</f>
        <v/>
      </c>
      <c r="T22">
        <f>HYPERLINK("https://klasma.github.io/Logging_2061/kartor/A 21706-2023 karta.png", "A 21706-2023")</f>
        <v/>
      </c>
      <c r="V22">
        <f>HYPERLINK("https://klasma.github.io/Logging_2061/klagomål/A 21706-2023 FSC-klagomål.docx", "A 21706-2023")</f>
        <v/>
      </c>
      <c r="W22">
        <f>HYPERLINK("https://klasma.github.io/Logging_2061/klagomålsmail/A 21706-2023 FSC-klagomål mail.docx", "A 21706-2023")</f>
        <v/>
      </c>
      <c r="X22">
        <f>HYPERLINK("https://klasma.github.io/Logging_2061/tillsyn/A 21706-2023 tillsynsbegäran.docx", "A 21706-2023")</f>
        <v/>
      </c>
      <c r="Y22">
        <f>HYPERLINK("https://klasma.github.io/Logging_2061/tillsynsmail/A 21706-2023 tillsynsbegäran mail.docx", "A 21706-2023")</f>
        <v/>
      </c>
    </row>
    <row r="23" ht="15" customHeight="1">
      <c r="A23" t="inlineStr">
        <is>
          <t>A 38763-2023</t>
        </is>
      </c>
      <c r="B23" s="1" t="n">
        <v>45163</v>
      </c>
      <c r="C23" s="1" t="n">
        <v>45575</v>
      </c>
      <c r="D23" t="inlineStr">
        <is>
          <t>DALARNAS LÄN</t>
        </is>
      </c>
      <c r="E23" t="inlineStr">
        <is>
          <t>SMEDJEBACKEN</t>
        </is>
      </c>
      <c r="F23" t="inlineStr">
        <is>
          <t>Sveaskog</t>
        </is>
      </c>
      <c r="G23" t="n">
        <v>22.7</v>
      </c>
      <c r="H23" t="n">
        <v>2</v>
      </c>
      <c r="I23" t="n">
        <v>0</v>
      </c>
      <c r="J23" t="n">
        <v>1</v>
      </c>
      <c r="K23" t="n">
        <v>0</v>
      </c>
      <c r="L23" t="n">
        <v>0</v>
      </c>
      <c r="M23" t="n">
        <v>0</v>
      </c>
      <c r="N23" t="n">
        <v>0</v>
      </c>
      <c r="O23" t="n">
        <v>1</v>
      </c>
      <c r="P23" t="n">
        <v>0</v>
      </c>
      <c r="Q23" t="n">
        <v>2</v>
      </c>
      <c r="R23" s="2" t="inlineStr">
        <is>
          <t>Talltita
Mattlummer</t>
        </is>
      </c>
      <c r="S23">
        <f>HYPERLINK("https://klasma.github.io/Logging_2061/artfynd/A 38763-2023 artfynd.xlsx", "A 38763-2023")</f>
        <v/>
      </c>
      <c r="T23">
        <f>HYPERLINK("https://klasma.github.io/Logging_2061/kartor/A 38763-2023 karta.png", "A 38763-2023")</f>
        <v/>
      </c>
      <c r="V23">
        <f>HYPERLINK("https://klasma.github.io/Logging_2061/klagomål/A 38763-2023 FSC-klagomål.docx", "A 38763-2023")</f>
        <v/>
      </c>
      <c r="W23">
        <f>HYPERLINK("https://klasma.github.io/Logging_2061/klagomålsmail/A 38763-2023 FSC-klagomål mail.docx", "A 38763-2023")</f>
        <v/>
      </c>
      <c r="X23">
        <f>HYPERLINK("https://klasma.github.io/Logging_2061/tillsyn/A 38763-2023 tillsynsbegäran.docx", "A 38763-2023")</f>
        <v/>
      </c>
      <c r="Y23">
        <f>HYPERLINK("https://klasma.github.io/Logging_2061/tillsynsmail/A 38763-2023 tillsynsbegäran mail.docx", "A 38763-2023")</f>
        <v/>
      </c>
      <c r="Z23">
        <f>HYPERLINK("https://klasma.github.io/Logging_2061/fåglar/A 38763-2023 prioriterade fågelarter.docx", "A 38763-2023")</f>
        <v/>
      </c>
    </row>
    <row r="24" ht="15" customHeight="1">
      <c r="A24" t="inlineStr">
        <is>
          <t>A 21678-2024</t>
        </is>
      </c>
      <c r="B24" s="1" t="n">
        <v>45442</v>
      </c>
      <c r="C24" s="1" t="n">
        <v>45575</v>
      </c>
      <c r="D24" t="inlineStr">
        <is>
          <t>DALARNAS LÄN</t>
        </is>
      </c>
      <c r="E24" t="inlineStr">
        <is>
          <t>SMEDJEBACKEN</t>
        </is>
      </c>
      <c r="F24" t="inlineStr">
        <is>
          <t>Sveaskog</t>
        </is>
      </c>
      <c r="G24" t="n">
        <v>20</v>
      </c>
      <c r="H24" t="n">
        <v>2</v>
      </c>
      <c r="I24" t="n">
        <v>0</v>
      </c>
      <c r="J24" t="n">
        <v>0</v>
      </c>
      <c r="K24" t="n">
        <v>0</v>
      </c>
      <c r="L24" t="n">
        <v>0</v>
      </c>
      <c r="M24" t="n">
        <v>0</v>
      </c>
      <c r="N24" t="n">
        <v>0</v>
      </c>
      <c r="O24" t="n">
        <v>0</v>
      </c>
      <c r="P24" t="n">
        <v>0</v>
      </c>
      <c r="Q24" t="n">
        <v>2</v>
      </c>
      <c r="R24" s="2" t="inlineStr">
        <is>
          <t>Fläcknycklar
Mattlummer</t>
        </is>
      </c>
      <c r="S24">
        <f>HYPERLINK("https://klasma.github.io/Logging_2061/artfynd/A 21678-2024 artfynd.xlsx", "A 21678-2024")</f>
        <v/>
      </c>
      <c r="T24">
        <f>HYPERLINK("https://klasma.github.io/Logging_2061/kartor/A 21678-2024 karta.png", "A 21678-2024")</f>
        <v/>
      </c>
      <c r="V24">
        <f>HYPERLINK("https://klasma.github.io/Logging_2061/klagomål/A 21678-2024 FSC-klagomål.docx", "A 21678-2024")</f>
        <v/>
      </c>
      <c r="W24">
        <f>HYPERLINK("https://klasma.github.io/Logging_2061/klagomålsmail/A 21678-2024 FSC-klagomål mail.docx", "A 21678-2024")</f>
        <v/>
      </c>
      <c r="X24">
        <f>HYPERLINK("https://klasma.github.io/Logging_2061/tillsyn/A 21678-2024 tillsynsbegäran.docx", "A 21678-2024")</f>
        <v/>
      </c>
      <c r="Y24">
        <f>HYPERLINK("https://klasma.github.io/Logging_2061/tillsynsmail/A 21678-2024 tillsynsbegäran mail.docx", "A 21678-2024")</f>
        <v/>
      </c>
    </row>
    <row r="25" ht="15" customHeight="1">
      <c r="A25" t="inlineStr">
        <is>
          <t>A 23619-2024</t>
        </is>
      </c>
      <c r="B25" s="1" t="n">
        <v>45454</v>
      </c>
      <c r="C25" s="1" t="n">
        <v>45575</v>
      </c>
      <c r="D25" t="inlineStr">
        <is>
          <t>DALARNAS LÄN</t>
        </is>
      </c>
      <c r="E25" t="inlineStr">
        <is>
          <t>SMEDJEBACKEN</t>
        </is>
      </c>
      <c r="F25" t="inlineStr">
        <is>
          <t>Bergvik skog väst AB</t>
        </is>
      </c>
      <c r="G25" t="n">
        <v>4.2</v>
      </c>
      <c r="H25" t="n">
        <v>1</v>
      </c>
      <c r="I25" t="n">
        <v>1</v>
      </c>
      <c r="J25" t="n">
        <v>0</v>
      </c>
      <c r="K25" t="n">
        <v>1</v>
      </c>
      <c r="L25" t="n">
        <v>0</v>
      </c>
      <c r="M25" t="n">
        <v>0</v>
      </c>
      <c r="N25" t="n">
        <v>0</v>
      </c>
      <c r="O25" t="n">
        <v>1</v>
      </c>
      <c r="P25" t="n">
        <v>1</v>
      </c>
      <c r="Q25" t="n">
        <v>2</v>
      </c>
      <c r="R25" s="2" t="inlineStr">
        <is>
          <t>Knärot
Dropptaggsvamp</t>
        </is>
      </c>
      <c r="S25">
        <f>HYPERLINK("https://klasma.github.io/Logging_2061/artfynd/A 23619-2024 artfynd.xlsx", "A 23619-2024")</f>
        <v/>
      </c>
      <c r="T25">
        <f>HYPERLINK("https://klasma.github.io/Logging_2061/kartor/A 23619-2024 karta.png", "A 23619-2024")</f>
        <v/>
      </c>
      <c r="U25">
        <f>HYPERLINK("https://klasma.github.io/Logging_2061/knärot/A 23619-2024 karta knärot.png", "A 23619-2024")</f>
        <v/>
      </c>
      <c r="V25">
        <f>HYPERLINK("https://klasma.github.io/Logging_2061/klagomål/A 23619-2024 FSC-klagomål.docx", "A 23619-2024")</f>
        <v/>
      </c>
      <c r="W25">
        <f>HYPERLINK("https://klasma.github.io/Logging_2061/klagomålsmail/A 23619-2024 FSC-klagomål mail.docx", "A 23619-2024")</f>
        <v/>
      </c>
      <c r="X25">
        <f>HYPERLINK("https://klasma.github.io/Logging_2061/tillsyn/A 23619-2024 tillsynsbegäran.docx", "A 23619-2024")</f>
        <v/>
      </c>
      <c r="Y25">
        <f>HYPERLINK("https://klasma.github.io/Logging_2061/tillsynsmail/A 23619-2024 tillsynsbegäran mail.docx", "A 23619-2024")</f>
        <v/>
      </c>
    </row>
    <row r="26" ht="15" customHeight="1">
      <c r="A26" t="inlineStr">
        <is>
          <t>A 33017-2024</t>
        </is>
      </c>
      <c r="B26" s="1" t="n">
        <v>45517</v>
      </c>
      <c r="C26" s="1" t="n">
        <v>45575</v>
      </c>
      <c r="D26" t="inlineStr">
        <is>
          <t>DALARNAS LÄN</t>
        </is>
      </c>
      <c r="E26" t="inlineStr">
        <is>
          <t>SMEDJEBACKEN</t>
        </is>
      </c>
      <c r="F26" t="inlineStr">
        <is>
          <t>Övriga Aktiebolag</t>
        </is>
      </c>
      <c r="G26" t="n">
        <v>3.9</v>
      </c>
      <c r="H26" t="n">
        <v>2</v>
      </c>
      <c r="I26" t="n">
        <v>1</v>
      </c>
      <c r="J26" t="n">
        <v>0</v>
      </c>
      <c r="K26" t="n">
        <v>1</v>
      </c>
      <c r="L26" t="n">
        <v>0</v>
      </c>
      <c r="M26" t="n">
        <v>0</v>
      </c>
      <c r="N26" t="n">
        <v>0</v>
      </c>
      <c r="O26" t="n">
        <v>1</v>
      </c>
      <c r="P26" t="n">
        <v>1</v>
      </c>
      <c r="Q26" t="n">
        <v>2</v>
      </c>
      <c r="R26" s="2" t="inlineStr">
        <is>
          <t>Knärot
Plattlummer</t>
        </is>
      </c>
      <c r="S26">
        <f>HYPERLINK("https://klasma.github.io/Logging_2061/artfynd/A 33017-2024 artfynd.xlsx", "A 33017-2024")</f>
        <v/>
      </c>
      <c r="T26">
        <f>HYPERLINK("https://klasma.github.io/Logging_2061/kartor/A 33017-2024 karta.png", "A 33017-2024")</f>
        <v/>
      </c>
      <c r="U26">
        <f>HYPERLINK("https://klasma.github.io/Logging_2061/knärot/A 33017-2024 karta knärot.png", "A 33017-2024")</f>
        <v/>
      </c>
      <c r="V26">
        <f>HYPERLINK("https://klasma.github.io/Logging_2061/klagomål/A 33017-2024 FSC-klagomål.docx", "A 33017-2024")</f>
        <v/>
      </c>
      <c r="W26">
        <f>HYPERLINK("https://klasma.github.io/Logging_2061/klagomålsmail/A 33017-2024 FSC-klagomål mail.docx", "A 33017-2024")</f>
        <v/>
      </c>
      <c r="X26">
        <f>HYPERLINK("https://klasma.github.io/Logging_2061/tillsyn/A 33017-2024 tillsynsbegäran.docx", "A 33017-2024")</f>
        <v/>
      </c>
      <c r="Y26">
        <f>HYPERLINK("https://klasma.github.io/Logging_2061/tillsynsmail/A 33017-2024 tillsynsbegäran mail.docx", "A 33017-2024")</f>
        <v/>
      </c>
    </row>
    <row r="27" ht="15" customHeight="1">
      <c r="A27" t="inlineStr">
        <is>
          <t>A 43858-2019</t>
        </is>
      </c>
      <c r="B27" s="1" t="n">
        <v>43707</v>
      </c>
      <c r="C27" s="1" t="n">
        <v>45575</v>
      </c>
      <c r="D27" t="inlineStr">
        <is>
          <t>DALARNAS LÄN</t>
        </is>
      </c>
      <c r="E27" t="inlineStr">
        <is>
          <t>SMEDJEBACKEN</t>
        </is>
      </c>
      <c r="G27" t="n">
        <v>2</v>
      </c>
      <c r="H27" t="n">
        <v>0</v>
      </c>
      <c r="I27" t="n">
        <v>1</v>
      </c>
      <c r="J27" t="n">
        <v>0</v>
      </c>
      <c r="K27" t="n">
        <v>0</v>
      </c>
      <c r="L27" t="n">
        <v>0</v>
      </c>
      <c r="M27" t="n">
        <v>0</v>
      </c>
      <c r="N27" t="n">
        <v>0</v>
      </c>
      <c r="O27" t="n">
        <v>0</v>
      </c>
      <c r="P27" t="n">
        <v>0</v>
      </c>
      <c r="Q27" t="n">
        <v>1</v>
      </c>
      <c r="R27" s="2" t="inlineStr">
        <is>
          <t>Sotlav</t>
        </is>
      </c>
      <c r="S27">
        <f>HYPERLINK("https://klasma.github.io/Logging_2061/artfynd/A 43858-2019 artfynd.xlsx", "A 43858-2019")</f>
        <v/>
      </c>
      <c r="T27">
        <f>HYPERLINK("https://klasma.github.io/Logging_2061/kartor/A 43858-2019 karta.png", "A 43858-2019")</f>
        <v/>
      </c>
      <c r="V27">
        <f>HYPERLINK("https://klasma.github.io/Logging_2061/klagomål/A 43858-2019 FSC-klagomål.docx", "A 43858-2019")</f>
        <v/>
      </c>
      <c r="W27">
        <f>HYPERLINK("https://klasma.github.io/Logging_2061/klagomålsmail/A 43858-2019 FSC-klagomål mail.docx", "A 43858-2019")</f>
        <v/>
      </c>
      <c r="X27">
        <f>HYPERLINK("https://klasma.github.io/Logging_2061/tillsyn/A 43858-2019 tillsynsbegäran.docx", "A 43858-2019")</f>
        <v/>
      </c>
      <c r="Y27">
        <f>HYPERLINK("https://klasma.github.io/Logging_2061/tillsynsmail/A 43858-2019 tillsynsbegäran mail.docx", "A 43858-2019")</f>
        <v/>
      </c>
    </row>
    <row r="28" ht="15" customHeight="1">
      <c r="A28" t="inlineStr">
        <is>
          <t>A 57073-2019</t>
        </is>
      </c>
      <c r="B28" s="1" t="n">
        <v>43766</v>
      </c>
      <c r="C28" s="1" t="n">
        <v>45575</v>
      </c>
      <c r="D28" t="inlineStr">
        <is>
          <t>DALARNAS LÄN</t>
        </is>
      </c>
      <c r="E28" t="inlineStr">
        <is>
          <t>SMEDJEBACKEN</t>
        </is>
      </c>
      <c r="F28" t="inlineStr">
        <is>
          <t>Sveaskog</t>
        </is>
      </c>
      <c r="G28" t="n">
        <v>1.1</v>
      </c>
      <c r="H28" t="n">
        <v>0</v>
      </c>
      <c r="I28" t="n">
        <v>0</v>
      </c>
      <c r="J28" t="n">
        <v>1</v>
      </c>
      <c r="K28" t="n">
        <v>0</v>
      </c>
      <c r="L28" t="n">
        <v>0</v>
      </c>
      <c r="M28" t="n">
        <v>0</v>
      </c>
      <c r="N28" t="n">
        <v>0</v>
      </c>
      <c r="O28" t="n">
        <v>1</v>
      </c>
      <c r="P28" t="n">
        <v>0</v>
      </c>
      <c r="Q28" t="n">
        <v>1</v>
      </c>
      <c r="R28" s="2" t="inlineStr">
        <is>
          <t>Vedtrappmossa</t>
        </is>
      </c>
      <c r="S28">
        <f>HYPERLINK("https://klasma.github.io/Logging_2061/artfynd/A 57073-2019 artfynd.xlsx", "A 57073-2019")</f>
        <v/>
      </c>
      <c r="T28">
        <f>HYPERLINK("https://klasma.github.io/Logging_2061/kartor/A 57073-2019 karta.png", "A 57073-2019")</f>
        <v/>
      </c>
      <c r="V28">
        <f>HYPERLINK("https://klasma.github.io/Logging_2061/klagomål/A 57073-2019 FSC-klagomål.docx", "A 57073-2019")</f>
        <v/>
      </c>
      <c r="W28">
        <f>HYPERLINK("https://klasma.github.io/Logging_2061/klagomålsmail/A 57073-2019 FSC-klagomål mail.docx", "A 57073-2019")</f>
        <v/>
      </c>
      <c r="X28">
        <f>HYPERLINK("https://klasma.github.io/Logging_2061/tillsyn/A 57073-2019 tillsynsbegäran.docx", "A 57073-2019")</f>
        <v/>
      </c>
      <c r="Y28">
        <f>HYPERLINK("https://klasma.github.io/Logging_2061/tillsynsmail/A 57073-2019 tillsynsbegäran mail.docx", "A 57073-2019")</f>
        <v/>
      </c>
    </row>
    <row r="29" ht="15" customHeight="1">
      <c r="A29" t="inlineStr">
        <is>
          <t>A 60407-2019</t>
        </is>
      </c>
      <c r="B29" s="1" t="n">
        <v>43780</v>
      </c>
      <c r="C29" s="1" t="n">
        <v>45575</v>
      </c>
      <c r="D29" t="inlineStr">
        <is>
          <t>DALARNAS LÄN</t>
        </is>
      </c>
      <c r="E29" t="inlineStr">
        <is>
          <t>SMEDJEBACKEN</t>
        </is>
      </c>
      <c r="G29" t="n">
        <v>1.3</v>
      </c>
      <c r="H29" t="n">
        <v>0</v>
      </c>
      <c r="I29" t="n">
        <v>1</v>
      </c>
      <c r="J29" t="n">
        <v>0</v>
      </c>
      <c r="K29" t="n">
        <v>0</v>
      </c>
      <c r="L29" t="n">
        <v>0</v>
      </c>
      <c r="M29" t="n">
        <v>0</v>
      </c>
      <c r="N29" t="n">
        <v>0</v>
      </c>
      <c r="O29" t="n">
        <v>0</v>
      </c>
      <c r="P29" t="n">
        <v>0</v>
      </c>
      <c r="Q29" t="n">
        <v>1</v>
      </c>
      <c r="R29" s="2" t="inlineStr">
        <is>
          <t>Tibast</t>
        </is>
      </c>
      <c r="S29">
        <f>HYPERLINK("https://klasma.github.io/Logging_2061/artfynd/A 60407-2019 artfynd.xlsx", "A 60407-2019")</f>
        <v/>
      </c>
      <c r="T29">
        <f>HYPERLINK("https://klasma.github.io/Logging_2061/kartor/A 60407-2019 karta.png", "A 60407-2019")</f>
        <v/>
      </c>
      <c r="V29">
        <f>HYPERLINK("https://klasma.github.io/Logging_2061/klagomål/A 60407-2019 FSC-klagomål.docx", "A 60407-2019")</f>
        <v/>
      </c>
      <c r="W29">
        <f>HYPERLINK("https://klasma.github.io/Logging_2061/klagomålsmail/A 60407-2019 FSC-klagomål mail.docx", "A 60407-2019")</f>
        <v/>
      </c>
      <c r="X29">
        <f>HYPERLINK("https://klasma.github.io/Logging_2061/tillsyn/A 60407-2019 tillsynsbegäran.docx", "A 60407-2019")</f>
        <v/>
      </c>
      <c r="Y29">
        <f>HYPERLINK("https://klasma.github.io/Logging_2061/tillsynsmail/A 60407-2019 tillsynsbegäran mail.docx", "A 60407-2019")</f>
        <v/>
      </c>
    </row>
    <row r="30" ht="15" customHeight="1">
      <c r="A30" t="inlineStr">
        <is>
          <t>A 42272-2021</t>
        </is>
      </c>
      <c r="B30" s="1" t="n">
        <v>44426</v>
      </c>
      <c r="C30" s="1" t="n">
        <v>45575</v>
      </c>
      <c r="D30" t="inlineStr">
        <is>
          <t>DALARNAS LÄN</t>
        </is>
      </c>
      <c r="E30" t="inlineStr">
        <is>
          <t>SMEDJEBACKEN</t>
        </is>
      </c>
      <c r="F30" t="inlineStr">
        <is>
          <t>Bergvik skog väst AB</t>
        </is>
      </c>
      <c r="G30" t="n">
        <v>23.7</v>
      </c>
      <c r="H30" t="n">
        <v>1</v>
      </c>
      <c r="I30" t="n">
        <v>0</v>
      </c>
      <c r="J30" t="n">
        <v>0</v>
      </c>
      <c r="K30" t="n">
        <v>1</v>
      </c>
      <c r="L30" t="n">
        <v>0</v>
      </c>
      <c r="M30" t="n">
        <v>0</v>
      </c>
      <c r="N30" t="n">
        <v>0</v>
      </c>
      <c r="O30" t="n">
        <v>1</v>
      </c>
      <c r="P30" t="n">
        <v>1</v>
      </c>
      <c r="Q30" t="n">
        <v>1</v>
      </c>
      <c r="R30" s="2" t="inlineStr">
        <is>
          <t>Knärot</t>
        </is>
      </c>
      <c r="S30">
        <f>HYPERLINK("https://klasma.github.io/Logging_2061/artfynd/A 42272-2021 artfynd.xlsx", "A 42272-2021")</f>
        <v/>
      </c>
      <c r="T30">
        <f>HYPERLINK("https://klasma.github.io/Logging_2061/kartor/A 42272-2021 karta.png", "A 42272-2021")</f>
        <v/>
      </c>
      <c r="U30">
        <f>HYPERLINK("https://klasma.github.io/Logging_2061/knärot/A 42272-2021 karta knärot.png", "A 42272-2021")</f>
        <v/>
      </c>
      <c r="V30">
        <f>HYPERLINK("https://klasma.github.io/Logging_2061/klagomål/A 42272-2021 FSC-klagomål.docx", "A 42272-2021")</f>
        <v/>
      </c>
      <c r="W30">
        <f>HYPERLINK("https://klasma.github.io/Logging_2061/klagomålsmail/A 42272-2021 FSC-klagomål mail.docx", "A 42272-2021")</f>
        <v/>
      </c>
      <c r="X30">
        <f>HYPERLINK("https://klasma.github.io/Logging_2061/tillsyn/A 42272-2021 tillsynsbegäran.docx", "A 42272-2021")</f>
        <v/>
      </c>
      <c r="Y30">
        <f>HYPERLINK("https://klasma.github.io/Logging_2061/tillsynsmail/A 42272-2021 tillsynsbegäran mail.docx", "A 42272-2021")</f>
        <v/>
      </c>
    </row>
    <row r="31" ht="15" customHeight="1">
      <c r="A31" t="inlineStr">
        <is>
          <t>A 43377-2021</t>
        </is>
      </c>
      <c r="B31" s="1" t="n">
        <v>44432</v>
      </c>
      <c r="C31" s="1" t="n">
        <v>45575</v>
      </c>
      <c r="D31" t="inlineStr">
        <is>
          <t>DALARNAS LÄN</t>
        </is>
      </c>
      <c r="E31" t="inlineStr">
        <is>
          <t>SMEDJEBACKEN</t>
        </is>
      </c>
      <c r="G31" t="n">
        <v>2.6</v>
      </c>
      <c r="H31" t="n">
        <v>0</v>
      </c>
      <c r="I31" t="n">
        <v>1</v>
      </c>
      <c r="J31" t="n">
        <v>0</v>
      </c>
      <c r="K31" t="n">
        <v>0</v>
      </c>
      <c r="L31" t="n">
        <v>0</v>
      </c>
      <c r="M31" t="n">
        <v>0</v>
      </c>
      <c r="N31" t="n">
        <v>0</v>
      </c>
      <c r="O31" t="n">
        <v>0</v>
      </c>
      <c r="P31" t="n">
        <v>0</v>
      </c>
      <c r="Q31" t="n">
        <v>1</v>
      </c>
      <c r="R31" s="2" t="inlineStr">
        <is>
          <t>Fjällig taggsvamp s.str.</t>
        </is>
      </c>
      <c r="S31">
        <f>HYPERLINK("https://klasma.github.io/Logging_2061/artfynd/A 43377-2021 artfynd.xlsx", "A 43377-2021")</f>
        <v/>
      </c>
      <c r="T31">
        <f>HYPERLINK("https://klasma.github.io/Logging_2061/kartor/A 43377-2021 karta.png", "A 43377-2021")</f>
        <v/>
      </c>
      <c r="U31">
        <f>HYPERLINK("https://klasma.github.io/Logging_2061/knärot/A 43377-2021 karta knärot.png", "A 43377-2021")</f>
        <v/>
      </c>
      <c r="V31">
        <f>HYPERLINK("https://klasma.github.io/Logging_2061/klagomål/A 43377-2021 FSC-klagomål.docx", "A 43377-2021")</f>
        <v/>
      </c>
      <c r="W31">
        <f>HYPERLINK("https://klasma.github.io/Logging_2061/klagomålsmail/A 43377-2021 FSC-klagomål mail.docx", "A 43377-2021")</f>
        <v/>
      </c>
      <c r="X31">
        <f>HYPERLINK("https://klasma.github.io/Logging_2061/tillsyn/A 43377-2021 tillsynsbegäran.docx", "A 43377-2021")</f>
        <v/>
      </c>
      <c r="Y31">
        <f>HYPERLINK("https://klasma.github.io/Logging_2061/tillsynsmail/A 43377-2021 tillsynsbegäran mail.docx", "A 43377-2021")</f>
        <v/>
      </c>
    </row>
    <row r="32" ht="15" customHeight="1">
      <c r="A32" t="inlineStr">
        <is>
          <t>A 24549-2022</t>
        </is>
      </c>
      <c r="B32" s="1" t="n">
        <v>44727</v>
      </c>
      <c r="C32" s="1" t="n">
        <v>45575</v>
      </c>
      <c r="D32" t="inlineStr">
        <is>
          <t>DALARNAS LÄN</t>
        </is>
      </c>
      <c r="E32" t="inlineStr">
        <is>
          <t>SMEDJEBACKEN</t>
        </is>
      </c>
      <c r="F32" t="inlineStr">
        <is>
          <t>Bergvik skog väst AB</t>
        </is>
      </c>
      <c r="G32" t="n">
        <v>3.3</v>
      </c>
      <c r="H32" t="n">
        <v>1</v>
      </c>
      <c r="I32" t="n">
        <v>0</v>
      </c>
      <c r="J32" t="n">
        <v>0</v>
      </c>
      <c r="K32" t="n">
        <v>0</v>
      </c>
      <c r="L32" t="n">
        <v>0</v>
      </c>
      <c r="M32" t="n">
        <v>0</v>
      </c>
      <c r="N32" t="n">
        <v>0</v>
      </c>
      <c r="O32" t="n">
        <v>0</v>
      </c>
      <c r="P32" t="n">
        <v>0</v>
      </c>
      <c r="Q32" t="n">
        <v>1</v>
      </c>
      <c r="R32" s="2" t="inlineStr">
        <is>
          <t>Blåsippa</t>
        </is>
      </c>
      <c r="S32">
        <f>HYPERLINK("https://klasma.github.io/Logging_2061/artfynd/A 24549-2022 artfynd.xlsx", "A 24549-2022")</f>
        <v/>
      </c>
      <c r="T32">
        <f>HYPERLINK("https://klasma.github.io/Logging_2061/kartor/A 24549-2022 karta.png", "A 24549-2022")</f>
        <v/>
      </c>
      <c r="V32">
        <f>HYPERLINK("https://klasma.github.io/Logging_2061/klagomål/A 24549-2022 FSC-klagomål.docx", "A 24549-2022")</f>
        <v/>
      </c>
      <c r="W32">
        <f>HYPERLINK("https://klasma.github.io/Logging_2061/klagomålsmail/A 24549-2022 FSC-klagomål mail.docx", "A 24549-2022")</f>
        <v/>
      </c>
      <c r="X32">
        <f>HYPERLINK("https://klasma.github.io/Logging_2061/tillsyn/A 24549-2022 tillsynsbegäran.docx", "A 24549-2022")</f>
        <v/>
      </c>
      <c r="Y32">
        <f>HYPERLINK("https://klasma.github.io/Logging_2061/tillsynsmail/A 24549-2022 tillsynsbegäran mail.docx", "A 24549-2022")</f>
        <v/>
      </c>
    </row>
    <row r="33" ht="15" customHeight="1">
      <c r="A33" t="inlineStr">
        <is>
          <t>A 31803-2022</t>
        </is>
      </c>
      <c r="B33" s="1" t="n">
        <v>44776</v>
      </c>
      <c r="C33" s="1" t="n">
        <v>45575</v>
      </c>
      <c r="D33" t="inlineStr">
        <is>
          <t>DALARNAS LÄN</t>
        </is>
      </c>
      <c r="E33" t="inlineStr">
        <is>
          <t>SMEDJEBACKEN</t>
        </is>
      </c>
      <c r="F33" t="inlineStr">
        <is>
          <t>Bergvik skog väst AB</t>
        </is>
      </c>
      <c r="G33" t="n">
        <v>9.699999999999999</v>
      </c>
      <c r="H33" t="n">
        <v>1</v>
      </c>
      <c r="I33" t="n">
        <v>0</v>
      </c>
      <c r="J33" t="n">
        <v>1</v>
      </c>
      <c r="K33" t="n">
        <v>0</v>
      </c>
      <c r="L33" t="n">
        <v>0</v>
      </c>
      <c r="M33" t="n">
        <v>0</v>
      </c>
      <c r="N33" t="n">
        <v>0</v>
      </c>
      <c r="O33" t="n">
        <v>1</v>
      </c>
      <c r="P33" t="n">
        <v>0</v>
      </c>
      <c r="Q33" t="n">
        <v>1</v>
      </c>
      <c r="R33" s="2" t="inlineStr">
        <is>
          <t>Spillkråka</t>
        </is>
      </c>
      <c r="S33">
        <f>HYPERLINK("https://klasma.github.io/Logging_2061/artfynd/A 31803-2022 artfynd.xlsx", "A 31803-2022")</f>
        <v/>
      </c>
      <c r="T33">
        <f>HYPERLINK("https://klasma.github.io/Logging_2061/kartor/A 31803-2022 karta.png", "A 31803-2022")</f>
        <v/>
      </c>
      <c r="V33">
        <f>HYPERLINK("https://klasma.github.io/Logging_2061/klagomål/A 31803-2022 FSC-klagomål.docx", "A 31803-2022")</f>
        <v/>
      </c>
      <c r="W33">
        <f>HYPERLINK("https://klasma.github.io/Logging_2061/klagomålsmail/A 31803-2022 FSC-klagomål mail.docx", "A 31803-2022")</f>
        <v/>
      </c>
      <c r="X33">
        <f>HYPERLINK("https://klasma.github.io/Logging_2061/tillsyn/A 31803-2022 tillsynsbegäran.docx", "A 31803-2022")</f>
        <v/>
      </c>
      <c r="Y33">
        <f>HYPERLINK("https://klasma.github.io/Logging_2061/tillsynsmail/A 31803-2022 tillsynsbegäran mail.docx", "A 31803-2022")</f>
        <v/>
      </c>
      <c r="Z33">
        <f>HYPERLINK("https://klasma.github.io/Logging_2061/fåglar/A 31803-2022 prioriterade fågelarter.docx", "A 31803-2022")</f>
        <v/>
      </c>
    </row>
    <row r="34" ht="15" customHeight="1">
      <c r="A34" t="inlineStr">
        <is>
          <t>A 31793-2022</t>
        </is>
      </c>
      <c r="B34" s="1" t="n">
        <v>44776</v>
      </c>
      <c r="C34" s="1" t="n">
        <v>45575</v>
      </c>
      <c r="D34" t="inlineStr">
        <is>
          <t>DALARNAS LÄN</t>
        </is>
      </c>
      <c r="E34" t="inlineStr">
        <is>
          <t>SMEDJEBACKEN</t>
        </is>
      </c>
      <c r="F34" t="inlineStr">
        <is>
          <t>Bergvik skog väst AB</t>
        </is>
      </c>
      <c r="G34" t="n">
        <v>6.1</v>
      </c>
      <c r="H34" t="n">
        <v>1</v>
      </c>
      <c r="I34" t="n">
        <v>0</v>
      </c>
      <c r="J34" t="n">
        <v>0</v>
      </c>
      <c r="K34" t="n">
        <v>0</v>
      </c>
      <c r="L34" t="n">
        <v>0</v>
      </c>
      <c r="M34" t="n">
        <v>0</v>
      </c>
      <c r="N34" t="n">
        <v>0</v>
      </c>
      <c r="O34" t="n">
        <v>0</v>
      </c>
      <c r="P34" t="n">
        <v>0</v>
      </c>
      <c r="Q34" t="n">
        <v>1</v>
      </c>
      <c r="R34" s="2" t="inlineStr">
        <is>
          <t>Blåsippa</t>
        </is>
      </c>
      <c r="S34">
        <f>HYPERLINK("https://klasma.github.io/Logging_2061/artfynd/A 31793-2022 artfynd.xlsx", "A 31793-2022")</f>
        <v/>
      </c>
      <c r="T34">
        <f>HYPERLINK("https://klasma.github.io/Logging_2061/kartor/A 31793-2022 karta.png", "A 31793-2022")</f>
        <v/>
      </c>
      <c r="V34">
        <f>HYPERLINK("https://klasma.github.io/Logging_2061/klagomål/A 31793-2022 FSC-klagomål.docx", "A 31793-2022")</f>
        <v/>
      </c>
      <c r="W34">
        <f>HYPERLINK("https://klasma.github.io/Logging_2061/klagomålsmail/A 31793-2022 FSC-klagomål mail.docx", "A 31793-2022")</f>
        <v/>
      </c>
      <c r="X34">
        <f>HYPERLINK("https://klasma.github.io/Logging_2061/tillsyn/A 31793-2022 tillsynsbegäran.docx", "A 31793-2022")</f>
        <v/>
      </c>
      <c r="Y34">
        <f>HYPERLINK("https://klasma.github.io/Logging_2061/tillsynsmail/A 31793-2022 tillsynsbegäran mail.docx", "A 31793-2022")</f>
        <v/>
      </c>
    </row>
    <row r="35" ht="15" customHeight="1">
      <c r="A35" t="inlineStr">
        <is>
          <t>A 41336-2022</t>
        </is>
      </c>
      <c r="B35" s="1" t="n">
        <v>44826</v>
      </c>
      <c r="C35" s="1" t="n">
        <v>45575</v>
      </c>
      <c r="D35" t="inlineStr">
        <is>
          <t>DALARNAS LÄN</t>
        </is>
      </c>
      <c r="E35" t="inlineStr">
        <is>
          <t>SMEDJEBACKEN</t>
        </is>
      </c>
      <c r="G35" t="n">
        <v>2.3</v>
      </c>
      <c r="H35" t="n">
        <v>1</v>
      </c>
      <c r="I35" t="n">
        <v>0</v>
      </c>
      <c r="J35" t="n">
        <v>1</v>
      </c>
      <c r="K35" t="n">
        <v>0</v>
      </c>
      <c r="L35" t="n">
        <v>0</v>
      </c>
      <c r="M35" t="n">
        <v>0</v>
      </c>
      <c r="N35" t="n">
        <v>0</v>
      </c>
      <c r="O35" t="n">
        <v>1</v>
      </c>
      <c r="P35" t="n">
        <v>0</v>
      </c>
      <c r="Q35" t="n">
        <v>1</v>
      </c>
      <c r="R35" s="2" t="inlineStr">
        <is>
          <t>Spillkråka</t>
        </is>
      </c>
      <c r="S35">
        <f>HYPERLINK("https://klasma.github.io/Logging_2061/artfynd/A 41336-2022 artfynd.xlsx", "A 41336-2022")</f>
        <v/>
      </c>
      <c r="T35">
        <f>HYPERLINK("https://klasma.github.io/Logging_2061/kartor/A 41336-2022 karta.png", "A 41336-2022")</f>
        <v/>
      </c>
      <c r="V35">
        <f>HYPERLINK("https://klasma.github.io/Logging_2061/klagomål/A 41336-2022 FSC-klagomål.docx", "A 41336-2022")</f>
        <v/>
      </c>
      <c r="W35">
        <f>HYPERLINK("https://klasma.github.io/Logging_2061/klagomålsmail/A 41336-2022 FSC-klagomål mail.docx", "A 41336-2022")</f>
        <v/>
      </c>
      <c r="X35">
        <f>HYPERLINK("https://klasma.github.io/Logging_2061/tillsyn/A 41336-2022 tillsynsbegäran.docx", "A 41336-2022")</f>
        <v/>
      </c>
      <c r="Y35">
        <f>HYPERLINK("https://klasma.github.io/Logging_2061/tillsynsmail/A 41336-2022 tillsynsbegäran mail.docx", "A 41336-2022")</f>
        <v/>
      </c>
      <c r="Z35">
        <f>HYPERLINK("https://klasma.github.io/Logging_2061/fåglar/A 41336-2022 prioriterade fågelarter.docx", "A 41336-2022")</f>
        <v/>
      </c>
    </row>
    <row r="36" ht="15" customHeight="1">
      <c r="A36" t="inlineStr">
        <is>
          <t>A 41584-2022</t>
        </is>
      </c>
      <c r="B36" s="1" t="n">
        <v>44827</v>
      </c>
      <c r="C36" s="1" t="n">
        <v>45575</v>
      </c>
      <c r="D36" t="inlineStr">
        <is>
          <t>DALARNAS LÄN</t>
        </is>
      </c>
      <c r="E36" t="inlineStr">
        <is>
          <t>SMEDJEBACKEN</t>
        </is>
      </c>
      <c r="G36" t="n">
        <v>8.699999999999999</v>
      </c>
      <c r="H36" t="n">
        <v>0</v>
      </c>
      <c r="I36" t="n">
        <v>0</v>
      </c>
      <c r="J36" t="n">
        <v>0</v>
      </c>
      <c r="K36" t="n">
        <v>1</v>
      </c>
      <c r="L36" t="n">
        <v>0</v>
      </c>
      <c r="M36" t="n">
        <v>0</v>
      </c>
      <c r="N36" t="n">
        <v>0</v>
      </c>
      <c r="O36" t="n">
        <v>1</v>
      </c>
      <c r="P36" t="n">
        <v>1</v>
      </c>
      <c r="Q36" t="n">
        <v>1</v>
      </c>
      <c r="R36" s="2" t="inlineStr">
        <is>
          <t>Gaffelskinn</t>
        </is>
      </c>
      <c r="S36">
        <f>HYPERLINK("https://klasma.github.io/Logging_2061/artfynd/A 41584-2022 artfynd.xlsx", "A 41584-2022")</f>
        <v/>
      </c>
      <c r="T36">
        <f>HYPERLINK("https://klasma.github.io/Logging_2061/kartor/A 41584-2022 karta.png", "A 41584-2022")</f>
        <v/>
      </c>
      <c r="V36">
        <f>HYPERLINK("https://klasma.github.io/Logging_2061/klagomål/A 41584-2022 FSC-klagomål.docx", "A 41584-2022")</f>
        <v/>
      </c>
      <c r="W36">
        <f>HYPERLINK("https://klasma.github.io/Logging_2061/klagomålsmail/A 41584-2022 FSC-klagomål mail.docx", "A 41584-2022")</f>
        <v/>
      </c>
      <c r="X36">
        <f>HYPERLINK("https://klasma.github.io/Logging_2061/tillsyn/A 41584-2022 tillsynsbegäran.docx", "A 41584-2022")</f>
        <v/>
      </c>
      <c r="Y36">
        <f>HYPERLINK("https://klasma.github.io/Logging_2061/tillsynsmail/A 41584-2022 tillsynsbegäran mail.docx", "A 41584-2022")</f>
        <v/>
      </c>
    </row>
    <row r="37" ht="15" customHeight="1">
      <c r="A37" t="inlineStr">
        <is>
          <t>A 41870-2022</t>
        </is>
      </c>
      <c r="B37" s="1" t="n">
        <v>44829</v>
      </c>
      <c r="C37" s="1" t="n">
        <v>45575</v>
      </c>
      <c r="D37" t="inlineStr">
        <is>
          <t>DALARNAS LÄN</t>
        </is>
      </c>
      <c r="E37" t="inlineStr">
        <is>
          <t>SMEDJEBACKEN</t>
        </is>
      </c>
      <c r="G37" t="n">
        <v>0.7</v>
      </c>
      <c r="H37" t="n">
        <v>0</v>
      </c>
      <c r="I37" t="n">
        <v>1</v>
      </c>
      <c r="J37" t="n">
        <v>0</v>
      </c>
      <c r="K37" t="n">
        <v>0</v>
      </c>
      <c r="L37" t="n">
        <v>0</v>
      </c>
      <c r="M37" t="n">
        <v>0</v>
      </c>
      <c r="N37" t="n">
        <v>0</v>
      </c>
      <c r="O37" t="n">
        <v>0</v>
      </c>
      <c r="P37" t="n">
        <v>0</v>
      </c>
      <c r="Q37" t="n">
        <v>1</v>
      </c>
      <c r="R37" s="2" t="inlineStr">
        <is>
          <t>Dropptaggsvamp</t>
        </is>
      </c>
      <c r="S37">
        <f>HYPERLINK("https://klasma.github.io/Logging_2061/artfynd/A 41870-2022 artfynd.xlsx", "A 41870-2022")</f>
        <v/>
      </c>
      <c r="T37">
        <f>HYPERLINK("https://klasma.github.io/Logging_2061/kartor/A 41870-2022 karta.png", "A 41870-2022")</f>
        <v/>
      </c>
      <c r="V37">
        <f>HYPERLINK("https://klasma.github.io/Logging_2061/klagomål/A 41870-2022 FSC-klagomål.docx", "A 41870-2022")</f>
        <v/>
      </c>
      <c r="W37">
        <f>HYPERLINK("https://klasma.github.io/Logging_2061/klagomålsmail/A 41870-2022 FSC-klagomål mail.docx", "A 41870-2022")</f>
        <v/>
      </c>
      <c r="X37">
        <f>HYPERLINK("https://klasma.github.io/Logging_2061/tillsyn/A 41870-2022 tillsynsbegäran.docx", "A 41870-2022")</f>
        <v/>
      </c>
      <c r="Y37">
        <f>HYPERLINK("https://klasma.github.io/Logging_2061/tillsynsmail/A 41870-2022 tillsynsbegäran mail.docx", "A 41870-2022")</f>
        <v/>
      </c>
    </row>
    <row r="38" ht="15" customHeight="1">
      <c r="A38" t="inlineStr">
        <is>
          <t>A 15124-2023</t>
        </is>
      </c>
      <c r="B38" s="1" t="n">
        <v>45015</v>
      </c>
      <c r="C38" s="1" t="n">
        <v>45575</v>
      </c>
      <c r="D38" t="inlineStr">
        <is>
          <t>DALARNAS LÄN</t>
        </is>
      </c>
      <c r="E38" t="inlineStr">
        <is>
          <t>SMEDJEBACKEN</t>
        </is>
      </c>
      <c r="F38" t="inlineStr">
        <is>
          <t>Bergvik skog väst AB</t>
        </is>
      </c>
      <c r="G38" t="n">
        <v>6.2</v>
      </c>
      <c r="H38" t="n">
        <v>0</v>
      </c>
      <c r="I38" t="n">
        <v>0</v>
      </c>
      <c r="J38" t="n">
        <v>1</v>
      </c>
      <c r="K38" t="n">
        <v>0</v>
      </c>
      <c r="L38" t="n">
        <v>0</v>
      </c>
      <c r="M38" t="n">
        <v>0</v>
      </c>
      <c r="N38" t="n">
        <v>0</v>
      </c>
      <c r="O38" t="n">
        <v>1</v>
      </c>
      <c r="P38" t="n">
        <v>0</v>
      </c>
      <c r="Q38" t="n">
        <v>1</v>
      </c>
      <c r="R38" s="2" t="inlineStr">
        <is>
          <t>Skogsklocka</t>
        </is>
      </c>
      <c r="S38">
        <f>HYPERLINK("https://klasma.github.io/Logging_2061/artfynd/A 15124-2023 artfynd.xlsx", "A 15124-2023")</f>
        <v/>
      </c>
      <c r="T38">
        <f>HYPERLINK("https://klasma.github.io/Logging_2061/kartor/A 15124-2023 karta.png", "A 15124-2023")</f>
        <v/>
      </c>
      <c r="V38">
        <f>HYPERLINK("https://klasma.github.io/Logging_2061/klagomål/A 15124-2023 FSC-klagomål.docx", "A 15124-2023")</f>
        <v/>
      </c>
      <c r="W38">
        <f>HYPERLINK("https://klasma.github.io/Logging_2061/klagomålsmail/A 15124-2023 FSC-klagomål mail.docx", "A 15124-2023")</f>
        <v/>
      </c>
      <c r="X38">
        <f>HYPERLINK("https://klasma.github.io/Logging_2061/tillsyn/A 15124-2023 tillsynsbegäran.docx", "A 15124-2023")</f>
        <v/>
      </c>
      <c r="Y38">
        <f>HYPERLINK("https://klasma.github.io/Logging_2061/tillsynsmail/A 15124-2023 tillsynsbegäran mail.docx", "A 15124-2023")</f>
        <v/>
      </c>
    </row>
    <row r="39" ht="15" customHeight="1">
      <c r="A39" t="inlineStr">
        <is>
          <t>A 21423-2023</t>
        </is>
      </c>
      <c r="B39" s="1" t="n">
        <v>45063</v>
      </c>
      <c r="C39" s="1" t="n">
        <v>45575</v>
      </c>
      <c r="D39" t="inlineStr">
        <is>
          <t>DALARNAS LÄN</t>
        </is>
      </c>
      <c r="E39" t="inlineStr">
        <is>
          <t>SMEDJEBACKEN</t>
        </is>
      </c>
      <c r="F39" t="inlineStr">
        <is>
          <t>Bergvik skog väst AB</t>
        </is>
      </c>
      <c r="G39" t="n">
        <v>0.5</v>
      </c>
      <c r="H39" t="n">
        <v>1</v>
      </c>
      <c r="I39" t="n">
        <v>0</v>
      </c>
      <c r="J39" t="n">
        <v>0</v>
      </c>
      <c r="K39" t="n">
        <v>0</v>
      </c>
      <c r="L39" t="n">
        <v>0</v>
      </c>
      <c r="M39" t="n">
        <v>0</v>
      </c>
      <c r="N39" t="n">
        <v>0</v>
      </c>
      <c r="O39" t="n">
        <v>0</v>
      </c>
      <c r="P39" t="n">
        <v>0</v>
      </c>
      <c r="Q39" t="n">
        <v>1</v>
      </c>
      <c r="R39" s="2" t="inlineStr">
        <is>
          <t>Törnskata</t>
        </is>
      </c>
      <c r="S39">
        <f>HYPERLINK("https://klasma.github.io/Logging_2061/artfynd/A 21423-2023 artfynd.xlsx", "A 21423-2023")</f>
        <v/>
      </c>
      <c r="T39">
        <f>HYPERLINK("https://klasma.github.io/Logging_2061/kartor/A 21423-2023 karta.png", "A 21423-2023")</f>
        <v/>
      </c>
      <c r="V39">
        <f>HYPERLINK("https://klasma.github.io/Logging_2061/klagomål/A 21423-2023 FSC-klagomål.docx", "A 21423-2023")</f>
        <v/>
      </c>
      <c r="W39">
        <f>HYPERLINK("https://klasma.github.io/Logging_2061/klagomålsmail/A 21423-2023 FSC-klagomål mail.docx", "A 21423-2023")</f>
        <v/>
      </c>
      <c r="X39">
        <f>HYPERLINK("https://klasma.github.io/Logging_2061/tillsyn/A 21423-2023 tillsynsbegäran.docx", "A 21423-2023")</f>
        <v/>
      </c>
      <c r="Y39">
        <f>HYPERLINK("https://klasma.github.io/Logging_2061/tillsynsmail/A 21423-2023 tillsynsbegäran mail.docx", "A 21423-2023")</f>
        <v/>
      </c>
      <c r="Z39">
        <f>HYPERLINK("https://klasma.github.io/Logging_2061/fåglar/A 21423-2023 prioriterade fågelarter.docx", "A 21423-2023")</f>
        <v/>
      </c>
    </row>
    <row r="40" ht="15" customHeight="1">
      <c r="A40" t="inlineStr">
        <is>
          <t>A 46775-2023</t>
        </is>
      </c>
      <c r="B40" s="1" t="n">
        <v>45198</v>
      </c>
      <c r="C40" s="1" t="n">
        <v>45575</v>
      </c>
      <c r="D40" t="inlineStr">
        <is>
          <t>DALARNAS LÄN</t>
        </is>
      </c>
      <c r="E40" t="inlineStr">
        <is>
          <t>SMEDJEBACKEN</t>
        </is>
      </c>
      <c r="F40" t="inlineStr">
        <is>
          <t>Bergvik skog väst AB</t>
        </is>
      </c>
      <c r="G40" t="n">
        <v>1</v>
      </c>
      <c r="H40" t="n">
        <v>0</v>
      </c>
      <c r="I40" t="n">
        <v>1</v>
      </c>
      <c r="J40" t="n">
        <v>0</v>
      </c>
      <c r="K40" t="n">
        <v>0</v>
      </c>
      <c r="L40" t="n">
        <v>0</v>
      </c>
      <c r="M40" t="n">
        <v>0</v>
      </c>
      <c r="N40" t="n">
        <v>0</v>
      </c>
      <c r="O40" t="n">
        <v>0</v>
      </c>
      <c r="P40" t="n">
        <v>0</v>
      </c>
      <c r="Q40" t="n">
        <v>1</v>
      </c>
      <c r="R40" s="2" t="inlineStr">
        <is>
          <t>Tibast</t>
        </is>
      </c>
      <c r="S40">
        <f>HYPERLINK("https://klasma.github.io/Logging_2061/artfynd/A 46775-2023 artfynd.xlsx", "A 46775-2023")</f>
        <v/>
      </c>
      <c r="T40">
        <f>HYPERLINK("https://klasma.github.io/Logging_2061/kartor/A 46775-2023 karta.png", "A 46775-2023")</f>
        <v/>
      </c>
      <c r="V40">
        <f>HYPERLINK("https://klasma.github.io/Logging_2061/klagomål/A 46775-2023 FSC-klagomål.docx", "A 46775-2023")</f>
        <v/>
      </c>
      <c r="W40">
        <f>HYPERLINK("https://klasma.github.io/Logging_2061/klagomålsmail/A 46775-2023 FSC-klagomål mail.docx", "A 46775-2023")</f>
        <v/>
      </c>
      <c r="X40">
        <f>HYPERLINK("https://klasma.github.io/Logging_2061/tillsyn/A 46775-2023 tillsynsbegäran.docx", "A 46775-2023")</f>
        <v/>
      </c>
      <c r="Y40">
        <f>HYPERLINK("https://klasma.github.io/Logging_2061/tillsynsmail/A 46775-2023 tillsynsbegäran mail.docx", "A 46775-2023")</f>
        <v/>
      </c>
    </row>
    <row r="41" ht="15" customHeight="1">
      <c r="A41" t="inlineStr">
        <is>
          <t>A 46752-2023</t>
        </is>
      </c>
      <c r="B41" s="1" t="n">
        <v>45198</v>
      </c>
      <c r="C41" s="1" t="n">
        <v>45575</v>
      </c>
      <c r="D41" t="inlineStr">
        <is>
          <t>DALARNAS LÄN</t>
        </is>
      </c>
      <c r="E41" t="inlineStr">
        <is>
          <t>SMEDJEBACKEN</t>
        </is>
      </c>
      <c r="F41" t="inlineStr">
        <is>
          <t>Bergvik skog väst AB</t>
        </is>
      </c>
      <c r="G41" t="n">
        <v>2.4</v>
      </c>
      <c r="H41" t="n">
        <v>0</v>
      </c>
      <c r="I41" t="n">
        <v>1</v>
      </c>
      <c r="J41" t="n">
        <v>0</v>
      </c>
      <c r="K41" t="n">
        <v>0</v>
      </c>
      <c r="L41" t="n">
        <v>0</v>
      </c>
      <c r="M41" t="n">
        <v>0</v>
      </c>
      <c r="N41" t="n">
        <v>0</v>
      </c>
      <c r="O41" t="n">
        <v>0</v>
      </c>
      <c r="P41" t="n">
        <v>0</v>
      </c>
      <c r="Q41" t="n">
        <v>1</v>
      </c>
      <c r="R41" s="2" t="inlineStr">
        <is>
          <t>Tibast</t>
        </is>
      </c>
      <c r="S41">
        <f>HYPERLINK("https://klasma.github.io/Logging_2061/artfynd/A 46752-2023 artfynd.xlsx", "A 46752-2023")</f>
        <v/>
      </c>
      <c r="T41">
        <f>HYPERLINK("https://klasma.github.io/Logging_2061/kartor/A 46752-2023 karta.png", "A 46752-2023")</f>
        <v/>
      </c>
      <c r="V41">
        <f>HYPERLINK("https://klasma.github.io/Logging_2061/klagomål/A 46752-2023 FSC-klagomål.docx", "A 46752-2023")</f>
        <v/>
      </c>
      <c r="W41">
        <f>HYPERLINK("https://klasma.github.io/Logging_2061/klagomålsmail/A 46752-2023 FSC-klagomål mail.docx", "A 46752-2023")</f>
        <v/>
      </c>
      <c r="X41">
        <f>HYPERLINK("https://klasma.github.io/Logging_2061/tillsyn/A 46752-2023 tillsynsbegäran.docx", "A 46752-2023")</f>
        <v/>
      </c>
      <c r="Y41">
        <f>HYPERLINK("https://klasma.github.io/Logging_2061/tillsynsmail/A 46752-2023 tillsynsbegäran mail.docx", "A 46752-2023")</f>
        <v/>
      </c>
    </row>
    <row r="42" ht="15" customHeight="1">
      <c r="A42" t="inlineStr">
        <is>
          <t>A 46779-2023</t>
        </is>
      </c>
      <c r="B42" s="1" t="n">
        <v>45198</v>
      </c>
      <c r="C42" s="1" t="n">
        <v>45575</v>
      </c>
      <c r="D42" t="inlineStr">
        <is>
          <t>DALARNAS LÄN</t>
        </is>
      </c>
      <c r="E42" t="inlineStr">
        <is>
          <t>SMEDJEBACKEN</t>
        </is>
      </c>
      <c r="F42" t="inlineStr">
        <is>
          <t>Bergvik skog väst AB</t>
        </is>
      </c>
      <c r="G42" t="n">
        <v>14.2</v>
      </c>
      <c r="H42" t="n">
        <v>1</v>
      </c>
      <c r="I42" t="n">
        <v>0</v>
      </c>
      <c r="J42" t="n">
        <v>0</v>
      </c>
      <c r="K42" t="n">
        <v>1</v>
      </c>
      <c r="L42" t="n">
        <v>0</v>
      </c>
      <c r="M42" t="n">
        <v>0</v>
      </c>
      <c r="N42" t="n">
        <v>0</v>
      </c>
      <c r="O42" t="n">
        <v>1</v>
      </c>
      <c r="P42" t="n">
        <v>1</v>
      </c>
      <c r="Q42" t="n">
        <v>1</v>
      </c>
      <c r="R42" s="2" t="inlineStr">
        <is>
          <t>Väddnätfjäril</t>
        </is>
      </c>
      <c r="S42">
        <f>HYPERLINK("https://klasma.github.io/Logging_2061/artfynd/A 46779-2023 artfynd.xlsx", "A 46779-2023")</f>
        <v/>
      </c>
      <c r="T42">
        <f>HYPERLINK("https://klasma.github.io/Logging_2061/kartor/A 46779-2023 karta.png", "A 46779-2023")</f>
        <v/>
      </c>
      <c r="V42">
        <f>HYPERLINK("https://klasma.github.io/Logging_2061/klagomål/A 46779-2023 FSC-klagomål.docx", "A 46779-2023")</f>
        <v/>
      </c>
      <c r="W42">
        <f>HYPERLINK("https://klasma.github.io/Logging_2061/klagomålsmail/A 46779-2023 FSC-klagomål mail.docx", "A 46779-2023")</f>
        <v/>
      </c>
      <c r="X42">
        <f>HYPERLINK("https://klasma.github.io/Logging_2061/tillsyn/A 46779-2023 tillsynsbegäran.docx", "A 46779-2023")</f>
        <v/>
      </c>
      <c r="Y42">
        <f>HYPERLINK("https://klasma.github.io/Logging_2061/tillsynsmail/A 46779-2023 tillsynsbegäran mail.docx", "A 46779-2023")</f>
        <v/>
      </c>
    </row>
    <row r="43" ht="15" customHeight="1">
      <c r="A43" t="inlineStr">
        <is>
          <t>A 54156-2023</t>
        </is>
      </c>
      <c r="B43" s="1" t="n">
        <v>45225</v>
      </c>
      <c r="C43" s="1" t="n">
        <v>45575</v>
      </c>
      <c r="D43" t="inlineStr">
        <is>
          <t>DALARNAS LÄN</t>
        </is>
      </c>
      <c r="E43" t="inlineStr">
        <is>
          <t>SMEDJEBACKEN</t>
        </is>
      </c>
      <c r="F43" t="inlineStr">
        <is>
          <t>Bergvik skog väst AB</t>
        </is>
      </c>
      <c r="G43" t="n">
        <v>26.3</v>
      </c>
      <c r="H43" t="n">
        <v>1</v>
      </c>
      <c r="I43" t="n">
        <v>0</v>
      </c>
      <c r="J43" t="n">
        <v>0</v>
      </c>
      <c r="K43" t="n">
        <v>0</v>
      </c>
      <c r="L43" t="n">
        <v>0</v>
      </c>
      <c r="M43" t="n">
        <v>0</v>
      </c>
      <c r="N43" t="n">
        <v>0</v>
      </c>
      <c r="O43" t="n">
        <v>0</v>
      </c>
      <c r="P43" t="n">
        <v>0</v>
      </c>
      <c r="Q43" t="n">
        <v>1</v>
      </c>
      <c r="R43" s="2" t="inlineStr">
        <is>
          <t>Revlummer</t>
        </is>
      </c>
      <c r="S43">
        <f>HYPERLINK("https://klasma.github.io/Logging_2061/artfynd/A 54156-2023 artfynd.xlsx", "A 54156-2023")</f>
        <v/>
      </c>
      <c r="T43">
        <f>HYPERLINK("https://klasma.github.io/Logging_2061/kartor/A 54156-2023 karta.png", "A 54156-2023")</f>
        <v/>
      </c>
      <c r="V43">
        <f>HYPERLINK("https://klasma.github.io/Logging_2061/klagomål/A 54156-2023 FSC-klagomål.docx", "A 54156-2023")</f>
        <v/>
      </c>
      <c r="W43">
        <f>HYPERLINK("https://klasma.github.io/Logging_2061/klagomålsmail/A 54156-2023 FSC-klagomål mail.docx", "A 54156-2023")</f>
        <v/>
      </c>
      <c r="X43">
        <f>HYPERLINK("https://klasma.github.io/Logging_2061/tillsyn/A 54156-2023 tillsynsbegäran.docx", "A 54156-2023")</f>
        <v/>
      </c>
      <c r="Y43">
        <f>HYPERLINK("https://klasma.github.io/Logging_2061/tillsynsmail/A 54156-2023 tillsynsbegäran mail.docx", "A 54156-2023")</f>
        <v/>
      </c>
    </row>
    <row r="44" ht="15" customHeight="1">
      <c r="A44" t="inlineStr">
        <is>
          <t>A 52958-2023</t>
        </is>
      </c>
      <c r="B44" s="1" t="n">
        <v>45226</v>
      </c>
      <c r="C44" s="1" t="n">
        <v>45575</v>
      </c>
      <c r="D44" t="inlineStr">
        <is>
          <t>DALARNAS LÄN</t>
        </is>
      </c>
      <c r="E44" t="inlineStr">
        <is>
          <t>SMEDJEBACKEN</t>
        </is>
      </c>
      <c r="F44" t="inlineStr">
        <is>
          <t>Sveaskog</t>
        </is>
      </c>
      <c r="G44" t="n">
        <v>4.9</v>
      </c>
      <c r="H44" t="n">
        <v>0</v>
      </c>
      <c r="I44" t="n">
        <v>0</v>
      </c>
      <c r="J44" t="n">
        <v>1</v>
      </c>
      <c r="K44" t="n">
        <v>0</v>
      </c>
      <c r="L44" t="n">
        <v>0</v>
      </c>
      <c r="M44" t="n">
        <v>0</v>
      </c>
      <c r="N44" t="n">
        <v>0</v>
      </c>
      <c r="O44" t="n">
        <v>1</v>
      </c>
      <c r="P44" t="n">
        <v>0</v>
      </c>
      <c r="Q44" t="n">
        <v>1</v>
      </c>
      <c r="R44" s="2" t="inlineStr">
        <is>
          <t>Motaggsvamp</t>
        </is>
      </c>
      <c r="S44">
        <f>HYPERLINK("https://klasma.github.io/Logging_2061/artfynd/A 52958-2023 artfynd.xlsx", "A 52958-2023")</f>
        <v/>
      </c>
      <c r="T44">
        <f>HYPERLINK("https://klasma.github.io/Logging_2061/kartor/A 52958-2023 karta.png", "A 52958-2023")</f>
        <v/>
      </c>
      <c r="V44">
        <f>HYPERLINK("https://klasma.github.io/Logging_2061/klagomål/A 52958-2023 FSC-klagomål.docx", "A 52958-2023")</f>
        <v/>
      </c>
      <c r="W44">
        <f>HYPERLINK("https://klasma.github.io/Logging_2061/klagomålsmail/A 52958-2023 FSC-klagomål mail.docx", "A 52958-2023")</f>
        <v/>
      </c>
      <c r="X44">
        <f>HYPERLINK("https://klasma.github.io/Logging_2061/tillsyn/A 52958-2023 tillsynsbegäran.docx", "A 52958-2023")</f>
        <v/>
      </c>
      <c r="Y44">
        <f>HYPERLINK("https://klasma.github.io/Logging_2061/tillsynsmail/A 52958-2023 tillsynsbegäran mail.docx", "A 52958-2023")</f>
        <v/>
      </c>
    </row>
    <row r="45" ht="15" customHeight="1">
      <c r="A45" t="inlineStr">
        <is>
          <t>A 52953-2023</t>
        </is>
      </c>
      <c r="B45" s="1" t="n">
        <v>45226</v>
      </c>
      <c r="C45" s="1" t="n">
        <v>45575</v>
      </c>
      <c r="D45" t="inlineStr">
        <is>
          <t>DALARNAS LÄN</t>
        </is>
      </c>
      <c r="E45" t="inlineStr">
        <is>
          <t>SMEDJEBACKEN</t>
        </is>
      </c>
      <c r="F45" t="inlineStr">
        <is>
          <t>Sveaskog</t>
        </is>
      </c>
      <c r="G45" t="n">
        <v>0.9</v>
      </c>
      <c r="H45" t="n">
        <v>0</v>
      </c>
      <c r="I45" t="n">
        <v>0</v>
      </c>
      <c r="J45" t="n">
        <v>1</v>
      </c>
      <c r="K45" t="n">
        <v>0</v>
      </c>
      <c r="L45" t="n">
        <v>0</v>
      </c>
      <c r="M45" t="n">
        <v>0</v>
      </c>
      <c r="N45" t="n">
        <v>0</v>
      </c>
      <c r="O45" t="n">
        <v>1</v>
      </c>
      <c r="P45" t="n">
        <v>0</v>
      </c>
      <c r="Q45" t="n">
        <v>1</v>
      </c>
      <c r="R45" s="2" t="inlineStr">
        <is>
          <t>Motaggsvamp</t>
        </is>
      </c>
      <c r="S45">
        <f>HYPERLINK("https://klasma.github.io/Logging_2061/artfynd/A 52953-2023 artfynd.xlsx", "A 52953-2023")</f>
        <v/>
      </c>
      <c r="T45">
        <f>HYPERLINK("https://klasma.github.io/Logging_2061/kartor/A 52953-2023 karta.png", "A 52953-2023")</f>
        <v/>
      </c>
      <c r="V45">
        <f>HYPERLINK("https://klasma.github.io/Logging_2061/klagomål/A 52953-2023 FSC-klagomål.docx", "A 52953-2023")</f>
        <v/>
      </c>
      <c r="W45">
        <f>HYPERLINK("https://klasma.github.io/Logging_2061/klagomålsmail/A 52953-2023 FSC-klagomål mail.docx", "A 52953-2023")</f>
        <v/>
      </c>
      <c r="X45">
        <f>HYPERLINK("https://klasma.github.io/Logging_2061/tillsyn/A 52953-2023 tillsynsbegäran.docx", "A 52953-2023")</f>
        <v/>
      </c>
      <c r="Y45">
        <f>HYPERLINK("https://klasma.github.io/Logging_2061/tillsynsmail/A 52953-2023 tillsynsbegäran mail.docx", "A 52953-2023")</f>
        <v/>
      </c>
    </row>
    <row r="46" ht="15" customHeight="1">
      <c r="A46" t="inlineStr">
        <is>
          <t>A 55476-2023</t>
        </is>
      </c>
      <c r="B46" s="1" t="n">
        <v>45231</v>
      </c>
      <c r="C46" s="1" t="n">
        <v>45575</v>
      </c>
      <c r="D46" t="inlineStr">
        <is>
          <t>DALARNAS LÄN</t>
        </is>
      </c>
      <c r="E46" t="inlineStr">
        <is>
          <t>SMEDJEBACKEN</t>
        </is>
      </c>
      <c r="F46" t="inlineStr">
        <is>
          <t>Bergvik skog väst AB</t>
        </is>
      </c>
      <c r="G46" t="n">
        <v>16.3</v>
      </c>
      <c r="H46" t="n">
        <v>1</v>
      </c>
      <c r="I46" t="n">
        <v>0</v>
      </c>
      <c r="J46" t="n">
        <v>0</v>
      </c>
      <c r="K46" t="n">
        <v>0</v>
      </c>
      <c r="L46" t="n">
        <v>0</v>
      </c>
      <c r="M46" t="n">
        <v>0</v>
      </c>
      <c r="N46" t="n">
        <v>0</v>
      </c>
      <c r="O46" t="n">
        <v>0</v>
      </c>
      <c r="P46" t="n">
        <v>0</v>
      </c>
      <c r="Q46" t="n">
        <v>1</v>
      </c>
      <c r="R46" s="2" t="inlineStr">
        <is>
          <t>Revlummer</t>
        </is>
      </c>
      <c r="S46">
        <f>HYPERLINK("https://klasma.github.io/Logging_2061/artfynd/A 55476-2023 artfynd.xlsx", "A 55476-2023")</f>
        <v/>
      </c>
      <c r="T46">
        <f>HYPERLINK("https://klasma.github.io/Logging_2061/kartor/A 55476-2023 karta.png", "A 55476-2023")</f>
        <v/>
      </c>
      <c r="V46">
        <f>HYPERLINK("https://klasma.github.io/Logging_2061/klagomål/A 55476-2023 FSC-klagomål.docx", "A 55476-2023")</f>
        <v/>
      </c>
      <c r="W46">
        <f>HYPERLINK("https://klasma.github.io/Logging_2061/klagomålsmail/A 55476-2023 FSC-klagomål mail.docx", "A 55476-2023")</f>
        <v/>
      </c>
      <c r="X46">
        <f>HYPERLINK("https://klasma.github.io/Logging_2061/tillsyn/A 55476-2023 tillsynsbegäran.docx", "A 55476-2023")</f>
        <v/>
      </c>
      <c r="Y46">
        <f>HYPERLINK("https://klasma.github.io/Logging_2061/tillsynsmail/A 55476-2023 tillsynsbegäran mail.docx", "A 55476-2023")</f>
        <v/>
      </c>
    </row>
    <row r="47" ht="15" customHeight="1">
      <c r="A47" t="inlineStr">
        <is>
          <t>A 15389-2024</t>
        </is>
      </c>
      <c r="B47" s="1" t="n">
        <v>45401</v>
      </c>
      <c r="C47" s="1" t="n">
        <v>45575</v>
      </c>
      <c r="D47" t="inlineStr">
        <is>
          <t>DALARNAS LÄN</t>
        </is>
      </c>
      <c r="E47" t="inlineStr">
        <is>
          <t>SMEDJEBACKEN</t>
        </is>
      </c>
      <c r="F47" t="inlineStr">
        <is>
          <t>Sveaskog</t>
        </is>
      </c>
      <c r="G47" t="n">
        <v>2.8</v>
      </c>
      <c r="H47" t="n">
        <v>0</v>
      </c>
      <c r="I47" t="n">
        <v>1</v>
      </c>
      <c r="J47" t="n">
        <v>0</v>
      </c>
      <c r="K47" t="n">
        <v>0</v>
      </c>
      <c r="L47" t="n">
        <v>0</v>
      </c>
      <c r="M47" t="n">
        <v>0</v>
      </c>
      <c r="N47" t="n">
        <v>0</v>
      </c>
      <c r="O47" t="n">
        <v>0</v>
      </c>
      <c r="P47" t="n">
        <v>0</v>
      </c>
      <c r="Q47" t="n">
        <v>1</v>
      </c>
      <c r="R47" s="2" t="inlineStr">
        <is>
          <t>Svavelriska</t>
        </is>
      </c>
      <c r="S47">
        <f>HYPERLINK("https://klasma.github.io/Logging_2061/artfynd/A 15389-2024 artfynd.xlsx", "A 15389-2024")</f>
        <v/>
      </c>
      <c r="T47">
        <f>HYPERLINK("https://klasma.github.io/Logging_2061/kartor/A 15389-2024 karta.png", "A 15389-2024")</f>
        <v/>
      </c>
      <c r="V47">
        <f>HYPERLINK("https://klasma.github.io/Logging_2061/klagomål/A 15389-2024 FSC-klagomål.docx", "A 15389-2024")</f>
        <v/>
      </c>
      <c r="W47">
        <f>HYPERLINK("https://klasma.github.io/Logging_2061/klagomålsmail/A 15389-2024 FSC-klagomål mail.docx", "A 15389-2024")</f>
        <v/>
      </c>
      <c r="X47">
        <f>HYPERLINK("https://klasma.github.io/Logging_2061/tillsyn/A 15389-2024 tillsynsbegäran.docx", "A 15389-2024")</f>
        <v/>
      </c>
      <c r="Y47">
        <f>HYPERLINK("https://klasma.github.io/Logging_2061/tillsynsmail/A 15389-2024 tillsynsbegäran mail.docx", "A 15389-2024")</f>
        <v/>
      </c>
    </row>
    <row r="48" ht="15" customHeight="1">
      <c r="A48" t="inlineStr">
        <is>
          <t>A 18020-2024</t>
        </is>
      </c>
      <c r="B48" s="1" t="n">
        <v>45420</v>
      </c>
      <c r="C48" s="1" t="n">
        <v>45575</v>
      </c>
      <c r="D48" t="inlineStr">
        <is>
          <t>DALARNAS LÄN</t>
        </is>
      </c>
      <c r="E48" t="inlineStr">
        <is>
          <t>SMEDJEBACKEN</t>
        </is>
      </c>
      <c r="F48" t="inlineStr">
        <is>
          <t>Sveaskog</t>
        </is>
      </c>
      <c r="G48" t="n">
        <v>2.1</v>
      </c>
      <c r="H48" t="n">
        <v>0</v>
      </c>
      <c r="I48" t="n">
        <v>1</v>
      </c>
      <c r="J48" t="n">
        <v>0</v>
      </c>
      <c r="K48" t="n">
        <v>0</v>
      </c>
      <c r="L48" t="n">
        <v>0</v>
      </c>
      <c r="M48" t="n">
        <v>0</v>
      </c>
      <c r="N48" t="n">
        <v>0</v>
      </c>
      <c r="O48" t="n">
        <v>0</v>
      </c>
      <c r="P48" t="n">
        <v>0</v>
      </c>
      <c r="Q48" t="n">
        <v>1</v>
      </c>
      <c r="R48" s="2" t="inlineStr">
        <is>
          <t>Svavelriska</t>
        </is>
      </c>
      <c r="S48">
        <f>HYPERLINK("https://klasma.github.io/Logging_2061/artfynd/A 18020-2024 artfynd.xlsx", "A 18020-2024")</f>
        <v/>
      </c>
      <c r="T48">
        <f>HYPERLINK("https://klasma.github.io/Logging_2061/kartor/A 18020-2024 karta.png", "A 18020-2024")</f>
        <v/>
      </c>
      <c r="V48">
        <f>HYPERLINK("https://klasma.github.io/Logging_2061/klagomål/A 18020-2024 FSC-klagomål.docx", "A 18020-2024")</f>
        <v/>
      </c>
      <c r="W48">
        <f>HYPERLINK("https://klasma.github.io/Logging_2061/klagomålsmail/A 18020-2024 FSC-klagomål mail.docx", "A 18020-2024")</f>
        <v/>
      </c>
      <c r="X48">
        <f>HYPERLINK("https://klasma.github.io/Logging_2061/tillsyn/A 18020-2024 tillsynsbegäran.docx", "A 18020-2024")</f>
        <v/>
      </c>
      <c r="Y48">
        <f>HYPERLINK("https://klasma.github.io/Logging_2061/tillsynsmail/A 18020-2024 tillsynsbegäran mail.docx", "A 18020-2024")</f>
        <v/>
      </c>
    </row>
    <row r="49" ht="15" customHeight="1">
      <c r="A49" t="inlineStr">
        <is>
          <t>A 21507-2024</t>
        </is>
      </c>
      <c r="B49" s="1" t="n">
        <v>45441</v>
      </c>
      <c r="C49" s="1" t="n">
        <v>45575</v>
      </c>
      <c r="D49" t="inlineStr">
        <is>
          <t>DALARNAS LÄN</t>
        </is>
      </c>
      <c r="E49" t="inlineStr">
        <is>
          <t>SMEDJEBACKEN</t>
        </is>
      </c>
      <c r="F49" t="inlineStr">
        <is>
          <t>Sveaskog</t>
        </is>
      </c>
      <c r="G49" t="n">
        <v>16</v>
      </c>
      <c r="H49" t="n">
        <v>0</v>
      </c>
      <c r="I49" t="n">
        <v>0</v>
      </c>
      <c r="J49" t="n">
        <v>1</v>
      </c>
      <c r="K49" t="n">
        <v>0</v>
      </c>
      <c r="L49" t="n">
        <v>0</v>
      </c>
      <c r="M49" t="n">
        <v>0</v>
      </c>
      <c r="N49" t="n">
        <v>0</v>
      </c>
      <c r="O49" t="n">
        <v>1</v>
      </c>
      <c r="P49" t="n">
        <v>0</v>
      </c>
      <c r="Q49" t="n">
        <v>1</v>
      </c>
      <c r="R49" s="2" t="inlineStr">
        <is>
          <t>Ullticka</t>
        </is>
      </c>
      <c r="S49">
        <f>HYPERLINK("https://klasma.github.io/Logging_2061/artfynd/A 21507-2024 artfynd.xlsx", "A 21507-2024")</f>
        <v/>
      </c>
      <c r="T49">
        <f>HYPERLINK("https://klasma.github.io/Logging_2061/kartor/A 21507-2024 karta.png", "A 21507-2024")</f>
        <v/>
      </c>
      <c r="V49">
        <f>HYPERLINK("https://klasma.github.io/Logging_2061/klagomål/A 21507-2024 FSC-klagomål.docx", "A 21507-2024")</f>
        <v/>
      </c>
      <c r="W49">
        <f>HYPERLINK("https://klasma.github.io/Logging_2061/klagomålsmail/A 21507-2024 FSC-klagomål mail.docx", "A 21507-2024")</f>
        <v/>
      </c>
      <c r="X49">
        <f>HYPERLINK("https://klasma.github.io/Logging_2061/tillsyn/A 21507-2024 tillsynsbegäran.docx", "A 21507-2024")</f>
        <v/>
      </c>
      <c r="Y49">
        <f>HYPERLINK("https://klasma.github.io/Logging_2061/tillsynsmail/A 21507-2024 tillsynsbegäran mail.docx", "A 21507-2024")</f>
        <v/>
      </c>
    </row>
    <row r="50" ht="15" customHeight="1">
      <c r="A50" t="inlineStr">
        <is>
          <t>A 32954-2024</t>
        </is>
      </c>
      <c r="B50" s="1" t="n">
        <v>45517</v>
      </c>
      <c r="C50" s="1" t="n">
        <v>45575</v>
      </c>
      <c r="D50" t="inlineStr">
        <is>
          <t>DALARNAS LÄN</t>
        </is>
      </c>
      <c r="E50" t="inlineStr">
        <is>
          <t>SMEDJEBACKEN</t>
        </is>
      </c>
      <c r="F50" t="inlineStr">
        <is>
          <t>Övriga Aktiebolag</t>
        </is>
      </c>
      <c r="G50" t="n">
        <v>5.9</v>
      </c>
      <c r="H50" t="n">
        <v>1</v>
      </c>
      <c r="I50" t="n">
        <v>0</v>
      </c>
      <c r="J50" t="n">
        <v>0</v>
      </c>
      <c r="K50" t="n">
        <v>0</v>
      </c>
      <c r="L50" t="n">
        <v>0</v>
      </c>
      <c r="M50" t="n">
        <v>0</v>
      </c>
      <c r="N50" t="n">
        <v>0</v>
      </c>
      <c r="O50" t="n">
        <v>0</v>
      </c>
      <c r="P50" t="n">
        <v>0</v>
      </c>
      <c r="Q50" t="n">
        <v>1</v>
      </c>
      <c r="R50" s="2" t="inlineStr">
        <is>
          <t>Fläcknycklar</t>
        </is>
      </c>
      <c r="S50">
        <f>HYPERLINK("https://klasma.github.io/Logging_2061/artfynd/A 32954-2024 artfynd.xlsx", "A 32954-2024")</f>
        <v/>
      </c>
      <c r="T50">
        <f>HYPERLINK("https://klasma.github.io/Logging_2061/kartor/A 32954-2024 karta.png", "A 32954-2024")</f>
        <v/>
      </c>
      <c r="V50">
        <f>HYPERLINK("https://klasma.github.io/Logging_2061/klagomål/A 32954-2024 FSC-klagomål.docx", "A 32954-2024")</f>
        <v/>
      </c>
      <c r="W50">
        <f>HYPERLINK("https://klasma.github.io/Logging_2061/klagomålsmail/A 32954-2024 FSC-klagomål mail.docx", "A 32954-2024")</f>
        <v/>
      </c>
      <c r="X50">
        <f>HYPERLINK("https://klasma.github.io/Logging_2061/tillsyn/A 32954-2024 tillsynsbegäran.docx", "A 32954-2024")</f>
        <v/>
      </c>
      <c r="Y50">
        <f>HYPERLINK("https://klasma.github.io/Logging_2061/tillsynsmail/A 32954-2024 tillsynsbegäran mail.docx", "A 32954-2024")</f>
        <v/>
      </c>
    </row>
    <row r="51" ht="15" customHeight="1">
      <c r="A51" t="inlineStr">
        <is>
          <t>A 34942-2024</t>
        </is>
      </c>
      <c r="B51" s="1" t="n">
        <v>45527</v>
      </c>
      <c r="C51" s="1" t="n">
        <v>45575</v>
      </c>
      <c r="D51" t="inlineStr">
        <is>
          <t>DALARNAS LÄN</t>
        </is>
      </c>
      <c r="E51" t="inlineStr">
        <is>
          <t>SMEDJEBACKEN</t>
        </is>
      </c>
      <c r="G51" t="n">
        <v>11</v>
      </c>
      <c r="H51" t="n">
        <v>0</v>
      </c>
      <c r="I51" t="n">
        <v>0</v>
      </c>
      <c r="J51" t="n">
        <v>1</v>
      </c>
      <c r="K51" t="n">
        <v>0</v>
      </c>
      <c r="L51" t="n">
        <v>0</v>
      </c>
      <c r="M51" t="n">
        <v>0</v>
      </c>
      <c r="N51" t="n">
        <v>0</v>
      </c>
      <c r="O51" t="n">
        <v>1</v>
      </c>
      <c r="P51" t="n">
        <v>0</v>
      </c>
      <c r="Q51" t="n">
        <v>1</v>
      </c>
      <c r="R51" s="2" t="inlineStr">
        <is>
          <t>Skogsklocka</t>
        </is>
      </c>
      <c r="S51">
        <f>HYPERLINK("https://klasma.github.io/Logging_2061/artfynd/A 34942-2024 artfynd.xlsx", "A 34942-2024")</f>
        <v/>
      </c>
      <c r="T51">
        <f>HYPERLINK("https://klasma.github.io/Logging_2061/kartor/A 34942-2024 karta.png", "A 34942-2024")</f>
        <v/>
      </c>
      <c r="V51">
        <f>HYPERLINK("https://klasma.github.io/Logging_2061/klagomål/A 34942-2024 FSC-klagomål.docx", "A 34942-2024")</f>
        <v/>
      </c>
      <c r="W51">
        <f>HYPERLINK("https://klasma.github.io/Logging_2061/klagomålsmail/A 34942-2024 FSC-klagomål mail.docx", "A 34942-2024")</f>
        <v/>
      </c>
      <c r="X51">
        <f>HYPERLINK("https://klasma.github.io/Logging_2061/tillsyn/A 34942-2024 tillsynsbegäran.docx", "A 34942-2024")</f>
        <v/>
      </c>
      <c r="Y51">
        <f>HYPERLINK("https://klasma.github.io/Logging_2061/tillsynsmail/A 34942-2024 tillsynsbegäran mail.docx", "A 34942-2024")</f>
        <v/>
      </c>
    </row>
    <row r="52" ht="15" customHeight="1">
      <c r="A52" t="inlineStr">
        <is>
          <t>A 37313-2024</t>
        </is>
      </c>
      <c r="B52" s="1" t="n">
        <v>45540</v>
      </c>
      <c r="C52" s="1" t="n">
        <v>45575</v>
      </c>
      <c r="D52" t="inlineStr">
        <is>
          <t>DALARNAS LÄN</t>
        </is>
      </c>
      <c r="E52" t="inlineStr">
        <is>
          <t>SMEDJEBACKEN</t>
        </is>
      </c>
      <c r="F52" t="inlineStr">
        <is>
          <t>Bergvik skog väst AB</t>
        </is>
      </c>
      <c r="G52" t="n">
        <v>46.5</v>
      </c>
      <c r="H52" t="n">
        <v>0</v>
      </c>
      <c r="I52" t="n">
        <v>1</v>
      </c>
      <c r="J52" t="n">
        <v>0</v>
      </c>
      <c r="K52" t="n">
        <v>0</v>
      </c>
      <c r="L52" t="n">
        <v>0</v>
      </c>
      <c r="M52" t="n">
        <v>0</v>
      </c>
      <c r="N52" t="n">
        <v>0</v>
      </c>
      <c r="O52" t="n">
        <v>0</v>
      </c>
      <c r="P52" t="n">
        <v>0</v>
      </c>
      <c r="Q52" t="n">
        <v>1</v>
      </c>
      <c r="R52" s="2" t="inlineStr">
        <is>
          <t>Fjällig taggsvamp s.str.</t>
        </is>
      </c>
      <c r="S52">
        <f>HYPERLINK("https://klasma.github.io/Logging_2061/artfynd/A 37313-2024 artfynd.xlsx", "A 37313-2024")</f>
        <v/>
      </c>
      <c r="T52">
        <f>HYPERLINK("https://klasma.github.io/Logging_2061/kartor/A 37313-2024 karta.png", "A 37313-2024")</f>
        <v/>
      </c>
      <c r="V52">
        <f>HYPERLINK("https://klasma.github.io/Logging_2061/klagomål/A 37313-2024 FSC-klagomål.docx", "A 37313-2024")</f>
        <v/>
      </c>
      <c r="W52">
        <f>HYPERLINK("https://klasma.github.io/Logging_2061/klagomålsmail/A 37313-2024 FSC-klagomål mail.docx", "A 37313-2024")</f>
        <v/>
      </c>
      <c r="X52">
        <f>HYPERLINK("https://klasma.github.io/Logging_2061/tillsyn/A 37313-2024 tillsynsbegäran.docx", "A 37313-2024")</f>
        <v/>
      </c>
      <c r="Y52">
        <f>HYPERLINK("https://klasma.github.io/Logging_2061/tillsynsmail/A 37313-2024 tillsynsbegäran mail.docx", "A 37313-2024")</f>
        <v/>
      </c>
    </row>
    <row r="53" ht="15" customHeight="1">
      <c r="A53" t="inlineStr">
        <is>
          <t>A 18701-2019</t>
        </is>
      </c>
      <c r="B53" s="1" t="n">
        <v>43560</v>
      </c>
      <c r="C53" s="1" t="n">
        <v>45575</v>
      </c>
      <c r="D53" t="inlineStr">
        <is>
          <t>DALARNAS LÄN</t>
        </is>
      </c>
      <c r="E53" t="inlineStr">
        <is>
          <t>SMEDJEBACKEN</t>
        </is>
      </c>
      <c r="G53" t="n">
        <v>3.4</v>
      </c>
      <c r="H53" t="n">
        <v>0</v>
      </c>
      <c r="I53" t="n">
        <v>0</v>
      </c>
      <c r="J53" t="n">
        <v>0</v>
      </c>
      <c r="K53" t="n">
        <v>0</v>
      </c>
      <c r="L53" t="n">
        <v>0</v>
      </c>
      <c r="M53" t="n">
        <v>0</v>
      </c>
      <c r="N53" t="n">
        <v>0</v>
      </c>
      <c r="O53" t="n">
        <v>0</v>
      </c>
      <c r="P53" t="n">
        <v>0</v>
      </c>
      <c r="Q53" t="n">
        <v>0</v>
      </c>
      <c r="R53" s="2" t="inlineStr"/>
    </row>
    <row r="54" ht="15" customHeight="1">
      <c r="A54" t="inlineStr">
        <is>
          <t>A 19527-2019</t>
        </is>
      </c>
      <c r="B54" s="1" t="n">
        <v>43565</v>
      </c>
      <c r="C54" s="1" t="n">
        <v>45575</v>
      </c>
      <c r="D54" t="inlineStr">
        <is>
          <t>DALARNAS LÄN</t>
        </is>
      </c>
      <c r="E54" t="inlineStr">
        <is>
          <t>SMEDJEBACKEN</t>
        </is>
      </c>
      <c r="G54" t="n">
        <v>1.8</v>
      </c>
      <c r="H54" t="n">
        <v>0</v>
      </c>
      <c r="I54" t="n">
        <v>0</v>
      </c>
      <c r="J54" t="n">
        <v>0</v>
      </c>
      <c r="K54" t="n">
        <v>0</v>
      </c>
      <c r="L54" t="n">
        <v>0</v>
      </c>
      <c r="M54" t="n">
        <v>0</v>
      </c>
      <c r="N54" t="n">
        <v>0</v>
      </c>
      <c r="O54" t="n">
        <v>0</v>
      </c>
      <c r="P54" t="n">
        <v>0</v>
      </c>
      <c r="Q54" t="n">
        <v>0</v>
      </c>
      <c r="R54" s="2" t="inlineStr"/>
    </row>
    <row r="55" ht="15" customHeight="1">
      <c r="A55" t="inlineStr">
        <is>
          <t>A 22029-2019</t>
        </is>
      </c>
      <c r="B55" s="1" t="n">
        <v>43584</v>
      </c>
      <c r="C55" s="1" t="n">
        <v>45575</v>
      </c>
      <c r="D55" t="inlineStr">
        <is>
          <t>DALARNAS LÄN</t>
        </is>
      </c>
      <c r="E55" t="inlineStr">
        <is>
          <t>SMEDJEBACKEN</t>
        </is>
      </c>
      <c r="G55" t="n">
        <v>3</v>
      </c>
      <c r="H55" t="n">
        <v>0</v>
      </c>
      <c r="I55" t="n">
        <v>0</v>
      </c>
      <c r="J55" t="n">
        <v>0</v>
      </c>
      <c r="K55" t="n">
        <v>0</v>
      </c>
      <c r="L55" t="n">
        <v>0</v>
      </c>
      <c r="M55" t="n">
        <v>0</v>
      </c>
      <c r="N55" t="n">
        <v>0</v>
      </c>
      <c r="O55" t="n">
        <v>0</v>
      </c>
      <c r="P55" t="n">
        <v>0</v>
      </c>
      <c r="Q55" t="n">
        <v>0</v>
      </c>
      <c r="R55" s="2" t="inlineStr"/>
    </row>
    <row r="56" ht="15" customHeight="1">
      <c r="A56" t="inlineStr">
        <is>
          <t>A 23576-2019</t>
        </is>
      </c>
      <c r="B56" s="1" t="n">
        <v>43593</v>
      </c>
      <c r="C56" s="1" t="n">
        <v>45575</v>
      </c>
      <c r="D56" t="inlineStr">
        <is>
          <t>DALARNAS LÄN</t>
        </is>
      </c>
      <c r="E56" t="inlineStr">
        <is>
          <t>SMEDJEBACKEN</t>
        </is>
      </c>
      <c r="G56" t="n">
        <v>1.4</v>
      </c>
      <c r="H56" t="n">
        <v>0</v>
      </c>
      <c r="I56" t="n">
        <v>0</v>
      </c>
      <c r="J56" t="n">
        <v>0</v>
      </c>
      <c r="K56" t="n">
        <v>0</v>
      </c>
      <c r="L56" t="n">
        <v>0</v>
      </c>
      <c r="M56" t="n">
        <v>0</v>
      </c>
      <c r="N56" t="n">
        <v>0</v>
      </c>
      <c r="O56" t="n">
        <v>0</v>
      </c>
      <c r="P56" t="n">
        <v>0</v>
      </c>
      <c r="Q56" t="n">
        <v>0</v>
      </c>
      <c r="R56" s="2" t="inlineStr"/>
    </row>
    <row r="57" ht="15" customHeight="1">
      <c r="A57" t="inlineStr">
        <is>
          <t>A 23907-2019</t>
        </is>
      </c>
      <c r="B57" s="1" t="n">
        <v>43595</v>
      </c>
      <c r="C57" s="1" t="n">
        <v>45575</v>
      </c>
      <c r="D57" t="inlineStr">
        <is>
          <t>DALARNAS LÄN</t>
        </is>
      </c>
      <c r="E57" t="inlineStr">
        <is>
          <t>SMEDJEBACKEN</t>
        </is>
      </c>
      <c r="G57" t="n">
        <v>7.2</v>
      </c>
      <c r="H57" t="n">
        <v>0</v>
      </c>
      <c r="I57" t="n">
        <v>0</v>
      </c>
      <c r="J57" t="n">
        <v>0</v>
      </c>
      <c r="K57" t="n">
        <v>0</v>
      </c>
      <c r="L57" t="n">
        <v>0</v>
      </c>
      <c r="M57" t="n">
        <v>0</v>
      </c>
      <c r="N57" t="n">
        <v>0</v>
      </c>
      <c r="O57" t="n">
        <v>0</v>
      </c>
      <c r="P57" t="n">
        <v>0</v>
      </c>
      <c r="Q57" t="n">
        <v>0</v>
      </c>
      <c r="R57" s="2" t="inlineStr"/>
    </row>
    <row r="58" ht="15" customHeight="1">
      <c r="A58" t="inlineStr">
        <is>
          <t>A 25671-2019</t>
        </is>
      </c>
      <c r="B58" s="1" t="n">
        <v>43607</v>
      </c>
      <c r="C58" s="1" t="n">
        <v>45575</v>
      </c>
      <c r="D58" t="inlineStr">
        <is>
          <t>DALARNAS LÄN</t>
        </is>
      </c>
      <c r="E58" t="inlineStr">
        <is>
          <t>SMEDJEBACKEN</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27354-2019</t>
        </is>
      </c>
      <c r="B59" s="1" t="n">
        <v>43616</v>
      </c>
      <c r="C59" s="1" t="n">
        <v>45575</v>
      </c>
      <c r="D59" t="inlineStr">
        <is>
          <t>DALARNAS LÄN</t>
        </is>
      </c>
      <c r="E59" t="inlineStr">
        <is>
          <t>SMEDJEBACKEN</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27345-2019</t>
        </is>
      </c>
      <c r="B60" s="1" t="n">
        <v>43616</v>
      </c>
      <c r="C60" s="1" t="n">
        <v>45575</v>
      </c>
      <c r="D60" t="inlineStr">
        <is>
          <t>DALARNAS LÄN</t>
        </is>
      </c>
      <c r="E60" t="inlineStr">
        <is>
          <t>SMEDJEBACKEN</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27351-2019</t>
        </is>
      </c>
      <c r="B61" s="1" t="n">
        <v>43616</v>
      </c>
      <c r="C61" s="1" t="n">
        <v>45575</v>
      </c>
      <c r="D61" t="inlineStr">
        <is>
          <t>DALARNAS LÄN</t>
        </is>
      </c>
      <c r="E61" t="inlineStr">
        <is>
          <t>SMEDJEBACKEN</t>
        </is>
      </c>
      <c r="F61" t="inlineStr">
        <is>
          <t>Sveaskog</t>
        </is>
      </c>
      <c r="G61" t="n">
        <v>2.2</v>
      </c>
      <c r="H61" t="n">
        <v>0</v>
      </c>
      <c r="I61" t="n">
        <v>0</v>
      </c>
      <c r="J61" t="n">
        <v>0</v>
      </c>
      <c r="K61" t="n">
        <v>0</v>
      </c>
      <c r="L61" t="n">
        <v>0</v>
      </c>
      <c r="M61" t="n">
        <v>0</v>
      </c>
      <c r="N61" t="n">
        <v>0</v>
      </c>
      <c r="O61" t="n">
        <v>0</v>
      </c>
      <c r="P61" t="n">
        <v>0</v>
      </c>
      <c r="Q61" t="n">
        <v>0</v>
      </c>
      <c r="R61" s="2" t="inlineStr"/>
    </row>
    <row r="62" ht="15" customHeight="1">
      <c r="A62" t="inlineStr">
        <is>
          <t>A 27352-2019</t>
        </is>
      </c>
      <c r="B62" s="1" t="n">
        <v>43616</v>
      </c>
      <c r="C62" s="1" t="n">
        <v>45575</v>
      </c>
      <c r="D62" t="inlineStr">
        <is>
          <t>DALARNAS LÄN</t>
        </is>
      </c>
      <c r="E62" t="inlineStr">
        <is>
          <t>SMEDJEBACKEN</t>
        </is>
      </c>
      <c r="F62" t="inlineStr">
        <is>
          <t>Sveaskog</t>
        </is>
      </c>
      <c r="G62" t="n">
        <v>0.6</v>
      </c>
      <c r="H62" t="n">
        <v>0</v>
      </c>
      <c r="I62" t="n">
        <v>0</v>
      </c>
      <c r="J62" t="n">
        <v>0</v>
      </c>
      <c r="K62" t="n">
        <v>0</v>
      </c>
      <c r="L62" t="n">
        <v>0</v>
      </c>
      <c r="M62" t="n">
        <v>0</v>
      </c>
      <c r="N62" t="n">
        <v>0</v>
      </c>
      <c r="O62" t="n">
        <v>0</v>
      </c>
      <c r="P62" t="n">
        <v>0</v>
      </c>
      <c r="Q62" t="n">
        <v>0</v>
      </c>
      <c r="R62" s="2" t="inlineStr"/>
    </row>
    <row r="63" ht="15" customHeight="1">
      <c r="A63" t="inlineStr">
        <is>
          <t>A 29124-2019</t>
        </is>
      </c>
      <c r="B63" s="1" t="n">
        <v>43628</v>
      </c>
      <c r="C63" s="1" t="n">
        <v>45575</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29467-2019</t>
        </is>
      </c>
      <c r="B64" s="1" t="n">
        <v>43629</v>
      </c>
      <c r="C64" s="1" t="n">
        <v>45575</v>
      </c>
      <c r="D64" t="inlineStr">
        <is>
          <t>DALARNAS LÄN</t>
        </is>
      </c>
      <c r="E64" t="inlineStr">
        <is>
          <t>SMEDJEBACKEN</t>
        </is>
      </c>
      <c r="G64" t="n">
        <v>2.9</v>
      </c>
      <c r="H64" t="n">
        <v>0</v>
      </c>
      <c r="I64" t="n">
        <v>0</v>
      </c>
      <c r="J64" t="n">
        <v>0</v>
      </c>
      <c r="K64" t="n">
        <v>0</v>
      </c>
      <c r="L64" t="n">
        <v>0</v>
      </c>
      <c r="M64" t="n">
        <v>0</v>
      </c>
      <c r="N64" t="n">
        <v>0</v>
      </c>
      <c r="O64" t="n">
        <v>0</v>
      </c>
      <c r="P64" t="n">
        <v>0</v>
      </c>
      <c r="Q64" t="n">
        <v>0</v>
      </c>
      <c r="R64" s="2" t="inlineStr"/>
    </row>
    <row r="65" ht="15" customHeight="1">
      <c r="A65" t="inlineStr">
        <is>
          <t>A 29661-2019</t>
        </is>
      </c>
      <c r="B65" s="1" t="n">
        <v>43630</v>
      </c>
      <c r="C65" s="1" t="n">
        <v>45575</v>
      </c>
      <c r="D65" t="inlineStr">
        <is>
          <t>DALARNAS LÄN</t>
        </is>
      </c>
      <c r="E65" t="inlineStr">
        <is>
          <t>SMEDJEBACKEN</t>
        </is>
      </c>
      <c r="G65" t="n">
        <v>3.6</v>
      </c>
      <c r="H65" t="n">
        <v>0</v>
      </c>
      <c r="I65" t="n">
        <v>0</v>
      </c>
      <c r="J65" t="n">
        <v>0</v>
      </c>
      <c r="K65" t="n">
        <v>0</v>
      </c>
      <c r="L65" t="n">
        <v>0</v>
      </c>
      <c r="M65" t="n">
        <v>0</v>
      </c>
      <c r="N65" t="n">
        <v>0</v>
      </c>
      <c r="O65" t="n">
        <v>0</v>
      </c>
      <c r="P65" t="n">
        <v>0</v>
      </c>
      <c r="Q65" t="n">
        <v>0</v>
      </c>
      <c r="R65" s="2" t="inlineStr"/>
    </row>
    <row r="66" ht="15" customHeight="1">
      <c r="A66" t="inlineStr">
        <is>
          <t>A 32138-2019</t>
        </is>
      </c>
      <c r="B66" s="1" t="n">
        <v>43643</v>
      </c>
      <c r="C66" s="1" t="n">
        <v>45575</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32457-2019</t>
        </is>
      </c>
      <c r="B67" s="1" t="n">
        <v>43644</v>
      </c>
      <c r="C67" s="1" t="n">
        <v>45575</v>
      </c>
      <c r="D67" t="inlineStr">
        <is>
          <t>DALARNAS LÄN</t>
        </is>
      </c>
      <c r="E67" t="inlineStr">
        <is>
          <t>SMEDJEBACKEN</t>
        </is>
      </c>
      <c r="G67" t="n">
        <v>2.3</v>
      </c>
      <c r="H67" t="n">
        <v>0</v>
      </c>
      <c r="I67" t="n">
        <v>0</v>
      </c>
      <c r="J67" t="n">
        <v>0</v>
      </c>
      <c r="K67" t="n">
        <v>0</v>
      </c>
      <c r="L67" t="n">
        <v>0</v>
      </c>
      <c r="M67" t="n">
        <v>0</v>
      </c>
      <c r="N67" t="n">
        <v>0</v>
      </c>
      <c r="O67" t="n">
        <v>0</v>
      </c>
      <c r="P67" t="n">
        <v>0</v>
      </c>
      <c r="Q67" t="n">
        <v>0</v>
      </c>
      <c r="R67" s="2" t="inlineStr"/>
    </row>
    <row r="68" ht="15" customHeight="1">
      <c r="A68" t="inlineStr">
        <is>
          <t>A 33859-2019</t>
        </is>
      </c>
      <c r="B68" s="1" t="n">
        <v>43652</v>
      </c>
      <c r="C68" s="1" t="n">
        <v>45575</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37360-2019</t>
        </is>
      </c>
      <c r="B69" s="1" t="n">
        <v>43678</v>
      </c>
      <c r="C69" s="1" t="n">
        <v>45575</v>
      </c>
      <c r="D69" t="inlineStr">
        <is>
          <t>DALARNAS LÄN</t>
        </is>
      </c>
      <c r="E69" t="inlineStr">
        <is>
          <t>SMEDJEBACKEN</t>
        </is>
      </c>
      <c r="G69" t="n">
        <v>1.1</v>
      </c>
      <c r="H69" t="n">
        <v>0</v>
      </c>
      <c r="I69" t="n">
        <v>0</v>
      </c>
      <c r="J69" t="n">
        <v>0</v>
      </c>
      <c r="K69" t="n">
        <v>0</v>
      </c>
      <c r="L69" t="n">
        <v>0</v>
      </c>
      <c r="M69" t="n">
        <v>0</v>
      </c>
      <c r="N69" t="n">
        <v>0</v>
      </c>
      <c r="O69" t="n">
        <v>0</v>
      </c>
      <c r="P69" t="n">
        <v>0</v>
      </c>
      <c r="Q69" t="n">
        <v>0</v>
      </c>
      <c r="R69" s="2" t="inlineStr"/>
    </row>
    <row r="70" ht="15" customHeight="1">
      <c r="A70" t="inlineStr">
        <is>
          <t>A 37368-2019</t>
        </is>
      </c>
      <c r="B70" s="1" t="n">
        <v>43678</v>
      </c>
      <c r="C70" s="1" t="n">
        <v>45575</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38152-2019</t>
        </is>
      </c>
      <c r="B71" s="1" t="n">
        <v>43684</v>
      </c>
      <c r="C71" s="1" t="n">
        <v>45575</v>
      </c>
      <c r="D71" t="inlineStr">
        <is>
          <t>DALARNAS LÄN</t>
        </is>
      </c>
      <c r="E71" t="inlineStr">
        <is>
          <t>SMEDJEBACKEN</t>
        </is>
      </c>
      <c r="G71" t="n">
        <v>2.5</v>
      </c>
      <c r="H71" t="n">
        <v>0</v>
      </c>
      <c r="I71" t="n">
        <v>0</v>
      </c>
      <c r="J71" t="n">
        <v>0</v>
      </c>
      <c r="K71" t="n">
        <v>0</v>
      </c>
      <c r="L71" t="n">
        <v>0</v>
      </c>
      <c r="M71" t="n">
        <v>0</v>
      </c>
      <c r="N71" t="n">
        <v>0</v>
      </c>
      <c r="O71" t="n">
        <v>0</v>
      </c>
      <c r="P71" t="n">
        <v>0</v>
      </c>
      <c r="Q71" t="n">
        <v>0</v>
      </c>
      <c r="R71" s="2" t="inlineStr"/>
    </row>
    <row r="72" ht="15" customHeight="1">
      <c r="A72" t="inlineStr">
        <is>
          <t>A 38149-2019</t>
        </is>
      </c>
      <c r="B72" s="1" t="n">
        <v>43684</v>
      </c>
      <c r="C72" s="1" t="n">
        <v>45575</v>
      </c>
      <c r="D72" t="inlineStr">
        <is>
          <t>DALARNAS LÄN</t>
        </is>
      </c>
      <c r="E72" t="inlineStr">
        <is>
          <t>SMEDJEBACKEN</t>
        </is>
      </c>
      <c r="G72" t="n">
        <v>3.5</v>
      </c>
      <c r="H72" t="n">
        <v>0</v>
      </c>
      <c r="I72" t="n">
        <v>0</v>
      </c>
      <c r="J72" t="n">
        <v>0</v>
      </c>
      <c r="K72" t="n">
        <v>0</v>
      </c>
      <c r="L72" t="n">
        <v>0</v>
      </c>
      <c r="M72" t="n">
        <v>0</v>
      </c>
      <c r="N72" t="n">
        <v>0</v>
      </c>
      <c r="O72" t="n">
        <v>0</v>
      </c>
      <c r="P72" t="n">
        <v>0</v>
      </c>
      <c r="Q72" t="n">
        <v>0</v>
      </c>
      <c r="R72" s="2" t="inlineStr"/>
    </row>
    <row r="73" ht="15" customHeight="1">
      <c r="A73" t="inlineStr">
        <is>
          <t>A 38842-2019</t>
        </is>
      </c>
      <c r="B73" s="1" t="n">
        <v>43689</v>
      </c>
      <c r="C73" s="1" t="n">
        <v>45575</v>
      </c>
      <c r="D73" t="inlineStr">
        <is>
          <t>DALARNAS LÄN</t>
        </is>
      </c>
      <c r="E73" t="inlineStr">
        <is>
          <t>SMEDJEBACKEN</t>
        </is>
      </c>
      <c r="G73" t="n">
        <v>0.6</v>
      </c>
      <c r="H73" t="n">
        <v>0</v>
      </c>
      <c r="I73" t="n">
        <v>0</v>
      </c>
      <c r="J73" t="n">
        <v>0</v>
      </c>
      <c r="K73" t="n">
        <v>0</v>
      </c>
      <c r="L73" t="n">
        <v>0</v>
      </c>
      <c r="M73" t="n">
        <v>0</v>
      </c>
      <c r="N73" t="n">
        <v>0</v>
      </c>
      <c r="O73" t="n">
        <v>0</v>
      </c>
      <c r="P73" t="n">
        <v>0</v>
      </c>
      <c r="Q73" t="n">
        <v>0</v>
      </c>
      <c r="R73" s="2" t="inlineStr"/>
    </row>
    <row r="74" ht="15" customHeight="1">
      <c r="A74" t="inlineStr">
        <is>
          <t>A 40067-2019</t>
        </is>
      </c>
      <c r="B74" s="1" t="n">
        <v>43693</v>
      </c>
      <c r="C74" s="1" t="n">
        <v>45575</v>
      </c>
      <c r="D74" t="inlineStr">
        <is>
          <t>DALARNAS LÄN</t>
        </is>
      </c>
      <c r="E74" t="inlineStr">
        <is>
          <t>SMEDJEBACKEN</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40129-2019</t>
        </is>
      </c>
      <c r="B75" s="1" t="n">
        <v>43693</v>
      </c>
      <c r="C75" s="1" t="n">
        <v>45575</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40828-2019</t>
        </is>
      </c>
      <c r="B76" s="1" t="n">
        <v>43697</v>
      </c>
      <c r="C76" s="1" t="n">
        <v>45575</v>
      </c>
      <c r="D76" t="inlineStr">
        <is>
          <t>DALARNAS LÄN</t>
        </is>
      </c>
      <c r="E76" t="inlineStr">
        <is>
          <t>SMEDJEBACKEN</t>
        </is>
      </c>
      <c r="G76" t="n">
        <v>1.9</v>
      </c>
      <c r="H76" t="n">
        <v>0</v>
      </c>
      <c r="I76" t="n">
        <v>0</v>
      </c>
      <c r="J76" t="n">
        <v>0</v>
      </c>
      <c r="K76" t="n">
        <v>0</v>
      </c>
      <c r="L76" t="n">
        <v>0</v>
      </c>
      <c r="M76" t="n">
        <v>0</v>
      </c>
      <c r="N76" t="n">
        <v>0</v>
      </c>
      <c r="O76" t="n">
        <v>0</v>
      </c>
      <c r="P76" t="n">
        <v>0</v>
      </c>
      <c r="Q76" t="n">
        <v>0</v>
      </c>
      <c r="R76" s="2" t="inlineStr"/>
    </row>
    <row r="77" ht="15" customHeight="1">
      <c r="A77" t="inlineStr">
        <is>
          <t>A 41421-2019</t>
        </is>
      </c>
      <c r="B77" s="1" t="n">
        <v>43698</v>
      </c>
      <c r="C77" s="1" t="n">
        <v>45575</v>
      </c>
      <c r="D77" t="inlineStr">
        <is>
          <t>DALARNAS LÄN</t>
        </is>
      </c>
      <c r="E77" t="inlineStr">
        <is>
          <t>SMEDJEBACKEN</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41803-2019</t>
        </is>
      </c>
      <c r="B78" s="1" t="n">
        <v>43700</v>
      </c>
      <c r="C78" s="1" t="n">
        <v>45575</v>
      </c>
      <c r="D78" t="inlineStr">
        <is>
          <t>DALARNAS LÄN</t>
        </is>
      </c>
      <c r="E78" t="inlineStr">
        <is>
          <t>SMEDJEBACKEN</t>
        </is>
      </c>
      <c r="G78" t="n">
        <v>4.8</v>
      </c>
      <c r="H78" t="n">
        <v>0</v>
      </c>
      <c r="I78" t="n">
        <v>0</v>
      </c>
      <c r="J78" t="n">
        <v>0</v>
      </c>
      <c r="K78" t="n">
        <v>0</v>
      </c>
      <c r="L78" t="n">
        <v>0</v>
      </c>
      <c r="M78" t="n">
        <v>0</v>
      </c>
      <c r="N78" t="n">
        <v>0</v>
      </c>
      <c r="O78" t="n">
        <v>0</v>
      </c>
      <c r="P78" t="n">
        <v>0</v>
      </c>
      <c r="Q78" t="n">
        <v>0</v>
      </c>
      <c r="R78" s="2" t="inlineStr"/>
    </row>
    <row r="79" ht="15" customHeight="1">
      <c r="A79" t="inlineStr">
        <is>
          <t>A 41986-2019</t>
        </is>
      </c>
      <c r="B79" s="1" t="n">
        <v>43700</v>
      </c>
      <c r="C79" s="1" t="n">
        <v>45575</v>
      </c>
      <c r="D79" t="inlineStr">
        <is>
          <t>DALARNAS LÄN</t>
        </is>
      </c>
      <c r="E79" t="inlineStr">
        <is>
          <t>SMEDJEBACKEN</t>
        </is>
      </c>
      <c r="G79" t="n">
        <v>0.8</v>
      </c>
      <c r="H79" t="n">
        <v>0</v>
      </c>
      <c r="I79" t="n">
        <v>0</v>
      </c>
      <c r="J79" t="n">
        <v>0</v>
      </c>
      <c r="K79" t="n">
        <v>0</v>
      </c>
      <c r="L79" t="n">
        <v>0</v>
      </c>
      <c r="M79" t="n">
        <v>0</v>
      </c>
      <c r="N79" t="n">
        <v>0</v>
      </c>
      <c r="O79" t="n">
        <v>0</v>
      </c>
      <c r="P79" t="n">
        <v>0</v>
      </c>
      <c r="Q79" t="n">
        <v>0</v>
      </c>
      <c r="R79" s="2" t="inlineStr"/>
    </row>
    <row r="80" ht="15" customHeight="1">
      <c r="A80" t="inlineStr">
        <is>
          <t>A 42186-2019</t>
        </is>
      </c>
      <c r="B80" s="1" t="n">
        <v>43703</v>
      </c>
      <c r="C80" s="1" t="n">
        <v>45575</v>
      </c>
      <c r="D80" t="inlineStr">
        <is>
          <t>DALARNAS LÄN</t>
        </is>
      </c>
      <c r="E80" t="inlineStr">
        <is>
          <t>SMEDJEBACKEN</t>
        </is>
      </c>
      <c r="G80" t="n">
        <v>8</v>
      </c>
      <c r="H80" t="n">
        <v>0</v>
      </c>
      <c r="I80" t="n">
        <v>0</v>
      </c>
      <c r="J80" t="n">
        <v>0</v>
      </c>
      <c r="K80" t="n">
        <v>0</v>
      </c>
      <c r="L80" t="n">
        <v>0</v>
      </c>
      <c r="M80" t="n">
        <v>0</v>
      </c>
      <c r="N80" t="n">
        <v>0</v>
      </c>
      <c r="O80" t="n">
        <v>0</v>
      </c>
      <c r="P80" t="n">
        <v>0</v>
      </c>
      <c r="Q80" t="n">
        <v>0</v>
      </c>
      <c r="R80" s="2" t="inlineStr"/>
    </row>
    <row r="81" ht="15" customHeight="1">
      <c r="A81" t="inlineStr">
        <is>
          <t>A 42201-2019</t>
        </is>
      </c>
      <c r="B81" s="1" t="n">
        <v>43703</v>
      </c>
      <c r="C81" s="1" t="n">
        <v>45575</v>
      </c>
      <c r="D81" t="inlineStr">
        <is>
          <t>DALARNAS LÄN</t>
        </is>
      </c>
      <c r="E81" t="inlineStr">
        <is>
          <t>SMEDJEBACKEN</t>
        </is>
      </c>
      <c r="G81" t="n">
        <v>5.4</v>
      </c>
      <c r="H81" t="n">
        <v>0</v>
      </c>
      <c r="I81" t="n">
        <v>0</v>
      </c>
      <c r="J81" t="n">
        <v>0</v>
      </c>
      <c r="K81" t="n">
        <v>0</v>
      </c>
      <c r="L81" t="n">
        <v>0</v>
      </c>
      <c r="M81" t="n">
        <v>0</v>
      </c>
      <c r="N81" t="n">
        <v>0</v>
      </c>
      <c r="O81" t="n">
        <v>0</v>
      </c>
      <c r="P81" t="n">
        <v>0</v>
      </c>
      <c r="Q81" t="n">
        <v>0</v>
      </c>
      <c r="R81" s="2" t="inlineStr"/>
    </row>
    <row r="82" ht="15" customHeight="1">
      <c r="A82" t="inlineStr">
        <is>
          <t>A 42684-2019</t>
        </is>
      </c>
      <c r="B82" s="1" t="n">
        <v>43703</v>
      </c>
      <c r="C82" s="1" t="n">
        <v>45575</v>
      </c>
      <c r="D82" t="inlineStr">
        <is>
          <t>DALARNAS LÄN</t>
        </is>
      </c>
      <c r="E82" t="inlineStr">
        <is>
          <t>SMEDJEBACKEN</t>
        </is>
      </c>
      <c r="G82" t="n">
        <v>1.6</v>
      </c>
      <c r="H82" t="n">
        <v>0</v>
      </c>
      <c r="I82" t="n">
        <v>0</v>
      </c>
      <c r="J82" t="n">
        <v>0</v>
      </c>
      <c r="K82" t="n">
        <v>0</v>
      </c>
      <c r="L82" t="n">
        <v>0</v>
      </c>
      <c r="M82" t="n">
        <v>0</v>
      </c>
      <c r="N82" t="n">
        <v>0</v>
      </c>
      <c r="O82" t="n">
        <v>0</v>
      </c>
      <c r="P82" t="n">
        <v>0</v>
      </c>
      <c r="Q82" t="n">
        <v>0</v>
      </c>
      <c r="R82" s="2" t="inlineStr"/>
    </row>
    <row r="83" ht="15" customHeight="1">
      <c r="A83" t="inlineStr">
        <is>
          <t>A 42576-2019</t>
        </is>
      </c>
      <c r="B83" s="1" t="n">
        <v>43704</v>
      </c>
      <c r="C83" s="1" t="n">
        <v>45575</v>
      </c>
      <c r="D83" t="inlineStr">
        <is>
          <t>DALARNAS LÄN</t>
        </is>
      </c>
      <c r="E83" t="inlineStr">
        <is>
          <t>SMEDJEBACKEN</t>
        </is>
      </c>
      <c r="G83" t="n">
        <v>3.8</v>
      </c>
      <c r="H83" t="n">
        <v>0</v>
      </c>
      <c r="I83" t="n">
        <v>0</v>
      </c>
      <c r="J83" t="n">
        <v>0</v>
      </c>
      <c r="K83" t="n">
        <v>0</v>
      </c>
      <c r="L83" t="n">
        <v>0</v>
      </c>
      <c r="M83" t="n">
        <v>0</v>
      </c>
      <c r="N83" t="n">
        <v>0</v>
      </c>
      <c r="O83" t="n">
        <v>0</v>
      </c>
      <c r="P83" t="n">
        <v>0</v>
      </c>
      <c r="Q83" t="n">
        <v>0</v>
      </c>
      <c r="R83" s="2" t="inlineStr"/>
    </row>
    <row r="84" ht="15" customHeight="1">
      <c r="A84" t="inlineStr">
        <is>
          <t>A 43510-2019</t>
        </is>
      </c>
      <c r="B84" s="1" t="n">
        <v>43706</v>
      </c>
      <c r="C84" s="1" t="n">
        <v>45575</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48238-2019</t>
        </is>
      </c>
      <c r="B85" s="1" t="n">
        <v>43726</v>
      </c>
      <c r="C85" s="1" t="n">
        <v>45575</v>
      </c>
      <c r="D85" t="inlineStr">
        <is>
          <t>DALARNAS LÄN</t>
        </is>
      </c>
      <c r="E85" t="inlineStr">
        <is>
          <t>SMEDJEBACKEN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48251-2019</t>
        </is>
      </c>
      <c r="B86" s="1" t="n">
        <v>43726</v>
      </c>
      <c r="C86" s="1" t="n">
        <v>45575</v>
      </c>
      <c r="D86" t="inlineStr">
        <is>
          <t>DALARNAS LÄN</t>
        </is>
      </c>
      <c r="E86" t="inlineStr">
        <is>
          <t>SMEDJEBACKEN</t>
        </is>
      </c>
      <c r="G86" t="n">
        <v>5.7</v>
      </c>
      <c r="H86" t="n">
        <v>0</v>
      </c>
      <c r="I86" t="n">
        <v>0</v>
      </c>
      <c r="J86" t="n">
        <v>0</v>
      </c>
      <c r="K86" t="n">
        <v>0</v>
      </c>
      <c r="L86" t="n">
        <v>0</v>
      </c>
      <c r="M86" t="n">
        <v>0</v>
      </c>
      <c r="N86" t="n">
        <v>0</v>
      </c>
      <c r="O86" t="n">
        <v>0</v>
      </c>
      <c r="P86" t="n">
        <v>0</v>
      </c>
      <c r="Q86" t="n">
        <v>0</v>
      </c>
      <c r="R86" s="2" t="inlineStr"/>
    </row>
    <row r="87" ht="15" customHeight="1">
      <c r="A87" t="inlineStr">
        <is>
          <t>A 49122-2019</t>
        </is>
      </c>
      <c r="B87" s="1" t="n">
        <v>43731</v>
      </c>
      <c r="C87" s="1" t="n">
        <v>45575</v>
      </c>
      <c r="D87" t="inlineStr">
        <is>
          <t>DALARNAS LÄN</t>
        </is>
      </c>
      <c r="E87" t="inlineStr">
        <is>
          <t>SMEDJEBACKEN</t>
        </is>
      </c>
      <c r="G87" t="n">
        <v>1.6</v>
      </c>
      <c r="H87" t="n">
        <v>0</v>
      </c>
      <c r="I87" t="n">
        <v>0</v>
      </c>
      <c r="J87" t="n">
        <v>0</v>
      </c>
      <c r="K87" t="n">
        <v>0</v>
      </c>
      <c r="L87" t="n">
        <v>0</v>
      </c>
      <c r="M87" t="n">
        <v>0</v>
      </c>
      <c r="N87" t="n">
        <v>0</v>
      </c>
      <c r="O87" t="n">
        <v>0</v>
      </c>
      <c r="P87" t="n">
        <v>0</v>
      </c>
      <c r="Q87" t="n">
        <v>0</v>
      </c>
      <c r="R87" s="2" t="inlineStr"/>
    </row>
    <row r="88" ht="15" customHeight="1">
      <c r="A88" t="inlineStr">
        <is>
          <t>A 49303-2019</t>
        </is>
      </c>
      <c r="B88" s="1" t="n">
        <v>43731</v>
      </c>
      <c r="C88" s="1" t="n">
        <v>45575</v>
      </c>
      <c r="D88" t="inlineStr">
        <is>
          <t>DALARNAS LÄN</t>
        </is>
      </c>
      <c r="E88" t="inlineStr">
        <is>
          <t>SMEDJEBACKEN</t>
        </is>
      </c>
      <c r="G88" t="n">
        <v>2.3</v>
      </c>
      <c r="H88" t="n">
        <v>0</v>
      </c>
      <c r="I88" t="n">
        <v>0</v>
      </c>
      <c r="J88" t="n">
        <v>0</v>
      </c>
      <c r="K88" t="n">
        <v>0</v>
      </c>
      <c r="L88" t="n">
        <v>0</v>
      </c>
      <c r="M88" t="n">
        <v>0</v>
      </c>
      <c r="N88" t="n">
        <v>0</v>
      </c>
      <c r="O88" t="n">
        <v>0</v>
      </c>
      <c r="P88" t="n">
        <v>0</v>
      </c>
      <c r="Q88" t="n">
        <v>0</v>
      </c>
      <c r="R88" s="2" t="inlineStr"/>
    </row>
    <row r="89" ht="15" customHeight="1">
      <c r="A89" t="inlineStr">
        <is>
          <t>A 51146-2019</t>
        </is>
      </c>
      <c r="B89" s="1" t="n">
        <v>43732</v>
      </c>
      <c r="C89" s="1" t="n">
        <v>45575</v>
      </c>
      <c r="D89" t="inlineStr">
        <is>
          <t>DALARNAS LÄN</t>
        </is>
      </c>
      <c r="E89" t="inlineStr">
        <is>
          <t>SMEDJEBACKEN</t>
        </is>
      </c>
      <c r="G89" t="n">
        <v>3.8</v>
      </c>
      <c r="H89" t="n">
        <v>0</v>
      </c>
      <c r="I89" t="n">
        <v>0</v>
      </c>
      <c r="J89" t="n">
        <v>0</v>
      </c>
      <c r="K89" t="n">
        <v>0</v>
      </c>
      <c r="L89" t="n">
        <v>0</v>
      </c>
      <c r="M89" t="n">
        <v>0</v>
      </c>
      <c r="N89" t="n">
        <v>0</v>
      </c>
      <c r="O89" t="n">
        <v>0</v>
      </c>
      <c r="P89" t="n">
        <v>0</v>
      </c>
      <c r="Q89" t="n">
        <v>0</v>
      </c>
      <c r="R89" s="2" t="inlineStr"/>
    </row>
    <row r="90" ht="15" customHeight="1">
      <c r="A90" t="inlineStr">
        <is>
          <t>A 52834-2019</t>
        </is>
      </c>
      <c r="B90" s="1" t="n">
        <v>43739</v>
      </c>
      <c r="C90" s="1" t="n">
        <v>45575</v>
      </c>
      <c r="D90" t="inlineStr">
        <is>
          <t>DALARNAS LÄN</t>
        </is>
      </c>
      <c r="E90" t="inlineStr">
        <is>
          <t>SMEDJEBACKEN</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54239-2019</t>
        </is>
      </c>
      <c r="B91" s="1" t="n">
        <v>43745</v>
      </c>
      <c r="C91" s="1" t="n">
        <v>45575</v>
      </c>
      <c r="D91" t="inlineStr">
        <is>
          <t>DALARNAS LÄN</t>
        </is>
      </c>
      <c r="E91" t="inlineStr">
        <is>
          <t>SMEDJEBACKEN</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54273-2019</t>
        </is>
      </c>
      <c r="B92" s="1" t="n">
        <v>43745</v>
      </c>
      <c r="C92" s="1" t="n">
        <v>45575</v>
      </c>
      <c r="D92" t="inlineStr">
        <is>
          <t>DALARNAS LÄN</t>
        </is>
      </c>
      <c r="E92" t="inlineStr">
        <is>
          <t>SMEDJEBACKEN</t>
        </is>
      </c>
      <c r="F92" t="inlineStr">
        <is>
          <t>Bergvik skog väst AB</t>
        </is>
      </c>
      <c r="G92" t="n">
        <v>7.2</v>
      </c>
      <c r="H92" t="n">
        <v>0</v>
      </c>
      <c r="I92" t="n">
        <v>0</v>
      </c>
      <c r="J92" t="n">
        <v>0</v>
      </c>
      <c r="K92" t="n">
        <v>0</v>
      </c>
      <c r="L92" t="n">
        <v>0</v>
      </c>
      <c r="M92" t="n">
        <v>0</v>
      </c>
      <c r="N92" t="n">
        <v>0</v>
      </c>
      <c r="O92" t="n">
        <v>0</v>
      </c>
      <c r="P92" t="n">
        <v>0</v>
      </c>
      <c r="Q92" t="n">
        <v>0</v>
      </c>
      <c r="R92" s="2" t="inlineStr"/>
    </row>
    <row r="93" ht="15" customHeight="1">
      <c r="A93" t="inlineStr">
        <is>
          <t>A 54250-2019</t>
        </is>
      </c>
      <c r="B93" s="1" t="n">
        <v>43745</v>
      </c>
      <c r="C93" s="1" t="n">
        <v>45575</v>
      </c>
      <c r="D93" t="inlineStr">
        <is>
          <t>DALARNAS LÄN</t>
        </is>
      </c>
      <c r="E93" t="inlineStr">
        <is>
          <t>SMEDJEBACKEN</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55370-2019</t>
        </is>
      </c>
      <c r="B94" s="1" t="n">
        <v>43754</v>
      </c>
      <c r="C94" s="1" t="n">
        <v>45575</v>
      </c>
      <c r="D94" t="inlineStr">
        <is>
          <t>DALARNAS LÄN</t>
        </is>
      </c>
      <c r="E94" t="inlineStr">
        <is>
          <t>SMEDJEBACKEN</t>
        </is>
      </c>
      <c r="G94" t="n">
        <v>1.8</v>
      </c>
      <c r="H94" t="n">
        <v>0</v>
      </c>
      <c r="I94" t="n">
        <v>0</v>
      </c>
      <c r="J94" t="n">
        <v>0</v>
      </c>
      <c r="K94" t="n">
        <v>0</v>
      </c>
      <c r="L94" t="n">
        <v>0</v>
      </c>
      <c r="M94" t="n">
        <v>0</v>
      </c>
      <c r="N94" t="n">
        <v>0</v>
      </c>
      <c r="O94" t="n">
        <v>0</v>
      </c>
      <c r="P94" t="n">
        <v>0</v>
      </c>
      <c r="Q94" t="n">
        <v>0</v>
      </c>
      <c r="R94" s="2" t="inlineStr"/>
    </row>
    <row r="95" ht="15" customHeight="1">
      <c r="A95" t="inlineStr">
        <is>
          <t>A 54441-2019</t>
        </is>
      </c>
      <c r="B95" s="1" t="n">
        <v>43754</v>
      </c>
      <c r="C95" s="1" t="n">
        <v>45575</v>
      </c>
      <c r="D95" t="inlineStr">
        <is>
          <t>DALARNAS LÄN</t>
        </is>
      </c>
      <c r="E95" t="inlineStr">
        <is>
          <t>SMEDJEBACKEN</t>
        </is>
      </c>
      <c r="G95" t="n">
        <v>1.7</v>
      </c>
      <c r="H95" t="n">
        <v>0</v>
      </c>
      <c r="I95" t="n">
        <v>0</v>
      </c>
      <c r="J95" t="n">
        <v>0</v>
      </c>
      <c r="K95" t="n">
        <v>0</v>
      </c>
      <c r="L95" t="n">
        <v>0</v>
      </c>
      <c r="M95" t="n">
        <v>0</v>
      </c>
      <c r="N95" t="n">
        <v>0</v>
      </c>
      <c r="O95" t="n">
        <v>0</v>
      </c>
      <c r="P95" t="n">
        <v>0</v>
      </c>
      <c r="Q95" t="n">
        <v>0</v>
      </c>
      <c r="R95" s="2" t="inlineStr"/>
    </row>
    <row r="96" ht="15" customHeight="1">
      <c r="A96" t="inlineStr">
        <is>
          <t>A 55576-2019</t>
        </is>
      </c>
      <c r="B96" s="1" t="n">
        <v>43760</v>
      </c>
      <c r="C96" s="1" t="n">
        <v>45575</v>
      </c>
      <c r="D96" t="inlineStr">
        <is>
          <t>DALARNAS LÄN</t>
        </is>
      </c>
      <c r="E96" t="inlineStr">
        <is>
          <t>SMEDJEBACKEN</t>
        </is>
      </c>
      <c r="F96" t="inlineStr">
        <is>
          <t>Övriga Aktiebolag</t>
        </is>
      </c>
      <c r="G96" t="n">
        <v>5.2</v>
      </c>
      <c r="H96" t="n">
        <v>0</v>
      </c>
      <c r="I96" t="n">
        <v>0</v>
      </c>
      <c r="J96" t="n">
        <v>0</v>
      </c>
      <c r="K96" t="n">
        <v>0</v>
      </c>
      <c r="L96" t="n">
        <v>0</v>
      </c>
      <c r="M96" t="n">
        <v>0</v>
      </c>
      <c r="N96" t="n">
        <v>0</v>
      </c>
      <c r="O96" t="n">
        <v>0</v>
      </c>
      <c r="P96" t="n">
        <v>0</v>
      </c>
      <c r="Q96" t="n">
        <v>0</v>
      </c>
      <c r="R96" s="2" t="inlineStr"/>
    </row>
    <row r="97" ht="15" customHeight="1">
      <c r="A97" t="inlineStr">
        <is>
          <t>A 55633-2019</t>
        </is>
      </c>
      <c r="B97" s="1" t="n">
        <v>43760</v>
      </c>
      <c r="C97" s="1" t="n">
        <v>45575</v>
      </c>
      <c r="D97" t="inlineStr">
        <is>
          <t>DALARNAS LÄN</t>
        </is>
      </c>
      <c r="E97" t="inlineStr">
        <is>
          <t>SMEDJEBACKEN</t>
        </is>
      </c>
      <c r="G97" t="n">
        <v>0.8</v>
      </c>
      <c r="H97" t="n">
        <v>0</v>
      </c>
      <c r="I97" t="n">
        <v>0</v>
      </c>
      <c r="J97" t="n">
        <v>0</v>
      </c>
      <c r="K97" t="n">
        <v>0</v>
      </c>
      <c r="L97" t="n">
        <v>0</v>
      </c>
      <c r="M97" t="n">
        <v>0</v>
      </c>
      <c r="N97" t="n">
        <v>0</v>
      </c>
      <c r="O97" t="n">
        <v>0</v>
      </c>
      <c r="P97" t="n">
        <v>0</v>
      </c>
      <c r="Q97" t="n">
        <v>0</v>
      </c>
      <c r="R97" s="2" t="inlineStr"/>
    </row>
    <row r="98" ht="15" customHeight="1">
      <c r="A98" t="inlineStr">
        <is>
          <t>A 57067-2019</t>
        </is>
      </c>
      <c r="B98" s="1" t="n">
        <v>43766</v>
      </c>
      <c r="C98" s="1" t="n">
        <v>45575</v>
      </c>
      <c r="D98" t="inlineStr">
        <is>
          <t>DALARNAS LÄN</t>
        </is>
      </c>
      <c r="E98" t="inlineStr">
        <is>
          <t>SMEDJEBACKEN</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57357-2019</t>
        </is>
      </c>
      <c r="B99" s="1" t="n">
        <v>43767</v>
      </c>
      <c r="C99" s="1" t="n">
        <v>45575</v>
      </c>
      <c r="D99" t="inlineStr">
        <is>
          <t>DALARNAS LÄN</t>
        </is>
      </c>
      <c r="E99" t="inlineStr">
        <is>
          <t>SMEDJEBACKEN</t>
        </is>
      </c>
      <c r="G99" t="n">
        <v>5</v>
      </c>
      <c r="H99" t="n">
        <v>0</v>
      </c>
      <c r="I99" t="n">
        <v>0</v>
      </c>
      <c r="J99" t="n">
        <v>0</v>
      </c>
      <c r="K99" t="n">
        <v>0</v>
      </c>
      <c r="L99" t="n">
        <v>0</v>
      </c>
      <c r="M99" t="n">
        <v>0</v>
      </c>
      <c r="N99" t="n">
        <v>0</v>
      </c>
      <c r="O99" t="n">
        <v>0</v>
      </c>
      <c r="P99" t="n">
        <v>0</v>
      </c>
      <c r="Q99" t="n">
        <v>0</v>
      </c>
      <c r="R99" s="2" t="inlineStr"/>
    </row>
    <row r="100" ht="15" customHeight="1">
      <c r="A100" t="inlineStr">
        <is>
          <t>A 58674-2019</t>
        </is>
      </c>
      <c r="B100" s="1" t="n">
        <v>43773</v>
      </c>
      <c r="C100" s="1" t="n">
        <v>45575</v>
      </c>
      <c r="D100" t="inlineStr">
        <is>
          <t>DALARNAS LÄN</t>
        </is>
      </c>
      <c r="E100" t="inlineStr">
        <is>
          <t>SMEDJEBACKEN</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58603-2019</t>
        </is>
      </c>
      <c r="B101" s="1" t="n">
        <v>43773</v>
      </c>
      <c r="C101" s="1" t="n">
        <v>45575</v>
      </c>
      <c r="D101" t="inlineStr">
        <is>
          <t>DALARNAS LÄN</t>
        </is>
      </c>
      <c r="E101" t="inlineStr">
        <is>
          <t>SMEDJEBACKEN</t>
        </is>
      </c>
      <c r="G101" t="n">
        <v>6.2</v>
      </c>
      <c r="H101" t="n">
        <v>0</v>
      </c>
      <c r="I101" t="n">
        <v>0</v>
      </c>
      <c r="J101" t="n">
        <v>0</v>
      </c>
      <c r="K101" t="n">
        <v>0</v>
      </c>
      <c r="L101" t="n">
        <v>0</v>
      </c>
      <c r="M101" t="n">
        <v>0</v>
      </c>
      <c r="N101" t="n">
        <v>0</v>
      </c>
      <c r="O101" t="n">
        <v>0</v>
      </c>
      <c r="P101" t="n">
        <v>0</v>
      </c>
      <c r="Q101" t="n">
        <v>0</v>
      </c>
      <c r="R101" s="2" t="inlineStr"/>
    </row>
    <row r="102" ht="15" customHeight="1">
      <c r="A102" t="inlineStr">
        <is>
          <t>A 59267-2019</t>
        </is>
      </c>
      <c r="B102" s="1" t="n">
        <v>43775</v>
      </c>
      <c r="C102" s="1" t="n">
        <v>45575</v>
      </c>
      <c r="D102" t="inlineStr">
        <is>
          <t>DALARNAS LÄN</t>
        </is>
      </c>
      <c r="E102" t="inlineStr">
        <is>
          <t>SMEDJEBACKEN</t>
        </is>
      </c>
      <c r="G102" t="n">
        <v>1</v>
      </c>
      <c r="H102" t="n">
        <v>0</v>
      </c>
      <c r="I102" t="n">
        <v>0</v>
      </c>
      <c r="J102" t="n">
        <v>0</v>
      </c>
      <c r="K102" t="n">
        <v>0</v>
      </c>
      <c r="L102" t="n">
        <v>0</v>
      </c>
      <c r="M102" t="n">
        <v>0</v>
      </c>
      <c r="N102" t="n">
        <v>0</v>
      </c>
      <c r="O102" t="n">
        <v>0</v>
      </c>
      <c r="P102" t="n">
        <v>0</v>
      </c>
      <c r="Q102" t="n">
        <v>0</v>
      </c>
      <c r="R102" s="2" t="inlineStr"/>
    </row>
    <row r="103" ht="15" customHeight="1">
      <c r="A103" t="inlineStr">
        <is>
          <t>A 60095-2019</t>
        </is>
      </c>
      <c r="B103" s="1" t="n">
        <v>43777</v>
      </c>
      <c r="C103" s="1" t="n">
        <v>45575</v>
      </c>
      <c r="D103" t="inlineStr">
        <is>
          <t>DALARNAS LÄN</t>
        </is>
      </c>
      <c r="E103" t="inlineStr">
        <is>
          <t>SMEDJEBACKEN</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60148-2019</t>
        </is>
      </c>
      <c r="B104" s="1" t="n">
        <v>43779</v>
      </c>
      <c r="C104" s="1" t="n">
        <v>45575</v>
      </c>
      <c r="D104" t="inlineStr">
        <is>
          <t>DALARNAS LÄN</t>
        </is>
      </c>
      <c r="E104" t="inlineStr">
        <is>
          <t>SMEDJEBACKEN</t>
        </is>
      </c>
      <c r="G104" t="n">
        <v>2.5</v>
      </c>
      <c r="H104" t="n">
        <v>0</v>
      </c>
      <c r="I104" t="n">
        <v>0</v>
      </c>
      <c r="J104" t="n">
        <v>0</v>
      </c>
      <c r="K104" t="n">
        <v>0</v>
      </c>
      <c r="L104" t="n">
        <v>0</v>
      </c>
      <c r="M104" t="n">
        <v>0</v>
      </c>
      <c r="N104" t="n">
        <v>0</v>
      </c>
      <c r="O104" t="n">
        <v>0</v>
      </c>
      <c r="P104" t="n">
        <v>0</v>
      </c>
      <c r="Q104" t="n">
        <v>0</v>
      </c>
      <c r="R104" s="2" t="inlineStr"/>
    </row>
    <row r="105" ht="15" customHeight="1">
      <c r="A105" t="inlineStr">
        <is>
          <t>A 60421-2019</t>
        </is>
      </c>
      <c r="B105" s="1" t="n">
        <v>43780</v>
      </c>
      <c r="C105" s="1" t="n">
        <v>45575</v>
      </c>
      <c r="D105" t="inlineStr">
        <is>
          <t>DALARNAS LÄN</t>
        </is>
      </c>
      <c r="E105" t="inlineStr">
        <is>
          <t>SMEDJEBACKEN</t>
        </is>
      </c>
      <c r="G105" t="n">
        <v>3.1</v>
      </c>
      <c r="H105" t="n">
        <v>0</v>
      </c>
      <c r="I105" t="n">
        <v>0</v>
      </c>
      <c r="J105" t="n">
        <v>0</v>
      </c>
      <c r="K105" t="n">
        <v>0</v>
      </c>
      <c r="L105" t="n">
        <v>0</v>
      </c>
      <c r="M105" t="n">
        <v>0</v>
      </c>
      <c r="N105" t="n">
        <v>0</v>
      </c>
      <c r="O105" t="n">
        <v>0</v>
      </c>
      <c r="P105" t="n">
        <v>0</v>
      </c>
      <c r="Q105" t="n">
        <v>0</v>
      </c>
      <c r="R105" s="2" t="inlineStr"/>
    </row>
    <row r="106" ht="15" customHeight="1">
      <c r="A106" t="inlineStr">
        <is>
          <t>A 63796-2019</t>
        </is>
      </c>
      <c r="B106" s="1" t="n">
        <v>43795</v>
      </c>
      <c r="C106" s="1" t="n">
        <v>45575</v>
      </c>
      <c r="D106" t="inlineStr">
        <is>
          <t>DALARNAS LÄN</t>
        </is>
      </c>
      <c r="E106" t="inlineStr">
        <is>
          <t>SMEDJEBACKEN</t>
        </is>
      </c>
      <c r="G106" t="n">
        <v>1.2</v>
      </c>
      <c r="H106" t="n">
        <v>0</v>
      </c>
      <c r="I106" t="n">
        <v>0</v>
      </c>
      <c r="J106" t="n">
        <v>0</v>
      </c>
      <c r="K106" t="n">
        <v>0</v>
      </c>
      <c r="L106" t="n">
        <v>0</v>
      </c>
      <c r="M106" t="n">
        <v>0</v>
      </c>
      <c r="N106" t="n">
        <v>0</v>
      </c>
      <c r="O106" t="n">
        <v>0</v>
      </c>
      <c r="P106" t="n">
        <v>0</v>
      </c>
      <c r="Q106" t="n">
        <v>0</v>
      </c>
      <c r="R106" s="2" t="inlineStr"/>
    </row>
    <row r="107" ht="15" customHeight="1">
      <c r="A107" t="inlineStr">
        <is>
          <t>A 64705-2019</t>
        </is>
      </c>
      <c r="B107" s="1" t="n">
        <v>43798</v>
      </c>
      <c r="C107" s="1" t="n">
        <v>45575</v>
      </c>
      <c r="D107" t="inlineStr">
        <is>
          <t>DALARNAS LÄN</t>
        </is>
      </c>
      <c r="E107" t="inlineStr">
        <is>
          <t>SMEDJEBACKEN</t>
        </is>
      </c>
      <c r="G107" t="n">
        <v>1.5</v>
      </c>
      <c r="H107" t="n">
        <v>0</v>
      </c>
      <c r="I107" t="n">
        <v>0</v>
      </c>
      <c r="J107" t="n">
        <v>0</v>
      </c>
      <c r="K107" t="n">
        <v>0</v>
      </c>
      <c r="L107" t="n">
        <v>0</v>
      </c>
      <c r="M107" t="n">
        <v>0</v>
      </c>
      <c r="N107" t="n">
        <v>0</v>
      </c>
      <c r="O107" t="n">
        <v>0</v>
      </c>
      <c r="P107" t="n">
        <v>0</v>
      </c>
      <c r="Q107" t="n">
        <v>0</v>
      </c>
      <c r="R107" s="2" t="inlineStr"/>
    </row>
    <row r="108" ht="15" customHeight="1">
      <c r="A108" t="inlineStr">
        <is>
          <t>A 67991-2019</t>
        </is>
      </c>
      <c r="B108" s="1" t="n">
        <v>43811</v>
      </c>
      <c r="C108" s="1" t="n">
        <v>45575</v>
      </c>
      <c r="D108" t="inlineStr">
        <is>
          <t>DALARNAS LÄN</t>
        </is>
      </c>
      <c r="E108" t="inlineStr">
        <is>
          <t>SMEDJEBACKEN</t>
        </is>
      </c>
      <c r="F108" t="inlineStr">
        <is>
          <t>Bergvik skog väst AB</t>
        </is>
      </c>
      <c r="G108" t="n">
        <v>13.9</v>
      </c>
      <c r="H108" t="n">
        <v>0</v>
      </c>
      <c r="I108" t="n">
        <v>0</v>
      </c>
      <c r="J108" t="n">
        <v>0</v>
      </c>
      <c r="K108" t="n">
        <v>0</v>
      </c>
      <c r="L108" t="n">
        <v>0</v>
      </c>
      <c r="M108" t="n">
        <v>0</v>
      </c>
      <c r="N108" t="n">
        <v>0</v>
      </c>
      <c r="O108" t="n">
        <v>0</v>
      </c>
      <c r="P108" t="n">
        <v>0</v>
      </c>
      <c r="Q108" t="n">
        <v>0</v>
      </c>
      <c r="R108" s="2" t="inlineStr"/>
    </row>
    <row r="109" ht="15" customHeight="1">
      <c r="A109" t="inlineStr">
        <is>
          <t>A 68938-2019</t>
        </is>
      </c>
      <c r="B109" s="1" t="n">
        <v>43822</v>
      </c>
      <c r="C109" s="1" t="n">
        <v>45575</v>
      </c>
      <c r="D109" t="inlineStr">
        <is>
          <t>DALARNAS LÄN</t>
        </is>
      </c>
      <c r="E109" t="inlineStr">
        <is>
          <t>SMEDJEBACKEN</t>
        </is>
      </c>
      <c r="G109" t="n">
        <v>1.5</v>
      </c>
      <c r="H109" t="n">
        <v>0</v>
      </c>
      <c r="I109" t="n">
        <v>0</v>
      </c>
      <c r="J109" t="n">
        <v>0</v>
      </c>
      <c r="K109" t="n">
        <v>0</v>
      </c>
      <c r="L109" t="n">
        <v>0</v>
      </c>
      <c r="M109" t="n">
        <v>0</v>
      </c>
      <c r="N109" t="n">
        <v>0</v>
      </c>
      <c r="O109" t="n">
        <v>0</v>
      </c>
      <c r="P109" t="n">
        <v>0</v>
      </c>
      <c r="Q109" t="n">
        <v>0</v>
      </c>
      <c r="R109" s="2" t="inlineStr"/>
    </row>
    <row r="110" ht="15" customHeight="1">
      <c r="A110" t="inlineStr">
        <is>
          <t>A 68937-2019</t>
        </is>
      </c>
      <c r="B110" s="1" t="n">
        <v>43822</v>
      </c>
      <c r="C110" s="1" t="n">
        <v>45575</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1080-2020</t>
        </is>
      </c>
      <c r="B111" s="1" t="n">
        <v>43840</v>
      </c>
      <c r="C111" s="1" t="n">
        <v>45575</v>
      </c>
      <c r="D111" t="inlineStr">
        <is>
          <t>DALARNAS LÄN</t>
        </is>
      </c>
      <c r="E111" t="inlineStr">
        <is>
          <t>SMEDJEBACKEN</t>
        </is>
      </c>
      <c r="G111" t="n">
        <v>2.9</v>
      </c>
      <c r="H111" t="n">
        <v>0</v>
      </c>
      <c r="I111" t="n">
        <v>0</v>
      </c>
      <c r="J111" t="n">
        <v>0</v>
      </c>
      <c r="K111" t="n">
        <v>0</v>
      </c>
      <c r="L111" t="n">
        <v>0</v>
      </c>
      <c r="M111" t="n">
        <v>0</v>
      </c>
      <c r="N111" t="n">
        <v>0</v>
      </c>
      <c r="O111" t="n">
        <v>0</v>
      </c>
      <c r="P111" t="n">
        <v>0</v>
      </c>
      <c r="Q111" t="n">
        <v>0</v>
      </c>
      <c r="R111" s="2" t="inlineStr"/>
    </row>
    <row r="112" ht="15" customHeight="1">
      <c r="A112" t="inlineStr">
        <is>
          <t>A 2333-2020</t>
        </is>
      </c>
      <c r="B112" s="1" t="n">
        <v>43840</v>
      </c>
      <c r="C112" s="1" t="n">
        <v>45575</v>
      </c>
      <c r="D112" t="inlineStr">
        <is>
          <t>DALARNAS LÄN</t>
        </is>
      </c>
      <c r="E112" t="inlineStr">
        <is>
          <t>SMEDJEBACKEN</t>
        </is>
      </c>
      <c r="G112" t="n">
        <v>4.5</v>
      </c>
      <c r="H112" t="n">
        <v>0</v>
      </c>
      <c r="I112" t="n">
        <v>0</v>
      </c>
      <c r="J112" t="n">
        <v>0</v>
      </c>
      <c r="K112" t="n">
        <v>0</v>
      </c>
      <c r="L112" t="n">
        <v>0</v>
      </c>
      <c r="M112" t="n">
        <v>0</v>
      </c>
      <c r="N112" t="n">
        <v>0</v>
      </c>
      <c r="O112" t="n">
        <v>0</v>
      </c>
      <c r="P112" t="n">
        <v>0</v>
      </c>
      <c r="Q112" t="n">
        <v>0</v>
      </c>
      <c r="R112" s="2" t="inlineStr"/>
    </row>
    <row r="113" ht="15" customHeight="1">
      <c r="A113" t="inlineStr">
        <is>
          <t>A 1119-2020</t>
        </is>
      </c>
      <c r="B113" s="1" t="n">
        <v>43840</v>
      </c>
      <c r="C113" s="1" t="n">
        <v>45575</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1287-2020</t>
        </is>
      </c>
      <c r="B114" s="1" t="n">
        <v>43842</v>
      </c>
      <c r="C114" s="1" t="n">
        <v>45575</v>
      </c>
      <c r="D114" t="inlineStr">
        <is>
          <t>DALARNAS LÄN</t>
        </is>
      </c>
      <c r="E114" t="inlineStr">
        <is>
          <t>SMEDJEBACKEN</t>
        </is>
      </c>
      <c r="G114" t="n">
        <v>1.3</v>
      </c>
      <c r="H114" t="n">
        <v>0</v>
      </c>
      <c r="I114" t="n">
        <v>0</v>
      </c>
      <c r="J114" t="n">
        <v>0</v>
      </c>
      <c r="K114" t="n">
        <v>0</v>
      </c>
      <c r="L114" t="n">
        <v>0</v>
      </c>
      <c r="M114" t="n">
        <v>0</v>
      </c>
      <c r="N114" t="n">
        <v>0</v>
      </c>
      <c r="O114" t="n">
        <v>0</v>
      </c>
      <c r="P114" t="n">
        <v>0</v>
      </c>
      <c r="Q114" t="n">
        <v>0</v>
      </c>
      <c r="R114" s="2" t="inlineStr"/>
    </row>
    <row r="115" ht="15" customHeight="1">
      <c r="A115" t="inlineStr">
        <is>
          <t>A 1470-2020</t>
        </is>
      </c>
      <c r="B115" s="1" t="n">
        <v>43843</v>
      </c>
      <c r="C115" s="1" t="n">
        <v>45575</v>
      </c>
      <c r="D115" t="inlineStr">
        <is>
          <t>DALARNAS LÄN</t>
        </is>
      </c>
      <c r="E115" t="inlineStr">
        <is>
          <t>SMEDJEBACKEN</t>
        </is>
      </c>
      <c r="G115" t="n">
        <v>4</v>
      </c>
      <c r="H115" t="n">
        <v>0</v>
      </c>
      <c r="I115" t="n">
        <v>0</v>
      </c>
      <c r="J115" t="n">
        <v>0</v>
      </c>
      <c r="K115" t="n">
        <v>0</v>
      </c>
      <c r="L115" t="n">
        <v>0</v>
      </c>
      <c r="M115" t="n">
        <v>0</v>
      </c>
      <c r="N115" t="n">
        <v>0</v>
      </c>
      <c r="O115" t="n">
        <v>0</v>
      </c>
      <c r="P115" t="n">
        <v>0</v>
      </c>
      <c r="Q115" t="n">
        <v>0</v>
      </c>
      <c r="R115" s="2" t="inlineStr"/>
    </row>
    <row r="116" ht="15" customHeight="1">
      <c r="A116" t="inlineStr">
        <is>
          <t>A 1466-2020</t>
        </is>
      </c>
      <c r="B116" s="1" t="n">
        <v>43843</v>
      </c>
      <c r="C116" s="1" t="n">
        <v>45575</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2044-2020</t>
        </is>
      </c>
      <c r="B117" s="1" t="n">
        <v>43845</v>
      </c>
      <c r="C117" s="1" t="n">
        <v>45575</v>
      </c>
      <c r="D117" t="inlineStr">
        <is>
          <t>DALARNAS LÄN</t>
        </is>
      </c>
      <c r="E117" t="inlineStr">
        <is>
          <t>SMEDJEBACKEN</t>
        </is>
      </c>
      <c r="F117" t="inlineStr">
        <is>
          <t>Kyrkan</t>
        </is>
      </c>
      <c r="G117" t="n">
        <v>5.1</v>
      </c>
      <c r="H117" t="n">
        <v>0</v>
      </c>
      <c r="I117" t="n">
        <v>0</v>
      </c>
      <c r="J117" t="n">
        <v>0</v>
      </c>
      <c r="K117" t="n">
        <v>0</v>
      </c>
      <c r="L117" t="n">
        <v>0</v>
      </c>
      <c r="M117" t="n">
        <v>0</v>
      </c>
      <c r="N117" t="n">
        <v>0</v>
      </c>
      <c r="O117" t="n">
        <v>0</v>
      </c>
      <c r="P117" t="n">
        <v>0</v>
      </c>
      <c r="Q117" t="n">
        <v>0</v>
      </c>
      <c r="R117" s="2" t="inlineStr"/>
    </row>
    <row r="118" ht="15" customHeight="1">
      <c r="A118" t="inlineStr">
        <is>
          <t>A 4046-2020</t>
        </is>
      </c>
      <c r="B118" s="1" t="n">
        <v>43846</v>
      </c>
      <c r="C118" s="1" t="n">
        <v>45575</v>
      </c>
      <c r="D118" t="inlineStr">
        <is>
          <t>DALARNAS LÄN</t>
        </is>
      </c>
      <c r="E118" t="inlineStr">
        <is>
          <t>SMEDJEBACKEN</t>
        </is>
      </c>
      <c r="G118" t="n">
        <v>0.8</v>
      </c>
      <c r="H118" t="n">
        <v>0</v>
      </c>
      <c r="I118" t="n">
        <v>0</v>
      </c>
      <c r="J118" t="n">
        <v>0</v>
      </c>
      <c r="K118" t="n">
        <v>0</v>
      </c>
      <c r="L118" t="n">
        <v>0</v>
      </c>
      <c r="M118" t="n">
        <v>0</v>
      </c>
      <c r="N118" t="n">
        <v>0</v>
      </c>
      <c r="O118" t="n">
        <v>0</v>
      </c>
      <c r="P118" t="n">
        <v>0</v>
      </c>
      <c r="Q118" t="n">
        <v>0</v>
      </c>
      <c r="R118" s="2" t="inlineStr"/>
    </row>
    <row r="119" ht="15" customHeight="1">
      <c r="A119" t="inlineStr">
        <is>
          <t>A 2989-2020</t>
        </is>
      </c>
      <c r="B119" s="1" t="n">
        <v>43850</v>
      </c>
      <c r="C119" s="1" t="n">
        <v>45575</v>
      </c>
      <c r="D119" t="inlineStr">
        <is>
          <t>DALARNAS LÄN</t>
        </is>
      </c>
      <c r="E119" t="inlineStr">
        <is>
          <t>SMEDJEBACKEN</t>
        </is>
      </c>
      <c r="G119" t="n">
        <v>0.6</v>
      </c>
      <c r="H119" t="n">
        <v>0</v>
      </c>
      <c r="I119" t="n">
        <v>0</v>
      </c>
      <c r="J119" t="n">
        <v>0</v>
      </c>
      <c r="K119" t="n">
        <v>0</v>
      </c>
      <c r="L119" t="n">
        <v>0</v>
      </c>
      <c r="M119" t="n">
        <v>0</v>
      </c>
      <c r="N119" t="n">
        <v>0</v>
      </c>
      <c r="O119" t="n">
        <v>0</v>
      </c>
      <c r="P119" t="n">
        <v>0</v>
      </c>
      <c r="Q119" t="n">
        <v>0</v>
      </c>
      <c r="R119" s="2" t="inlineStr"/>
    </row>
    <row r="120" ht="15" customHeight="1">
      <c r="A120" t="inlineStr">
        <is>
          <t>A 3219-2020</t>
        </is>
      </c>
      <c r="B120" s="1" t="n">
        <v>43851</v>
      </c>
      <c r="C120" s="1" t="n">
        <v>45575</v>
      </c>
      <c r="D120" t="inlineStr">
        <is>
          <t>DALARNAS LÄN</t>
        </is>
      </c>
      <c r="E120" t="inlineStr">
        <is>
          <t>SMEDJEBACKEN</t>
        </is>
      </c>
      <c r="G120" t="n">
        <v>7.2</v>
      </c>
      <c r="H120" t="n">
        <v>0</v>
      </c>
      <c r="I120" t="n">
        <v>0</v>
      </c>
      <c r="J120" t="n">
        <v>0</v>
      </c>
      <c r="K120" t="n">
        <v>0</v>
      </c>
      <c r="L120" t="n">
        <v>0</v>
      </c>
      <c r="M120" t="n">
        <v>0</v>
      </c>
      <c r="N120" t="n">
        <v>0</v>
      </c>
      <c r="O120" t="n">
        <v>0</v>
      </c>
      <c r="P120" t="n">
        <v>0</v>
      </c>
      <c r="Q120" t="n">
        <v>0</v>
      </c>
      <c r="R120" s="2" t="inlineStr"/>
    </row>
    <row r="121" ht="15" customHeight="1">
      <c r="A121" t="inlineStr">
        <is>
          <t>A 3601-2020</t>
        </is>
      </c>
      <c r="B121" s="1" t="n">
        <v>43853</v>
      </c>
      <c r="C121" s="1" t="n">
        <v>45575</v>
      </c>
      <c r="D121" t="inlineStr">
        <is>
          <t>DALARNAS LÄN</t>
        </is>
      </c>
      <c r="E121" t="inlineStr">
        <is>
          <t>SMEDJEBACKEN</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5227-2020</t>
        </is>
      </c>
      <c r="B122" s="1" t="n">
        <v>43854</v>
      </c>
      <c r="C122" s="1" t="n">
        <v>45575</v>
      </c>
      <c r="D122" t="inlineStr">
        <is>
          <t>DALARNAS LÄN</t>
        </is>
      </c>
      <c r="E122" t="inlineStr">
        <is>
          <t>SMEDJEBACKEN</t>
        </is>
      </c>
      <c r="G122" t="n">
        <v>1.6</v>
      </c>
      <c r="H122" t="n">
        <v>0</v>
      </c>
      <c r="I122" t="n">
        <v>0</v>
      </c>
      <c r="J122" t="n">
        <v>0</v>
      </c>
      <c r="K122" t="n">
        <v>0</v>
      </c>
      <c r="L122" t="n">
        <v>0</v>
      </c>
      <c r="M122" t="n">
        <v>0</v>
      </c>
      <c r="N122" t="n">
        <v>0</v>
      </c>
      <c r="O122" t="n">
        <v>0</v>
      </c>
      <c r="P122" t="n">
        <v>0</v>
      </c>
      <c r="Q122" t="n">
        <v>0</v>
      </c>
      <c r="R122" s="2" t="inlineStr"/>
    </row>
    <row r="123" ht="15" customHeight="1">
      <c r="A123" t="inlineStr">
        <is>
          <t>A 5959-2020</t>
        </is>
      </c>
      <c r="B123" s="1" t="n">
        <v>43864</v>
      </c>
      <c r="C123" s="1" t="n">
        <v>45575</v>
      </c>
      <c r="D123" t="inlineStr">
        <is>
          <t>DALARNAS LÄN</t>
        </is>
      </c>
      <c r="E123" t="inlineStr">
        <is>
          <t>SMEDJEBACKEN</t>
        </is>
      </c>
      <c r="G123" t="n">
        <v>2.2</v>
      </c>
      <c r="H123" t="n">
        <v>0</v>
      </c>
      <c r="I123" t="n">
        <v>0</v>
      </c>
      <c r="J123" t="n">
        <v>0</v>
      </c>
      <c r="K123" t="n">
        <v>0</v>
      </c>
      <c r="L123" t="n">
        <v>0</v>
      </c>
      <c r="M123" t="n">
        <v>0</v>
      </c>
      <c r="N123" t="n">
        <v>0</v>
      </c>
      <c r="O123" t="n">
        <v>0</v>
      </c>
      <c r="P123" t="n">
        <v>0</v>
      </c>
      <c r="Q123" t="n">
        <v>0</v>
      </c>
      <c r="R123" s="2" t="inlineStr"/>
    </row>
    <row r="124" ht="15" customHeight="1">
      <c r="A124" t="inlineStr">
        <is>
          <t>A 6312-2020</t>
        </is>
      </c>
      <c r="B124" s="1" t="n">
        <v>43866</v>
      </c>
      <c r="C124" s="1" t="n">
        <v>45575</v>
      </c>
      <c r="D124" t="inlineStr">
        <is>
          <t>DALARNAS LÄN</t>
        </is>
      </c>
      <c r="E124" t="inlineStr">
        <is>
          <t>SMEDJEBACKEN</t>
        </is>
      </c>
      <c r="G124" t="n">
        <v>6.7</v>
      </c>
      <c r="H124" t="n">
        <v>0</v>
      </c>
      <c r="I124" t="n">
        <v>0</v>
      </c>
      <c r="J124" t="n">
        <v>0</v>
      </c>
      <c r="K124" t="n">
        <v>0</v>
      </c>
      <c r="L124" t="n">
        <v>0</v>
      </c>
      <c r="M124" t="n">
        <v>0</v>
      </c>
      <c r="N124" t="n">
        <v>0</v>
      </c>
      <c r="O124" t="n">
        <v>0</v>
      </c>
      <c r="P124" t="n">
        <v>0</v>
      </c>
      <c r="Q124" t="n">
        <v>0</v>
      </c>
      <c r="R124" s="2" t="inlineStr"/>
    </row>
    <row r="125" ht="15" customHeight="1">
      <c r="A125" t="inlineStr">
        <is>
          <t>A 7721-2020</t>
        </is>
      </c>
      <c r="B125" s="1" t="n">
        <v>43872</v>
      </c>
      <c r="C125" s="1" t="n">
        <v>45575</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9950-2020</t>
        </is>
      </c>
      <c r="B126" s="1" t="n">
        <v>43882</v>
      </c>
      <c r="C126" s="1" t="n">
        <v>45575</v>
      </c>
      <c r="D126" t="inlineStr">
        <is>
          <t>DALARNAS LÄN</t>
        </is>
      </c>
      <c r="E126" t="inlineStr">
        <is>
          <t>SMEDJEBACKEN</t>
        </is>
      </c>
      <c r="G126" t="n">
        <v>3.4</v>
      </c>
      <c r="H126" t="n">
        <v>0</v>
      </c>
      <c r="I126" t="n">
        <v>0</v>
      </c>
      <c r="J126" t="n">
        <v>0</v>
      </c>
      <c r="K126" t="n">
        <v>0</v>
      </c>
      <c r="L126" t="n">
        <v>0</v>
      </c>
      <c r="M126" t="n">
        <v>0</v>
      </c>
      <c r="N126" t="n">
        <v>0</v>
      </c>
      <c r="O126" t="n">
        <v>0</v>
      </c>
      <c r="P126" t="n">
        <v>0</v>
      </c>
      <c r="Q126" t="n">
        <v>0</v>
      </c>
      <c r="R126" s="2" t="inlineStr"/>
    </row>
    <row r="127" ht="15" customHeight="1">
      <c r="A127" t="inlineStr">
        <is>
          <t>A 10716-2020</t>
        </is>
      </c>
      <c r="B127" s="1" t="n">
        <v>43885</v>
      </c>
      <c r="C127" s="1" t="n">
        <v>45575</v>
      </c>
      <c r="D127" t="inlineStr">
        <is>
          <t>DALARNAS LÄN</t>
        </is>
      </c>
      <c r="E127" t="inlineStr">
        <is>
          <t>SMEDJEBACKEN</t>
        </is>
      </c>
      <c r="G127" t="n">
        <v>1.2</v>
      </c>
      <c r="H127" t="n">
        <v>0</v>
      </c>
      <c r="I127" t="n">
        <v>0</v>
      </c>
      <c r="J127" t="n">
        <v>0</v>
      </c>
      <c r="K127" t="n">
        <v>0</v>
      </c>
      <c r="L127" t="n">
        <v>0</v>
      </c>
      <c r="M127" t="n">
        <v>0</v>
      </c>
      <c r="N127" t="n">
        <v>0</v>
      </c>
      <c r="O127" t="n">
        <v>0</v>
      </c>
      <c r="P127" t="n">
        <v>0</v>
      </c>
      <c r="Q127" t="n">
        <v>0</v>
      </c>
      <c r="R127" s="2" t="inlineStr"/>
    </row>
    <row r="128" ht="15" customHeight="1">
      <c r="A128" t="inlineStr">
        <is>
          <t>A 11304-2020</t>
        </is>
      </c>
      <c r="B128" s="1" t="n">
        <v>43886</v>
      </c>
      <c r="C128" s="1" t="n">
        <v>45575</v>
      </c>
      <c r="D128" t="inlineStr">
        <is>
          <t>DALARNAS LÄN</t>
        </is>
      </c>
      <c r="E128" t="inlineStr">
        <is>
          <t>SMEDJEBACKEN</t>
        </is>
      </c>
      <c r="G128" t="n">
        <v>1.8</v>
      </c>
      <c r="H128" t="n">
        <v>0</v>
      </c>
      <c r="I128" t="n">
        <v>0</v>
      </c>
      <c r="J128" t="n">
        <v>0</v>
      </c>
      <c r="K128" t="n">
        <v>0</v>
      </c>
      <c r="L128" t="n">
        <v>0</v>
      </c>
      <c r="M128" t="n">
        <v>0</v>
      </c>
      <c r="N128" t="n">
        <v>0</v>
      </c>
      <c r="O128" t="n">
        <v>0</v>
      </c>
      <c r="P128" t="n">
        <v>0</v>
      </c>
      <c r="Q128" t="n">
        <v>0</v>
      </c>
      <c r="R128" s="2" t="inlineStr"/>
    </row>
    <row r="129" ht="15" customHeight="1">
      <c r="A129" t="inlineStr">
        <is>
          <t>A 10582-2020</t>
        </is>
      </c>
      <c r="B129" s="1" t="n">
        <v>43887</v>
      </c>
      <c r="C129" s="1" t="n">
        <v>45575</v>
      </c>
      <c r="D129" t="inlineStr">
        <is>
          <t>DALARNAS LÄN</t>
        </is>
      </c>
      <c r="E129" t="inlineStr">
        <is>
          <t>SMEDJEBACKEN</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10104-2020</t>
        </is>
      </c>
      <c r="B130" s="1" t="n">
        <v>43887</v>
      </c>
      <c r="C130" s="1" t="n">
        <v>45575</v>
      </c>
      <c r="D130" t="inlineStr">
        <is>
          <t>DALARNAS LÄN</t>
        </is>
      </c>
      <c r="E130" t="inlineStr">
        <is>
          <t>SMEDJEBACKEN</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10605-2020</t>
        </is>
      </c>
      <c r="B131" s="1" t="n">
        <v>43887</v>
      </c>
      <c r="C131" s="1" t="n">
        <v>45575</v>
      </c>
      <c r="D131" t="inlineStr">
        <is>
          <t>DALARNAS LÄN</t>
        </is>
      </c>
      <c r="E131" t="inlineStr">
        <is>
          <t>SMEDJEBACKEN</t>
        </is>
      </c>
      <c r="G131" t="n">
        <v>0.6</v>
      </c>
      <c r="H131" t="n">
        <v>0</v>
      </c>
      <c r="I131" t="n">
        <v>0</v>
      </c>
      <c r="J131" t="n">
        <v>0</v>
      </c>
      <c r="K131" t="n">
        <v>0</v>
      </c>
      <c r="L131" t="n">
        <v>0</v>
      </c>
      <c r="M131" t="n">
        <v>0</v>
      </c>
      <c r="N131" t="n">
        <v>0</v>
      </c>
      <c r="O131" t="n">
        <v>0</v>
      </c>
      <c r="P131" t="n">
        <v>0</v>
      </c>
      <c r="Q131" t="n">
        <v>0</v>
      </c>
      <c r="R131" s="2" t="inlineStr"/>
    </row>
    <row r="132" ht="15" customHeight="1">
      <c r="A132" t="inlineStr">
        <is>
          <t>A 10562-2020</t>
        </is>
      </c>
      <c r="B132" s="1" t="n">
        <v>43887</v>
      </c>
      <c r="C132" s="1" t="n">
        <v>45575</v>
      </c>
      <c r="D132" t="inlineStr">
        <is>
          <t>DALARNAS LÄN</t>
        </is>
      </c>
      <c r="E132" t="inlineStr">
        <is>
          <t>SMEDJEBACKEN</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10772-2020</t>
        </is>
      </c>
      <c r="B133" s="1" t="n">
        <v>43888</v>
      </c>
      <c r="C133" s="1" t="n">
        <v>45575</v>
      </c>
      <c r="D133" t="inlineStr">
        <is>
          <t>DALARNAS LÄN</t>
        </is>
      </c>
      <c r="E133" t="inlineStr">
        <is>
          <t>SMEDJEBACKEN</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12381-2020</t>
        </is>
      </c>
      <c r="B134" s="1" t="n">
        <v>43896</v>
      </c>
      <c r="C134" s="1" t="n">
        <v>45575</v>
      </c>
      <c r="D134" t="inlineStr">
        <is>
          <t>DALARNAS LÄN</t>
        </is>
      </c>
      <c r="E134" t="inlineStr">
        <is>
          <t>SMEDJEBACKEN</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14636-2020</t>
        </is>
      </c>
      <c r="B135" s="1" t="n">
        <v>43902</v>
      </c>
      <c r="C135" s="1" t="n">
        <v>45575</v>
      </c>
      <c r="D135" t="inlineStr">
        <is>
          <t>DALARNAS LÄN</t>
        </is>
      </c>
      <c r="E135" t="inlineStr">
        <is>
          <t>SMEDJEBACKEN</t>
        </is>
      </c>
      <c r="G135" t="n">
        <v>9.6</v>
      </c>
      <c r="H135" t="n">
        <v>0</v>
      </c>
      <c r="I135" t="n">
        <v>0</v>
      </c>
      <c r="J135" t="n">
        <v>0</v>
      </c>
      <c r="K135" t="n">
        <v>0</v>
      </c>
      <c r="L135" t="n">
        <v>0</v>
      </c>
      <c r="M135" t="n">
        <v>0</v>
      </c>
      <c r="N135" t="n">
        <v>0</v>
      </c>
      <c r="O135" t="n">
        <v>0</v>
      </c>
      <c r="P135" t="n">
        <v>0</v>
      </c>
      <c r="Q135" t="n">
        <v>0</v>
      </c>
      <c r="R135" s="2" t="inlineStr"/>
    </row>
    <row r="136" ht="15" customHeight="1">
      <c r="A136" t="inlineStr">
        <is>
          <t>A 15772-2020</t>
        </is>
      </c>
      <c r="B136" s="1" t="n">
        <v>43915</v>
      </c>
      <c r="C136" s="1" t="n">
        <v>45575</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15668-2020</t>
        </is>
      </c>
      <c r="B137" s="1" t="n">
        <v>43915</v>
      </c>
      <c r="C137" s="1" t="n">
        <v>45575</v>
      </c>
      <c r="D137" t="inlineStr">
        <is>
          <t>DALARNAS LÄN</t>
        </is>
      </c>
      <c r="E137" t="inlineStr">
        <is>
          <t>SMEDJEBACKEN</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16415-2020</t>
        </is>
      </c>
      <c r="B138" s="1" t="n">
        <v>43919</v>
      </c>
      <c r="C138" s="1" t="n">
        <v>45575</v>
      </c>
      <c r="D138" t="inlineStr">
        <is>
          <t>DALARNAS LÄN</t>
        </is>
      </c>
      <c r="E138" t="inlineStr">
        <is>
          <t>SMEDJEBACKEN</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16614-2020</t>
        </is>
      </c>
      <c r="B139" s="1" t="n">
        <v>43920</v>
      </c>
      <c r="C139" s="1" t="n">
        <v>45575</v>
      </c>
      <c r="D139" t="inlineStr">
        <is>
          <t>DALARNAS LÄN</t>
        </is>
      </c>
      <c r="E139" t="inlineStr">
        <is>
          <t>SMEDJEBACKEN</t>
        </is>
      </c>
      <c r="F139" t="inlineStr">
        <is>
          <t>Övriga Aktiebolag</t>
        </is>
      </c>
      <c r="G139" t="n">
        <v>7.7</v>
      </c>
      <c r="H139" t="n">
        <v>0</v>
      </c>
      <c r="I139" t="n">
        <v>0</v>
      </c>
      <c r="J139" t="n">
        <v>0</v>
      </c>
      <c r="K139" t="n">
        <v>0</v>
      </c>
      <c r="L139" t="n">
        <v>0</v>
      </c>
      <c r="M139" t="n">
        <v>0</v>
      </c>
      <c r="N139" t="n">
        <v>0</v>
      </c>
      <c r="O139" t="n">
        <v>0</v>
      </c>
      <c r="P139" t="n">
        <v>0</v>
      </c>
      <c r="Q139" t="n">
        <v>0</v>
      </c>
      <c r="R139" s="2" t="inlineStr"/>
    </row>
    <row r="140" ht="15" customHeight="1">
      <c r="A140" t="inlineStr">
        <is>
          <t>A 16861-2020</t>
        </is>
      </c>
      <c r="B140" s="1" t="n">
        <v>43921</v>
      </c>
      <c r="C140" s="1" t="n">
        <v>45575</v>
      </c>
      <c r="D140" t="inlineStr">
        <is>
          <t>DALARNAS LÄN</t>
        </is>
      </c>
      <c r="E140" t="inlineStr">
        <is>
          <t>SMEDJEBACKEN</t>
        </is>
      </c>
      <c r="F140" t="inlineStr">
        <is>
          <t>Övriga Aktiebolag</t>
        </is>
      </c>
      <c r="G140" t="n">
        <v>3.6</v>
      </c>
      <c r="H140" t="n">
        <v>0</v>
      </c>
      <c r="I140" t="n">
        <v>0</v>
      </c>
      <c r="J140" t="n">
        <v>0</v>
      </c>
      <c r="K140" t="n">
        <v>0</v>
      </c>
      <c r="L140" t="n">
        <v>0</v>
      </c>
      <c r="M140" t="n">
        <v>0</v>
      </c>
      <c r="N140" t="n">
        <v>0</v>
      </c>
      <c r="O140" t="n">
        <v>0</v>
      </c>
      <c r="P140" t="n">
        <v>0</v>
      </c>
      <c r="Q140" t="n">
        <v>0</v>
      </c>
      <c r="R140" s="2" t="inlineStr"/>
    </row>
    <row r="141" ht="15" customHeight="1">
      <c r="A141" t="inlineStr">
        <is>
          <t>A 17031-2020</t>
        </is>
      </c>
      <c r="B141" s="1" t="n">
        <v>43921</v>
      </c>
      <c r="C141" s="1" t="n">
        <v>45575</v>
      </c>
      <c r="D141" t="inlineStr">
        <is>
          <t>DALARNAS LÄN</t>
        </is>
      </c>
      <c r="E141" t="inlineStr">
        <is>
          <t>SMEDJEBACKEN</t>
        </is>
      </c>
      <c r="G141" t="n">
        <v>0.8</v>
      </c>
      <c r="H141" t="n">
        <v>0</v>
      </c>
      <c r="I141" t="n">
        <v>0</v>
      </c>
      <c r="J141" t="n">
        <v>0</v>
      </c>
      <c r="K141" t="n">
        <v>0</v>
      </c>
      <c r="L141" t="n">
        <v>0</v>
      </c>
      <c r="M141" t="n">
        <v>0</v>
      </c>
      <c r="N141" t="n">
        <v>0</v>
      </c>
      <c r="O141" t="n">
        <v>0</v>
      </c>
      <c r="P141" t="n">
        <v>0</v>
      </c>
      <c r="Q141" t="n">
        <v>0</v>
      </c>
      <c r="R141" s="2" t="inlineStr"/>
    </row>
    <row r="142" ht="15" customHeight="1">
      <c r="A142" t="inlineStr">
        <is>
          <t>A 18065-2020</t>
        </is>
      </c>
      <c r="B142" s="1" t="n">
        <v>43927</v>
      </c>
      <c r="C142" s="1" t="n">
        <v>45575</v>
      </c>
      <c r="D142" t="inlineStr">
        <is>
          <t>DALARNAS LÄN</t>
        </is>
      </c>
      <c r="E142" t="inlineStr">
        <is>
          <t>SMEDJEBACKEN</t>
        </is>
      </c>
      <c r="G142" t="n">
        <v>2.6</v>
      </c>
      <c r="H142" t="n">
        <v>0</v>
      </c>
      <c r="I142" t="n">
        <v>0</v>
      </c>
      <c r="J142" t="n">
        <v>0</v>
      </c>
      <c r="K142" t="n">
        <v>0</v>
      </c>
      <c r="L142" t="n">
        <v>0</v>
      </c>
      <c r="M142" t="n">
        <v>0</v>
      </c>
      <c r="N142" t="n">
        <v>0</v>
      </c>
      <c r="O142" t="n">
        <v>0</v>
      </c>
      <c r="P142" t="n">
        <v>0</v>
      </c>
      <c r="Q142" t="n">
        <v>0</v>
      </c>
      <c r="R142" s="2" t="inlineStr"/>
    </row>
    <row r="143" ht="15" customHeight="1">
      <c r="A143" t="inlineStr">
        <is>
          <t>A 18068-2020</t>
        </is>
      </c>
      <c r="B143" s="1" t="n">
        <v>43927</v>
      </c>
      <c r="C143" s="1" t="n">
        <v>45575</v>
      </c>
      <c r="D143" t="inlineStr">
        <is>
          <t>DALARNAS LÄN</t>
        </is>
      </c>
      <c r="E143" t="inlineStr">
        <is>
          <t>SMEDJEBACKEN</t>
        </is>
      </c>
      <c r="G143" t="n">
        <v>3.5</v>
      </c>
      <c r="H143" t="n">
        <v>0</v>
      </c>
      <c r="I143" t="n">
        <v>0</v>
      </c>
      <c r="J143" t="n">
        <v>0</v>
      </c>
      <c r="K143" t="n">
        <v>0</v>
      </c>
      <c r="L143" t="n">
        <v>0</v>
      </c>
      <c r="M143" t="n">
        <v>0</v>
      </c>
      <c r="N143" t="n">
        <v>0</v>
      </c>
      <c r="O143" t="n">
        <v>0</v>
      </c>
      <c r="P143" t="n">
        <v>0</v>
      </c>
      <c r="Q143" t="n">
        <v>0</v>
      </c>
      <c r="R143" s="2" t="inlineStr"/>
    </row>
    <row r="144" ht="15" customHeight="1">
      <c r="A144" t="inlineStr">
        <is>
          <t>A 18500-2020</t>
        </is>
      </c>
      <c r="B144" s="1" t="n">
        <v>43929</v>
      </c>
      <c r="C144" s="1" t="n">
        <v>45575</v>
      </c>
      <c r="D144" t="inlineStr">
        <is>
          <t>DALARNAS LÄN</t>
        </is>
      </c>
      <c r="E144" t="inlineStr">
        <is>
          <t>SMEDJEBACKEN</t>
        </is>
      </c>
      <c r="G144" t="n">
        <v>4.3</v>
      </c>
      <c r="H144" t="n">
        <v>0</v>
      </c>
      <c r="I144" t="n">
        <v>0</v>
      </c>
      <c r="J144" t="n">
        <v>0</v>
      </c>
      <c r="K144" t="n">
        <v>0</v>
      </c>
      <c r="L144" t="n">
        <v>0</v>
      </c>
      <c r="M144" t="n">
        <v>0</v>
      </c>
      <c r="N144" t="n">
        <v>0</v>
      </c>
      <c r="O144" t="n">
        <v>0</v>
      </c>
      <c r="P144" t="n">
        <v>0</v>
      </c>
      <c r="Q144" t="n">
        <v>0</v>
      </c>
      <c r="R144" s="2" t="inlineStr"/>
    </row>
    <row r="145" ht="15" customHeight="1">
      <c r="A145" t="inlineStr">
        <is>
          <t>A 19633-2020</t>
        </is>
      </c>
      <c r="B145" s="1" t="n">
        <v>43941</v>
      </c>
      <c r="C145" s="1" t="n">
        <v>45575</v>
      </c>
      <c r="D145" t="inlineStr">
        <is>
          <t>DALARNAS LÄN</t>
        </is>
      </c>
      <c r="E145" t="inlineStr">
        <is>
          <t>SMEDJEBACKEN</t>
        </is>
      </c>
      <c r="F145" t="inlineStr">
        <is>
          <t>Övriga Aktiebolag</t>
        </is>
      </c>
      <c r="G145" t="n">
        <v>6.6</v>
      </c>
      <c r="H145" t="n">
        <v>0</v>
      </c>
      <c r="I145" t="n">
        <v>0</v>
      </c>
      <c r="J145" t="n">
        <v>0</v>
      </c>
      <c r="K145" t="n">
        <v>0</v>
      </c>
      <c r="L145" t="n">
        <v>0</v>
      </c>
      <c r="M145" t="n">
        <v>0</v>
      </c>
      <c r="N145" t="n">
        <v>0</v>
      </c>
      <c r="O145" t="n">
        <v>0</v>
      </c>
      <c r="P145" t="n">
        <v>0</v>
      </c>
      <c r="Q145" t="n">
        <v>0</v>
      </c>
      <c r="R145" s="2" t="inlineStr"/>
    </row>
    <row r="146" ht="15" customHeight="1">
      <c r="A146" t="inlineStr">
        <is>
          <t>A 19850-2020</t>
        </is>
      </c>
      <c r="B146" s="1" t="n">
        <v>43942</v>
      </c>
      <c r="C146" s="1" t="n">
        <v>45575</v>
      </c>
      <c r="D146" t="inlineStr">
        <is>
          <t>DALARNAS LÄN</t>
        </is>
      </c>
      <c r="E146" t="inlineStr">
        <is>
          <t>SMEDJEBACKEN</t>
        </is>
      </c>
      <c r="G146" t="n">
        <v>4.2</v>
      </c>
      <c r="H146" t="n">
        <v>0</v>
      </c>
      <c r="I146" t="n">
        <v>0</v>
      </c>
      <c r="J146" t="n">
        <v>0</v>
      </c>
      <c r="K146" t="n">
        <v>0</v>
      </c>
      <c r="L146" t="n">
        <v>0</v>
      </c>
      <c r="M146" t="n">
        <v>0</v>
      </c>
      <c r="N146" t="n">
        <v>0</v>
      </c>
      <c r="O146" t="n">
        <v>0</v>
      </c>
      <c r="P146" t="n">
        <v>0</v>
      </c>
      <c r="Q146" t="n">
        <v>0</v>
      </c>
      <c r="R146" s="2" t="inlineStr"/>
    </row>
    <row r="147" ht="15" customHeight="1">
      <c r="A147" t="inlineStr">
        <is>
          <t>A 24298-2020</t>
        </is>
      </c>
      <c r="B147" s="1" t="n">
        <v>43976</v>
      </c>
      <c r="C147" s="1" t="n">
        <v>45575</v>
      </c>
      <c r="D147" t="inlineStr">
        <is>
          <t>DALARNAS LÄN</t>
        </is>
      </c>
      <c r="E147" t="inlineStr">
        <is>
          <t>SMEDJEBACKEN</t>
        </is>
      </c>
      <c r="G147" t="n">
        <v>1.1</v>
      </c>
      <c r="H147" t="n">
        <v>0</v>
      </c>
      <c r="I147" t="n">
        <v>0</v>
      </c>
      <c r="J147" t="n">
        <v>0</v>
      </c>
      <c r="K147" t="n">
        <v>0</v>
      </c>
      <c r="L147" t="n">
        <v>0</v>
      </c>
      <c r="M147" t="n">
        <v>0</v>
      </c>
      <c r="N147" t="n">
        <v>0</v>
      </c>
      <c r="O147" t="n">
        <v>0</v>
      </c>
      <c r="P147" t="n">
        <v>0</v>
      </c>
      <c r="Q147" t="n">
        <v>0</v>
      </c>
      <c r="R147" s="2" t="inlineStr"/>
    </row>
    <row r="148" ht="15" customHeight="1">
      <c r="A148" t="inlineStr">
        <is>
          <t>A 24517-2020</t>
        </is>
      </c>
      <c r="B148" s="1" t="n">
        <v>43977</v>
      </c>
      <c r="C148" s="1" t="n">
        <v>45575</v>
      </c>
      <c r="D148" t="inlineStr">
        <is>
          <t>DALARNAS LÄN</t>
        </is>
      </c>
      <c r="E148" t="inlineStr">
        <is>
          <t>SMEDJEBACKEN</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24911-2020</t>
        </is>
      </c>
      <c r="B149" s="1" t="n">
        <v>43979</v>
      </c>
      <c r="C149" s="1" t="n">
        <v>45575</v>
      </c>
      <c r="D149" t="inlineStr">
        <is>
          <t>DALARNAS LÄN</t>
        </is>
      </c>
      <c r="E149" t="inlineStr">
        <is>
          <t>SMEDJEBACKEN</t>
        </is>
      </c>
      <c r="G149" t="n">
        <v>1.7</v>
      </c>
      <c r="H149" t="n">
        <v>0</v>
      </c>
      <c r="I149" t="n">
        <v>0</v>
      </c>
      <c r="J149" t="n">
        <v>0</v>
      </c>
      <c r="K149" t="n">
        <v>0</v>
      </c>
      <c r="L149" t="n">
        <v>0</v>
      </c>
      <c r="M149" t="n">
        <v>0</v>
      </c>
      <c r="N149" t="n">
        <v>0</v>
      </c>
      <c r="O149" t="n">
        <v>0</v>
      </c>
      <c r="P149" t="n">
        <v>0</v>
      </c>
      <c r="Q149" t="n">
        <v>0</v>
      </c>
      <c r="R149" s="2" t="inlineStr"/>
    </row>
    <row r="150" ht="15" customHeight="1">
      <c r="A150" t="inlineStr">
        <is>
          <t>A 25875-2020</t>
        </is>
      </c>
      <c r="B150" s="1" t="n">
        <v>43984</v>
      </c>
      <c r="C150" s="1" t="n">
        <v>45575</v>
      </c>
      <c r="D150" t="inlineStr">
        <is>
          <t>DALARNAS LÄN</t>
        </is>
      </c>
      <c r="E150" t="inlineStr">
        <is>
          <t>SMEDJEBACKEN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25878-2020</t>
        </is>
      </c>
      <c r="B151" s="1" t="n">
        <v>43984</v>
      </c>
      <c r="C151" s="1" t="n">
        <v>45575</v>
      </c>
      <c r="D151" t="inlineStr">
        <is>
          <t>DALARNAS LÄN</t>
        </is>
      </c>
      <c r="E151" t="inlineStr">
        <is>
          <t>SMEDJEBACKEN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26309-2020</t>
        </is>
      </c>
      <c r="B152" s="1" t="n">
        <v>43986</v>
      </c>
      <c r="C152" s="1" t="n">
        <v>45575</v>
      </c>
      <c r="D152" t="inlineStr">
        <is>
          <t>DALARNAS LÄN</t>
        </is>
      </c>
      <c r="E152" t="inlineStr">
        <is>
          <t>SMEDJEBACKEN</t>
        </is>
      </c>
      <c r="G152" t="n">
        <v>0.7</v>
      </c>
      <c r="H152" t="n">
        <v>0</v>
      </c>
      <c r="I152" t="n">
        <v>0</v>
      </c>
      <c r="J152" t="n">
        <v>0</v>
      </c>
      <c r="K152" t="n">
        <v>0</v>
      </c>
      <c r="L152" t="n">
        <v>0</v>
      </c>
      <c r="M152" t="n">
        <v>0</v>
      </c>
      <c r="N152" t="n">
        <v>0</v>
      </c>
      <c r="O152" t="n">
        <v>0</v>
      </c>
      <c r="P152" t="n">
        <v>0</v>
      </c>
      <c r="Q152" t="n">
        <v>0</v>
      </c>
      <c r="R152" s="2" t="inlineStr"/>
    </row>
    <row r="153" ht="15" customHeight="1">
      <c r="A153" t="inlineStr">
        <is>
          <t>A 27961-2020</t>
        </is>
      </c>
      <c r="B153" s="1" t="n">
        <v>43997</v>
      </c>
      <c r="C153" s="1" t="n">
        <v>45575</v>
      </c>
      <c r="D153" t="inlineStr">
        <is>
          <t>DALARNAS LÄN</t>
        </is>
      </c>
      <c r="E153" t="inlineStr">
        <is>
          <t>SMEDJEBACKEN</t>
        </is>
      </c>
      <c r="G153" t="n">
        <v>0.6</v>
      </c>
      <c r="H153" t="n">
        <v>0</v>
      </c>
      <c r="I153" t="n">
        <v>0</v>
      </c>
      <c r="J153" t="n">
        <v>0</v>
      </c>
      <c r="K153" t="n">
        <v>0</v>
      </c>
      <c r="L153" t="n">
        <v>0</v>
      </c>
      <c r="M153" t="n">
        <v>0</v>
      </c>
      <c r="N153" t="n">
        <v>0</v>
      </c>
      <c r="O153" t="n">
        <v>0</v>
      </c>
      <c r="P153" t="n">
        <v>0</v>
      </c>
      <c r="Q153" t="n">
        <v>0</v>
      </c>
      <c r="R153" s="2" t="inlineStr"/>
    </row>
    <row r="154" ht="15" customHeight="1">
      <c r="A154" t="inlineStr">
        <is>
          <t>A 28085-2020</t>
        </is>
      </c>
      <c r="B154" s="1" t="n">
        <v>43997</v>
      </c>
      <c r="C154" s="1" t="n">
        <v>45575</v>
      </c>
      <c r="D154" t="inlineStr">
        <is>
          <t>DALARNAS LÄN</t>
        </is>
      </c>
      <c r="E154" t="inlineStr">
        <is>
          <t>SMEDJEBACKEN</t>
        </is>
      </c>
      <c r="G154" t="n">
        <v>2.8</v>
      </c>
      <c r="H154" t="n">
        <v>0</v>
      </c>
      <c r="I154" t="n">
        <v>0</v>
      </c>
      <c r="J154" t="n">
        <v>0</v>
      </c>
      <c r="K154" t="n">
        <v>0</v>
      </c>
      <c r="L154" t="n">
        <v>0</v>
      </c>
      <c r="M154" t="n">
        <v>0</v>
      </c>
      <c r="N154" t="n">
        <v>0</v>
      </c>
      <c r="O154" t="n">
        <v>0</v>
      </c>
      <c r="P154" t="n">
        <v>0</v>
      </c>
      <c r="Q154" t="n">
        <v>0</v>
      </c>
      <c r="R154" s="2" t="inlineStr"/>
    </row>
    <row r="155" ht="15" customHeight="1">
      <c r="A155" t="inlineStr">
        <is>
          <t>A 28916-2020</t>
        </is>
      </c>
      <c r="B155" s="1" t="n">
        <v>44000</v>
      </c>
      <c r="C155" s="1" t="n">
        <v>45575</v>
      </c>
      <c r="D155" t="inlineStr">
        <is>
          <t>DALARNAS LÄN</t>
        </is>
      </c>
      <c r="E155" t="inlineStr">
        <is>
          <t>SMEDJEBACKEN</t>
        </is>
      </c>
      <c r="G155" t="n">
        <v>4.6</v>
      </c>
      <c r="H155" t="n">
        <v>0</v>
      </c>
      <c r="I155" t="n">
        <v>0</v>
      </c>
      <c r="J155" t="n">
        <v>0</v>
      </c>
      <c r="K155" t="n">
        <v>0</v>
      </c>
      <c r="L155" t="n">
        <v>0</v>
      </c>
      <c r="M155" t="n">
        <v>0</v>
      </c>
      <c r="N155" t="n">
        <v>0</v>
      </c>
      <c r="O155" t="n">
        <v>0</v>
      </c>
      <c r="P155" t="n">
        <v>0</v>
      </c>
      <c r="Q155" t="n">
        <v>0</v>
      </c>
      <c r="R155" s="2" t="inlineStr"/>
    </row>
    <row r="156" ht="15" customHeight="1">
      <c r="A156" t="inlineStr">
        <is>
          <t>A 30288-2020</t>
        </is>
      </c>
      <c r="B156" s="1" t="n">
        <v>44007</v>
      </c>
      <c r="C156" s="1" t="n">
        <v>45575</v>
      </c>
      <c r="D156" t="inlineStr">
        <is>
          <t>DALARNAS LÄN</t>
        </is>
      </c>
      <c r="E156" t="inlineStr">
        <is>
          <t>SMEDJEBACKEN</t>
        </is>
      </c>
      <c r="F156" t="inlineStr">
        <is>
          <t>Bergvik skog väst AB</t>
        </is>
      </c>
      <c r="G156" t="n">
        <v>1</v>
      </c>
      <c r="H156" t="n">
        <v>0</v>
      </c>
      <c r="I156" t="n">
        <v>0</v>
      </c>
      <c r="J156" t="n">
        <v>0</v>
      </c>
      <c r="K156" t="n">
        <v>0</v>
      </c>
      <c r="L156" t="n">
        <v>0</v>
      </c>
      <c r="M156" t="n">
        <v>0</v>
      </c>
      <c r="N156" t="n">
        <v>0</v>
      </c>
      <c r="O156" t="n">
        <v>0</v>
      </c>
      <c r="P156" t="n">
        <v>0</v>
      </c>
      <c r="Q156" t="n">
        <v>0</v>
      </c>
      <c r="R156" s="2" t="inlineStr"/>
    </row>
    <row r="157" ht="15" customHeight="1">
      <c r="A157" t="inlineStr">
        <is>
          <t>A 30637-2020</t>
        </is>
      </c>
      <c r="B157" s="1" t="n">
        <v>44008</v>
      </c>
      <c r="C157" s="1" t="n">
        <v>45575</v>
      </c>
      <c r="D157" t="inlineStr">
        <is>
          <t>DALARNAS LÄN</t>
        </is>
      </c>
      <c r="E157" t="inlineStr">
        <is>
          <t>SMEDJEBACKEN</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32177-2020</t>
        </is>
      </c>
      <c r="B158" s="1" t="n">
        <v>44015</v>
      </c>
      <c r="C158" s="1" t="n">
        <v>45575</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33655-2020</t>
        </is>
      </c>
      <c r="B159" s="1" t="n">
        <v>44026</v>
      </c>
      <c r="C159" s="1" t="n">
        <v>45575</v>
      </c>
      <c r="D159" t="inlineStr">
        <is>
          <t>DALARNAS LÄN</t>
        </is>
      </c>
      <c r="E159" t="inlineStr">
        <is>
          <t>SMEDJEBACKEN</t>
        </is>
      </c>
      <c r="F159" t="inlineStr">
        <is>
          <t>Kyrkan</t>
        </is>
      </c>
      <c r="G159" t="n">
        <v>7.7</v>
      </c>
      <c r="H159" t="n">
        <v>0</v>
      </c>
      <c r="I159" t="n">
        <v>0</v>
      </c>
      <c r="J159" t="n">
        <v>0</v>
      </c>
      <c r="K159" t="n">
        <v>0</v>
      </c>
      <c r="L159" t="n">
        <v>0</v>
      </c>
      <c r="M159" t="n">
        <v>0</v>
      </c>
      <c r="N159" t="n">
        <v>0</v>
      </c>
      <c r="O159" t="n">
        <v>0</v>
      </c>
      <c r="P159" t="n">
        <v>0</v>
      </c>
      <c r="Q159" t="n">
        <v>0</v>
      </c>
      <c r="R159" s="2" t="inlineStr"/>
    </row>
    <row r="160" ht="15" customHeight="1">
      <c r="A160" t="inlineStr">
        <is>
          <t>A 34618-2020</t>
        </is>
      </c>
      <c r="B160" s="1" t="n">
        <v>44034</v>
      </c>
      <c r="C160" s="1" t="n">
        <v>45575</v>
      </c>
      <c r="D160" t="inlineStr">
        <is>
          <t>DALARNAS LÄN</t>
        </is>
      </c>
      <c r="E160" t="inlineStr">
        <is>
          <t>SMEDJEBACKEN</t>
        </is>
      </c>
      <c r="G160" t="n">
        <v>1.8</v>
      </c>
      <c r="H160" t="n">
        <v>0</v>
      </c>
      <c r="I160" t="n">
        <v>0</v>
      </c>
      <c r="J160" t="n">
        <v>0</v>
      </c>
      <c r="K160" t="n">
        <v>0</v>
      </c>
      <c r="L160" t="n">
        <v>0</v>
      </c>
      <c r="M160" t="n">
        <v>0</v>
      </c>
      <c r="N160" t="n">
        <v>0</v>
      </c>
      <c r="O160" t="n">
        <v>0</v>
      </c>
      <c r="P160" t="n">
        <v>0</v>
      </c>
      <c r="Q160" t="n">
        <v>0</v>
      </c>
      <c r="R160" s="2" t="inlineStr"/>
    </row>
    <row r="161" ht="15" customHeight="1">
      <c r="A161" t="inlineStr">
        <is>
          <t>A 35961-2020</t>
        </is>
      </c>
      <c r="B161" s="1" t="n">
        <v>44047</v>
      </c>
      <c r="C161" s="1" t="n">
        <v>45575</v>
      </c>
      <c r="D161" t="inlineStr">
        <is>
          <t>DALARNAS LÄN</t>
        </is>
      </c>
      <c r="E161" t="inlineStr">
        <is>
          <t>SMEDJEBACKEN</t>
        </is>
      </c>
      <c r="G161" t="n">
        <v>1.3</v>
      </c>
      <c r="H161" t="n">
        <v>0</v>
      </c>
      <c r="I161" t="n">
        <v>0</v>
      </c>
      <c r="J161" t="n">
        <v>0</v>
      </c>
      <c r="K161" t="n">
        <v>0</v>
      </c>
      <c r="L161" t="n">
        <v>0</v>
      </c>
      <c r="M161" t="n">
        <v>0</v>
      </c>
      <c r="N161" t="n">
        <v>0</v>
      </c>
      <c r="O161" t="n">
        <v>0</v>
      </c>
      <c r="P161" t="n">
        <v>0</v>
      </c>
      <c r="Q161" t="n">
        <v>0</v>
      </c>
      <c r="R161" s="2" t="inlineStr"/>
    </row>
    <row r="162" ht="15" customHeight="1">
      <c r="A162" t="inlineStr">
        <is>
          <t>A 36605-2020</t>
        </is>
      </c>
      <c r="B162" s="1" t="n">
        <v>44050</v>
      </c>
      <c r="C162" s="1" t="n">
        <v>45575</v>
      </c>
      <c r="D162" t="inlineStr">
        <is>
          <t>DALARNAS LÄN</t>
        </is>
      </c>
      <c r="E162" t="inlineStr">
        <is>
          <t>SMEDJEBACKEN</t>
        </is>
      </c>
      <c r="F162" t="inlineStr">
        <is>
          <t>Bergvik skog väst AB</t>
        </is>
      </c>
      <c r="G162" t="n">
        <v>0.4</v>
      </c>
      <c r="H162" t="n">
        <v>0</v>
      </c>
      <c r="I162" t="n">
        <v>0</v>
      </c>
      <c r="J162" t="n">
        <v>0</v>
      </c>
      <c r="K162" t="n">
        <v>0</v>
      </c>
      <c r="L162" t="n">
        <v>0</v>
      </c>
      <c r="M162" t="n">
        <v>0</v>
      </c>
      <c r="N162" t="n">
        <v>0</v>
      </c>
      <c r="O162" t="n">
        <v>0</v>
      </c>
      <c r="P162" t="n">
        <v>0</v>
      </c>
      <c r="Q162" t="n">
        <v>0</v>
      </c>
      <c r="R162" s="2" t="inlineStr"/>
    </row>
    <row r="163" ht="15" customHeight="1">
      <c r="A163" t="inlineStr">
        <is>
          <t>A 36603-2020</t>
        </is>
      </c>
      <c r="B163" s="1" t="n">
        <v>44050</v>
      </c>
      <c r="C163" s="1" t="n">
        <v>45575</v>
      </c>
      <c r="D163" t="inlineStr">
        <is>
          <t>DALARNAS LÄN</t>
        </is>
      </c>
      <c r="E163" t="inlineStr">
        <is>
          <t>SMEDJEBACKEN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38919-2020</t>
        </is>
      </c>
      <c r="B164" s="1" t="n">
        <v>44062</v>
      </c>
      <c r="C164" s="1" t="n">
        <v>45575</v>
      </c>
      <c r="D164" t="inlineStr">
        <is>
          <t>DALARNAS LÄN</t>
        </is>
      </c>
      <c r="E164" t="inlineStr">
        <is>
          <t>SMEDJEBACKEN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38971-2020</t>
        </is>
      </c>
      <c r="B165" s="1" t="n">
        <v>44062</v>
      </c>
      <c r="C165" s="1" t="n">
        <v>45575</v>
      </c>
      <c r="D165" t="inlineStr">
        <is>
          <t>DALARNAS LÄN</t>
        </is>
      </c>
      <c r="E165" t="inlineStr">
        <is>
          <t>SMEDJEBACKEN</t>
        </is>
      </c>
      <c r="F165" t="inlineStr">
        <is>
          <t>Sveaskog</t>
        </is>
      </c>
      <c r="G165" t="n">
        <v>4.7</v>
      </c>
      <c r="H165" t="n">
        <v>0</v>
      </c>
      <c r="I165" t="n">
        <v>0</v>
      </c>
      <c r="J165" t="n">
        <v>0</v>
      </c>
      <c r="K165" t="n">
        <v>0</v>
      </c>
      <c r="L165" t="n">
        <v>0</v>
      </c>
      <c r="M165" t="n">
        <v>0</v>
      </c>
      <c r="N165" t="n">
        <v>0</v>
      </c>
      <c r="O165" t="n">
        <v>0</v>
      </c>
      <c r="P165" t="n">
        <v>0</v>
      </c>
      <c r="Q165" t="n">
        <v>0</v>
      </c>
      <c r="R165" s="2" t="inlineStr"/>
    </row>
    <row r="166" ht="15" customHeight="1">
      <c r="A166" t="inlineStr">
        <is>
          <t>A 38986-2020</t>
        </is>
      </c>
      <c r="B166" s="1" t="n">
        <v>44062</v>
      </c>
      <c r="C166" s="1" t="n">
        <v>45575</v>
      </c>
      <c r="D166" t="inlineStr">
        <is>
          <t>DALARNAS LÄN</t>
        </is>
      </c>
      <c r="E166" t="inlineStr">
        <is>
          <t>SMEDJEBACKEN</t>
        </is>
      </c>
      <c r="F166" t="inlineStr">
        <is>
          <t>Bergvik skog väst AB</t>
        </is>
      </c>
      <c r="G166" t="n">
        <v>3.3</v>
      </c>
      <c r="H166" t="n">
        <v>0</v>
      </c>
      <c r="I166" t="n">
        <v>0</v>
      </c>
      <c r="J166" t="n">
        <v>0</v>
      </c>
      <c r="K166" t="n">
        <v>0</v>
      </c>
      <c r="L166" t="n">
        <v>0</v>
      </c>
      <c r="M166" t="n">
        <v>0</v>
      </c>
      <c r="N166" t="n">
        <v>0</v>
      </c>
      <c r="O166" t="n">
        <v>0</v>
      </c>
      <c r="P166" t="n">
        <v>0</v>
      </c>
      <c r="Q166" t="n">
        <v>0</v>
      </c>
      <c r="R166" s="2" t="inlineStr"/>
    </row>
    <row r="167" ht="15" customHeight="1">
      <c r="A167" t="inlineStr">
        <is>
          <t>A 39605-2020</t>
        </is>
      </c>
      <c r="B167" s="1" t="n">
        <v>44064</v>
      </c>
      <c r="C167" s="1" t="n">
        <v>45575</v>
      </c>
      <c r="D167" t="inlineStr">
        <is>
          <t>DALARNAS LÄN</t>
        </is>
      </c>
      <c r="E167" t="inlineStr">
        <is>
          <t>SMEDJEBACKEN</t>
        </is>
      </c>
      <c r="G167" t="n">
        <v>0.9</v>
      </c>
      <c r="H167" t="n">
        <v>0</v>
      </c>
      <c r="I167" t="n">
        <v>0</v>
      </c>
      <c r="J167" t="n">
        <v>0</v>
      </c>
      <c r="K167" t="n">
        <v>0</v>
      </c>
      <c r="L167" t="n">
        <v>0</v>
      </c>
      <c r="M167" t="n">
        <v>0</v>
      </c>
      <c r="N167" t="n">
        <v>0</v>
      </c>
      <c r="O167" t="n">
        <v>0</v>
      </c>
      <c r="P167" t="n">
        <v>0</v>
      </c>
      <c r="Q167" t="n">
        <v>0</v>
      </c>
      <c r="R167" s="2" t="inlineStr"/>
    </row>
    <row r="168" ht="15" customHeight="1">
      <c r="A168" t="inlineStr">
        <is>
          <t>A 39710-2020</t>
        </is>
      </c>
      <c r="B168" s="1" t="n">
        <v>44066</v>
      </c>
      <c r="C168" s="1" t="n">
        <v>45575</v>
      </c>
      <c r="D168" t="inlineStr">
        <is>
          <t>DALARNAS LÄN</t>
        </is>
      </c>
      <c r="E168" t="inlineStr">
        <is>
          <t>SMEDJEBACKEN</t>
        </is>
      </c>
      <c r="G168" t="n">
        <v>6.4</v>
      </c>
      <c r="H168" t="n">
        <v>0</v>
      </c>
      <c r="I168" t="n">
        <v>0</v>
      </c>
      <c r="J168" t="n">
        <v>0</v>
      </c>
      <c r="K168" t="n">
        <v>0</v>
      </c>
      <c r="L168" t="n">
        <v>0</v>
      </c>
      <c r="M168" t="n">
        <v>0</v>
      </c>
      <c r="N168" t="n">
        <v>0</v>
      </c>
      <c r="O168" t="n">
        <v>0</v>
      </c>
      <c r="P168" t="n">
        <v>0</v>
      </c>
      <c r="Q168" t="n">
        <v>0</v>
      </c>
      <c r="R168" s="2" t="inlineStr"/>
    </row>
    <row r="169" ht="15" customHeight="1">
      <c r="A169" t="inlineStr">
        <is>
          <t>A 42429-2020</t>
        </is>
      </c>
      <c r="B169" s="1" t="n">
        <v>44075</v>
      </c>
      <c r="C169" s="1" t="n">
        <v>45575</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42426-2020</t>
        </is>
      </c>
      <c r="B170" s="1" t="n">
        <v>44075</v>
      </c>
      <c r="C170" s="1" t="n">
        <v>45575</v>
      </c>
      <c r="D170" t="inlineStr">
        <is>
          <t>DALARNAS LÄN</t>
        </is>
      </c>
      <c r="E170" t="inlineStr">
        <is>
          <t>SMEDJEBACKEN</t>
        </is>
      </c>
      <c r="G170" t="n">
        <v>7.3</v>
      </c>
      <c r="H170" t="n">
        <v>0</v>
      </c>
      <c r="I170" t="n">
        <v>0</v>
      </c>
      <c r="J170" t="n">
        <v>0</v>
      </c>
      <c r="K170" t="n">
        <v>0</v>
      </c>
      <c r="L170" t="n">
        <v>0</v>
      </c>
      <c r="M170" t="n">
        <v>0</v>
      </c>
      <c r="N170" t="n">
        <v>0</v>
      </c>
      <c r="O170" t="n">
        <v>0</v>
      </c>
      <c r="P170" t="n">
        <v>0</v>
      </c>
      <c r="Q170" t="n">
        <v>0</v>
      </c>
      <c r="R170" s="2" t="inlineStr"/>
    </row>
    <row r="171" ht="15" customHeight="1">
      <c r="A171" t="inlineStr">
        <is>
          <t>A 43214-2020</t>
        </is>
      </c>
      <c r="B171" s="1" t="n">
        <v>44076</v>
      </c>
      <c r="C171" s="1" t="n">
        <v>45575</v>
      </c>
      <c r="D171" t="inlineStr">
        <is>
          <t>DALARNAS LÄN</t>
        </is>
      </c>
      <c r="E171" t="inlineStr">
        <is>
          <t>SMEDJEBACKEN</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43277-2020</t>
        </is>
      </c>
      <c r="B172" s="1" t="n">
        <v>44076</v>
      </c>
      <c r="C172" s="1" t="n">
        <v>45575</v>
      </c>
      <c r="D172" t="inlineStr">
        <is>
          <t>DALARNAS LÄN</t>
        </is>
      </c>
      <c r="E172" t="inlineStr">
        <is>
          <t>SMEDJEBACKEN</t>
        </is>
      </c>
      <c r="F172" t="inlineStr">
        <is>
          <t>Bergvik skog väst AB</t>
        </is>
      </c>
      <c r="G172" t="n">
        <v>6.5</v>
      </c>
      <c r="H172" t="n">
        <v>0</v>
      </c>
      <c r="I172" t="n">
        <v>0</v>
      </c>
      <c r="J172" t="n">
        <v>0</v>
      </c>
      <c r="K172" t="n">
        <v>0</v>
      </c>
      <c r="L172" t="n">
        <v>0</v>
      </c>
      <c r="M172" t="n">
        <v>0</v>
      </c>
      <c r="N172" t="n">
        <v>0</v>
      </c>
      <c r="O172" t="n">
        <v>0</v>
      </c>
      <c r="P172" t="n">
        <v>0</v>
      </c>
      <c r="Q172" t="n">
        <v>0</v>
      </c>
      <c r="R172" s="2" t="inlineStr"/>
    </row>
    <row r="173" ht="15" customHeight="1">
      <c r="A173" t="inlineStr">
        <is>
          <t>A 48943-2020</t>
        </is>
      </c>
      <c r="B173" s="1" t="n">
        <v>44102</v>
      </c>
      <c r="C173" s="1" t="n">
        <v>45575</v>
      </c>
      <c r="D173" t="inlineStr">
        <is>
          <t>DALARNAS LÄN</t>
        </is>
      </c>
      <c r="E173" t="inlineStr">
        <is>
          <t>SMEDJEBACKEN</t>
        </is>
      </c>
      <c r="F173" t="inlineStr">
        <is>
          <t>Kommuner</t>
        </is>
      </c>
      <c r="G173" t="n">
        <v>5.6</v>
      </c>
      <c r="H173" t="n">
        <v>0</v>
      </c>
      <c r="I173" t="n">
        <v>0</v>
      </c>
      <c r="J173" t="n">
        <v>0</v>
      </c>
      <c r="K173" t="n">
        <v>0</v>
      </c>
      <c r="L173" t="n">
        <v>0</v>
      </c>
      <c r="M173" t="n">
        <v>0</v>
      </c>
      <c r="N173" t="n">
        <v>0</v>
      </c>
      <c r="O173" t="n">
        <v>0</v>
      </c>
      <c r="P173" t="n">
        <v>0</v>
      </c>
      <c r="Q173" t="n">
        <v>0</v>
      </c>
      <c r="R173" s="2" t="inlineStr"/>
    </row>
    <row r="174" ht="15" customHeight="1">
      <c r="A174" t="inlineStr">
        <is>
          <t>A 48634-2020</t>
        </is>
      </c>
      <c r="B174" s="1" t="n">
        <v>44103</v>
      </c>
      <c r="C174" s="1" t="n">
        <v>45575</v>
      </c>
      <c r="D174" t="inlineStr">
        <is>
          <t>DALARNAS LÄN</t>
        </is>
      </c>
      <c r="E174" t="inlineStr">
        <is>
          <t>SMEDJEBACKEN</t>
        </is>
      </c>
      <c r="G174" t="n">
        <v>6.4</v>
      </c>
      <c r="H174" t="n">
        <v>0</v>
      </c>
      <c r="I174" t="n">
        <v>0</v>
      </c>
      <c r="J174" t="n">
        <v>0</v>
      </c>
      <c r="K174" t="n">
        <v>0</v>
      </c>
      <c r="L174" t="n">
        <v>0</v>
      </c>
      <c r="M174" t="n">
        <v>0</v>
      </c>
      <c r="N174" t="n">
        <v>0</v>
      </c>
      <c r="O174" t="n">
        <v>0</v>
      </c>
      <c r="P174" t="n">
        <v>0</v>
      </c>
      <c r="Q174" t="n">
        <v>0</v>
      </c>
      <c r="R174" s="2" t="inlineStr"/>
    </row>
    <row r="175" ht="15" customHeight="1">
      <c r="A175" t="inlineStr">
        <is>
          <t>A 50432-2020</t>
        </is>
      </c>
      <c r="B175" s="1" t="n">
        <v>44105</v>
      </c>
      <c r="C175" s="1" t="n">
        <v>45575</v>
      </c>
      <c r="D175" t="inlineStr">
        <is>
          <t>DALARNAS LÄN</t>
        </is>
      </c>
      <c r="E175" t="inlineStr">
        <is>
          <t>SMEDJEBACKEN</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50446-2020</t>
        </is>
      </c>
      <c r="B176" s="1" t="n">
        <v>44105</v>
      </c>
      <c r="C176" s="1" t="n">
        <v>45575</v>
      </c>
      <c r="D176" t="inlineStr">
        <is>
          <t>DALARNAS LÄN</t>
        </is>
      </c>
      <c r="E176" t="inlineStr">
        <is>
          <t>SMEDJEBACKEN</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50463-2020</t>
        </is>
      </c>
      <c r="B177" s="1" t="n">
        <v>44105</v>
      </c>
      <c r="C177" s="1" t="n">
        <v>45575</v>
      </c>
      <c r="D177" t="inlineStr">
        <is>
          <t>DALARNAS LÄN</t>
        </is>
      </c>
      <c r="E177" t="inlineStr">
        <is>
          <t>SMEDJEBACKEN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51199-2020</t>
        </is>
      </c>
      <c r="B178" s="1" t="n">
        <v>44106</v>
      </c>
      <c r="C178" s="1" t="n">
        <v>45575</v>
      </c>
      <c r="D178" t="inlineStr">
        <is>
          <t>DALARNAS LÄN</t>
        </is>
      </c>
      <c r="E178" t="inlineStr">
        <is>
          <t>SMEDJEBACKEN</t>
        </is>
      </c>
      <c r="G178" t="n">
        <v>1.4</v>
      </c>
      <c r="H178" t="n">
        <v>0</v>
      </c>
      <c r="I178" t="n">
        <v>0</v>
      </c>
      <c r="J178" t="n">
        <v>0</v>
      </c>
      <c r="K178" t="n">
        <v>0</v>
      </c>
      <c r="L178" t="n">
        <v>0</v>
      </c>
      <c r="M178" t="n">
        <v>0</v>
      </c>
      <c r="N178" t="n">
        <v>0</v>
      </c>
      <c r="O178" t="n">
        <v>0</v>
      </c>
      <c r="P178" t="n">
        <v>0</v>
      </c>
      <c r="Q178" t="n">
        <v>0</v>
      </c>
      <c r="R178" s="2" t="inlineStr"/>
    </row>
    <row r="179" ht="15" customHeight="1">
      <c r="A179" t="inlineStr">
        <is>
          <t>A 51205-2020</t>
        </is>
      </c>
      <c r="B179" s="1" t="n">
        <v>44106</v>
      </c>
      <c r="C179" s="1" t="n">
        <v>45575</v>
      </c>
      <c r="D179" t="inlineStr">
        <is>
          <t>DALARNAS LÄN</t>
        </is>
      </c>
      <c r="E179" t="inlineStr">
        <is>
          <t>SMEDJEBACKEN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49895-2020</t>
        </is>
      </c>
      <c r="B180" s="1" t="n">
        <v>44108</v>
      </c>
      <c r="C180" s="1" t="n">
        <v>45575</v>
      </c>
      <c r="D180" t="inlineStr">
        <is>
          <t>DALARNAS LÄN</t>
        </is>
      </c>
      <c r="E180" t="inlineStr">
        <is>
          <t>SMEDJEBACKEN</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49888-2020</t>
        </is>
      </c>
      <c r="B181" s="1" t="n">
        <v>44108</v>
      </c>
      <c r="C181" s="1" t="n">
        <v>45575</v>
      </c>
      <c r="D181" t="inlineStr">
        <is>
          <t>DALARNAS LÄN</t>
        </is>
      </c>
      <c r="E181" t="inlineStr">
        <is>
          <t>SMEDJEBACKEN</t>
        </is>
      </c>
      <c r="G181" t="n">
        <v>7.7</v>
      </c>
      <c r="H181" t="n">
        <v>0</v>
      </c>
      <c r="I181" t="n">
        <v>0</v>
      </c>
      <c r="J181" t="n">
        <v>0</v>
      </c>
      <c r="K181" t="n">
        <v>0</v>
      </c>
      <c r="L181" t="n">
        <v>0</v>
      </c>
      <c r="M181" t="n">
        <v>0</v>
      </c>
      <c r="N181" t="n">
        <v>0</v>
      </c>
      <c r="O181" t="n">
        <v>0</v>
      </c>
      <c r="P181" t="n">
        <v>0</v>
      </c>
      <c r="Q181" t="n">
        <v>0</v>
      </c>
      <c r="R181" s="2" t="inlineStr"/>
    </row>
    <row r="182" ht="15" customHeight="1">
      <c r="A182" t="inlineStr">
        <is>
          <t>A 49896-2020</t>
        </is>
      </c>
      <c r="B182" s="1" t="n">
        <v>44108</v>
      </c>
      <c r="C182" s="1" t="n">
        <v>45575</v>
      </c>
      <c r="D182" t="inlineStr">
        <is>
          <t>DALARNAS LÄN</t>
        </is>
      </c>
      <c r="E182" t="inlineStr">
        <is>
          <t>SMEDJEBACKEN</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51761-2020</t>
        </is>
      </c>
      <c r="B183" s="1" t="n">
        <v>44115</v>
      </c>
      <c r="C183" s="1" t="n">
        <v>45575</v>
      </c>
      <c r="D183" t="inlineStr">
        <is>
          <t>DALARNAS LÄN</t>
        </is>
      </c>
      <c r="E183" t="inlineStr">
        <is>
          <t>SMEDJEBACKEN</t>
        </is>
      </c>
      <c r="G183" t="n">
        <v>10.6</v>
      </c>
      <c r="H183" t="n">
        <v>0</v>
      </c>
      <c r="I183" t="n">
        <v>0</v>
      </c>
      <c r="J183" t="n">
        <v>0</v>
      </c>
      <c r="K183" t="n">
        <v>0</v>
      </c>
      <c r="L183" t="n">
        <v>0</v>
      </c>
      <c r="M183" t="n">
        <v>0</v>
      </c>
      <c r="N183" t="n">
        <v>0</v>
      </c>
      <c r="O183" t="n">
        <v>0</v>
      </c>
      <c r="P183" t="n">
        <v>0</v>
      </c>
      <c r="Q183" t="n">
        <v>0</v>
      </c>
      <c r="R183" s="2" t="inlineStr"/>
    </row>
    <row r="184" ht="15" customHeight="1">
      <c r="A184" t="inlineStr">
        <is>
          <t>A 51770-2020</t>
        </is>
      </c>
      <c r="B184" s="1" t="n">
        <v>44115</v>
      </c>
      <c r="C184" s="1" t="n">
        <v>45575</v>
      </c>
      <c r="D184" t="inlineStr">
        <is>
          <t>DALARNAS LÄN</t>
        </is>
      </c>
      <c r="E184" t="inlineStr">
        <is>
          <t>SMEDJEBACKEN</t>
        </is>
      </c>
      <c r="G184" t="n">
        <v>0.8</v>
      </c>
      <c r="H184" t="n">
        <v>0</v>
      </c>
      <c r="I184" t="n">
        <v>0</v>
      </c>
      <c r="J184" t="n">
        <v>0</v>
      </c>
      <c r="K184" t="n">
        <v>0</v>
      </c>
      <c r="L184" t="n">
        <v>0</v>
      </c>
      <c r="M184" t="n">
        <v>0</v>
      </c>
      <c r="N184" t="n">
        <v>0</v>
      </c>
      <c r="O184" t="n">
        <v>0</v>
      </c>
      <c r="P184" t="n">
        <v>0</v>
      </c>
      <c r="Q184" t="n">
        <v>0</v>
      </c>
      <c r="R184" s="2" t="inlineStr"/>
    </row>
    <row r="185" ht="15" customHeight="1">
      <c r="A185" t="inlineStr">
        <is>
          <t>A 51775-2020</t>
        </is>
      </c>
      <c r="B185" s="1" t="n">
        <v>44115</v>
      </c>
      <c r="C185" s="1" t="n">
        <v>45575</v>
      </c>
      <c r="D185" t="inlineStr">
        <is>
          <t>DALARNAS LÄN</t>
        </is>
      </c>
      <c r="E185" t="inlineStr">
        <is>
          <t>SMEDJEBACKEN</t>
        </is>
      </c>
      <c r="G185" t="n">
        <v>0.5</v>
      </c>
      <c r="H185" t="n">
        <v>0</v>
      </c>
      <c r="I185" t="n">
        <v>0</v>
      </c>
      <c r="J185" t="n">
        <v>0</v>
      </c>
      <c r="K185" t="n">
        <v>0</v>
      </c>
      <c r="L185" t="n">
        <v>0</v>
      </c>
      <c r="M185" t="n">
        <v>0</v>
      </c>
      <c r="N185" t="n">
        <v>0</v>
      </c>
      <c r="O185" t="n">
        <v>0</v>
      </c>
      <c r="P185" t="n">
        <v>0</v>
      </c>
      <c r="Q185" t="n">
        <v>0</v>
      </c>
      <c r="R185" s="2" t="inlineStr"/>
    </row>
    <row r="186" ht="15" customHeight="1">
      <c r="A186" t="inlineStr">
        <is>
          <t>A 51774-2020</t>
        </is>
      </c>
      <c r="B186" s="1" t="n">
        <v>44115</v>
      </c>
      <c r="C186" s="1" t="n">
        <v>45575</v>
      </c>
      <c r="D186" t="inlineStr">
        <is>
          <t>DALARNAS LÄN</t>
        </is>
      </c>
      <c r="E186" t="inlineStr">
        <is>
          <t>SMEDJEBACKEN</t>
        </is>
      </c>
      <c r="G186" t="n">
        <v>0.3</v>
      </c>
      <c r="H186" t="n">
        <v>0</v>
      </c>
      <c r="I186" t="n">
        <v>0</v>
      </c>
      <c r="J186" t="n">
        <v>0</v>
      </c>
      <c r="K186" t="n">
        <v>0</v>
      </c>
      <c r="L186" t="n">
        <v>0</v>
      </c>
      <c r="M186" t="n">
        <v>0</v>
      </c>
      <c r="N186" t="n">
        <v>0</v>
      </c>
      <c r="O186" t="n">
        <v>0</v>
      </c>
      <c r="P186" t="n">
        <v>0</v>
      </c>
      <c r="Q186" t="n">
        <v>0</v>
      </c>
      <c r="R186" s="2" t="inlineStr"/>
    </row>
    <row r="187" ht="15" customHeight="1">
      <c r="A187" t="inlineStr">
        <is>
          <t>A 51776-2020</t>
        </is>
      </c>
      <c r="B187" s="1" t="n">
        <v>44116</v>
      </c>
      <c r="C187" s="1" t="n">
        <v>45575</v>
      </c>
      <c r="D187" t="inlineStr">
        <is>
          <t>DALARNAS LÄN</t>
        </is>
      </c>
      <c r="E187" t="inlineStr">
        <is>
          <t>SMEDJEBACKEN</t>
        </is>
      </c>
      <c r="G187" t="n">
        <v>2.5</v>
      </c>
      <c r="H187" t="n">
        <v>0</v>
      </c>
      <c r="I187" t="n">
        <v>0</v>
      </c>
      <c r="J187" t="n">
        <v>0</v>
      </c>
      <c r="K187" t="n">
        <v>0</v>
      </c>
      <c r="L187" t="n">
        <v>0</v>
      </c>
      <c r="M187" t="n">
        <v>0</v>
      </c>
      <c r="N187" t="n">
        <v>0</v>
      </c>
      <c r="O187" t="n">
        <v>0</v>
      </c>
      <c r="P187" t="n">
        <v>0</v>
      </c>
      <c r="Q187" t="n">
        <v>0</v>
      </c>
      <c r="R187" s="2" t="inlineStr"/>
    </row>
    <row r="188" ht="15" customHeight="1">
      <c r="A188" t="inlineStr">
        <is>
          <t>A 53575-2020</t>
        </is>
      </c>
      <c r="B188" s="1" t="n">
        <v>44124</v>
      </c>
      <c r="C188" s="1" t="n">
        <v>45575</v>
      </c>
      <c r="D188" t="inlineStr">
        <is>
          <t>DALARNAS LÄN</t>
        </is>
      </c>
      <c r="E188" t="inlineStr">
        <is>
          <t>SMEDJEBACKEN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53572-2020</t>
        </is>
      </c>
      <c r="B189" s="1" t="n">
        <v>44124</v>
      </c>
      <c r="C189" s="1" t="n">
        <v>45575</v>
      </c>
      <c r="D189" t="inlineStr">
        <is>
          <t>DALARNAS LÄN</t>
        </is>
      </c>
      <c r="E189" t="inlineStr">
        <is>
          <t>SMEDJEBACKEN</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53577-2020</t>
        </is>
      </c>
      <c r="B190" s="1" t="n">
        <v>44124</v>
      </c>
      <c r="C190" s="1" t="n">
        <v>45575</v>
      </c>
      <c r="D190" t="inlineStr">
        <is>
          <t>DALARNAS LÄN</t>
        </is>
      </c>
      <c r="E190" t="inlineStr">
        <is>
          <t>SMEDJEBACKEN</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53570-2020</t>
        </is>
      </c>
      <c r="B191" s="1" t="n">
        <v>44124</v>
      </c>
      <c r="C191" s="1" t="n">
        <v>45575</v>
      </c>
      <c r="D191" t="inlineStr">
        <is>
          <t>DALARNAS LÄN</t>
        </is>
      </c>
      <c r="E191" t="inlineStr">
        <is>
          <t>SMEDJEBACKEN</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53576-2020</t>
        </is>
      </c>
      <c r="B192" s="1" t="n">
        <v>44124</v>
      </c>
      <c r="C192" s="1" t="n">
        <v>45575</v>
      </c>
      <c r="D192" t="inlineStr">
        <is>
          <t>DALARNAS LÄN</t>
        </is>
      </c>
      <c r="E192" t="inlineStr">
        <is>
          <t>SMEDJEBACKEN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53919-2020</t>
        </is>
      </c>
      <c r="B193" s="1" t="n">
        <v>44125</v>
      </c>
      <c r="C193" s="1" t="n">
        <v>45575</v>
      </c>
      <c r="D193" t="inlineStr">
        <is>
          <t>DALARNAS LÄN</t>
        </is>
      </c>
      <c r="E193" t="inlineStr">
        <is>
          <t>SMEDJEBACKEN</t>
        </is>
      </c>
      <c r="G193" t="n">
        <v>4</v>
      </c>
      <c r="H193" t="n">
        <v>0</v>
      </c>
      <c r="I193" t="n">
        <v>0</v>
      </c>
      <c r="J193" t="n">
        <v>0</v>
      </c>
      <c r="K193" t="n">
        <v>0</v>
      </c>
      <c r="L193" t="n">
        <v>0</v>
      </c>
      <c r="M193" t="n">
        <v>0</v>
      </c>
      <c r="N193" t="n">
        <v>0</v>
      </c>
      <c r="O193" t="n">
        <v>0</v>
      </c>
      <c r="P193" t="n">
        <v>0</v>
      </c>
      <c r="Q193" t="n">
        <v>0</v>
      </c>
      <c r="R193" s="2" t="inlineStr"/>
    </row>
    <row r="194" ht="15" customHeight="1">
      <c r="A194" t="inlineStr">
        <is>
          <t>A 54889-2020</t>
        </is>
      </c>
      <c r="B194" s="1" t="n">
        <v>44126</v>
      </c>
      <c r="C194" s="1" t="n">
        <v>45575</v>
      </c>
      <c r="D194" t="inlineStr">
        <is>
          <t>DALARNAS LÄN</t>
        </is>
      </c>
      <c r="E194" t="inlineStr">
        <is>
          <t>SMEDJEBACKEN</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54868-2020</t>
        </is>
      </c>
      <c r="B195" s="1" t="n">
        <v>44126</v>
      </c>
      <c r="C195" s="1" t="n">
        <v>45575</v>
      </c>
      <c r="D195" t="inlineStr">
        <is>
          <t>DALARNAS LÄN</t>
        </is>
      </c>
      <c r="E195" t="inlineStr">
        <is>
          <t>SMEDJEBACKEN</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54886-2020</t>
        </is>
      </c>
      <c r="B196" s="1" t="n">
        <v>44126</v>
      </c>
      <c r="C196" s="1" t="n">
        <v>45575</v>
      </c>
      <c r="D196" t="inlineStr">
        <is>
          <t>DALARNAS LÄN</t>
        </is>
      </c>
      <c r="E196" t="inlineStr">
        <is>
          <t>SMEDJEBACKEN</t>
        </is>
      </c>
      <c r="F196" t="inlineStr">
        <is>
          <t>Bergvik skog väst AB</t>
        </is>
      </c>
      <c r="G196" t="n">
        <v>8</v>
      </c>
      <c r="H196" t="n">
        <v>0</v>
      </c>
      <c r="I196" t="n">
        <v>0</v>
      </c>
      <c r="J196" t="n">
        <v>0</v>
      </c>
      <c r="K196" t="n">
        <v>0</v>
      </c>
      <c r="L196" t="n">
        <v>0</v>
      </c>
      <c r="M196" t="n">
        <v>0</v>
      </c>
      <c r="N196" t="n">
        <v>0</v>
      </c>
      <c r="O196" t="n">
        <v>0</v>
      </c>
      <c r="P196" t="n">
        <v>0</v>
      </c>
      <c r="Q196" t="n">
        <v>0</v>
      </c>
      <c r="R196" s="2" t="inlineStr"/>
    </row>
    <row r="197" ht="15" customHeight="1">
      <c r="A197" t="inlineStr">
        <is>
          <t>A 54867-2020</t>
        </is>
      </c>
      <c r="B197" s="1" t="n">
        <v>44126</v>
      </c>
      <c r="C197" s="1" t="n">
        <v>45575</v>
      </c>
      <c r="D197" t="inlineStr">
        <is>
          <t>DALARNAS LÄN</t>
        </is>
      </c>
      <c r="E197" t="inlineStr">
        <is>
          <t>SMEDJEBACKEN</t>
        </is>
      </c>
      <c r="F197" t="inlineStr">
        <is>
          <t>Bergvik skog väst AB</t>
        </is>
      </c>
      <c r="G197" t="n">
        <v>3.6</v>
      </c>
      <c r="H197" t="n">
        <v>0</v>
      </c>
      <c r="I197" t="n">
        <v>0</v>
      </c>
      <c r="J197" t="n">
        <v>0</v>
      </c>
      <c r="K197" t="n">
        <v>0</v>
      </c>
      <c r="L197" t="n">
        <v>0</v>
      </c>
      <c r="M197" t="n">
        <v>0</v>
      </c>
      <c r="N197" t="n">
        <v>0</v>
      </c>
      <c r="O197" t="n">
        <v>0</v>
      </c>
      <c r="P197" t="n">
        <v>0</v>
      </c>
      <c r="Q197" t="n">
        <v>0</v>
      </c>
      <c r="R197" s="2" t="inlineStr"/>
    </row>
    <row r="198" ht="15" customHeight="1">
      <c r="A198" t="inlineStr">
        <is>
          <t>A 54894-2020</t>
        </is>
      </c>
      <c r="B198" s="1" t="n">
        <v>44126</v>
      </c>
      <c r="C198" s="1" t="n">
        <v>45575</v>
      </c>
      <c r="D198" t="inlineStr">
        <is>
          <t>DALARNAS LÄN</t>
        </is>
      </c>
      <c r="E198" t="inlineStr">
        <is>
          <t>SMEDJEBACKEN</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56372-2020</t>
        </is>
      </c>
      <c r="B199" s="1" t="n">
        <v>44136</v>
      </c>
      <c r="C199" s="1" t="n">
        <v>45575</v>
      </c>
      <c r="D199" t="inlineStr">
        <is>
          <t>DALARNAS LÄN</t>
        </is>
      </c>
      <c r="E199" t="inlineStr">
        <is>
          <t>SMEDJEBACKEN</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57904-2020</t>
        </is>
      </c>
      <c r="B200" s="1" t="n">
        <v>44141</v>
      </c>
      <c r="C200" s="1" t="n">
        <v>45575</v>
      </c>
      <c r="D200" t="inlineStr">
        <is>
          <t>DALARNAS LÄN</t>
        </is>
      </c>
      <c r="E200" t="inlineStr">
        <is>
          <t>SMEDJEBACKEN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59324-2020</t>
        </is>
      </c>
      <c r="B201" s="1" t="n">
        <v>44147</v>
      </c>
      <c r="C201" s="1" t="n">
        <v>45575</v>
      </c>
      <c r="D201" t="inlineStr">
        <is>
          <t>DALARNAS LÄN</t>
        </is>
      </c>
      <c r="E201" t="inlineStr">
        <is>
          <t>SMEDJEBACKEN</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59381-2020</t>
        </is>
      </c>
      <c r="B202" s="1" t="n">
        <v>44148</v>
      </c>
      <c r="C202" s="1" t="n">
        <v>45575</v>
      </c>
      <c r="D202" t="inlineStr">
        <is>
          <t>DALARNAS LÄN</t>
        </is>
      </c>
      <c r="E202" t="inlineStr">
        <is>
          <t>SMEDJEBACKEN</t>
        </is>
      </c>
      <c r="F202" t="inlineStr">
        <is>
          <t>Sveaskog</t>
        </is>
      </c>
      <c r="G202" t="n">
        <v>6.2</v>
      </c>
      <c r="H202" t="n">
        <v>0</v>
      </c>
      <c r="I202" t="n">
        <v>0</v>
      </c>
      <c r="J202" t="n">
        <v>0</v>
      </c>
      <c r="K202" t="n">
        <v>0</v>
      </c>
      <c r="L202" t="n">
        <v>0</v>
      </c>
      <c r="M202" t="n">
        <v>0</v>
      </c>
      <c r="N202" t="n">
        <v>0</v>
      </c>
      <c r="O202" t="n">
        <v>0</v>
      </c>
      <c r="P202" t="n">
        <v>0</v>
      </c>
      <c r="Q202" t="n">
        <v>0</v>
      </c>
      <c r="R202" s="2" t="inlineStr"/>
    </row>
    <row r="203" ht="15" customHeight="1">
      <c r="A203" t="inlineStr">
        <is>
          <t>A 59536-2020</t>
        </is>
      </c>
      <c r="B203" s="1" t="n">
        <v>44148</v>
      </c>
      <c r="C203" s="1" t="n">
        <v>45575</v>
      </c>
      <c r="D203" t="inlineStr">
        <is>
          <t>DALARNAS LÄN</t>
        </is>
      </c>
      <c r="E203" t="inlineStr">
        <is>
          <t>SMEDJEBACKEN</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62215-2020</t>
        </is>
      </c>
      <c r="B204" s="1" t="n">
        <v>44159</v>
      </c>
      <c r="C204" s="1" t="n">
        <v>45575</v>
      </c>
      <c r="D204" t="inlineStr">
        <is>
          <t>DALARNAS LÄN</t>
        </is>
      </c>
      <c r="E204" t="inlineStr">
        <is>
          <t>SMEDJEBACKEN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62690-2020</t>
        </is>
      </c>
      <c r="B205" s="1" t="n">
        <v>44161</v>
      </c>
      <c r="C205" s="1" t="n">
        <v>45575</v>
      </c>
      <c r="D205" t="inlineStr">
        <is>
          <t>DALARNAS LÄN</t>
        </is>
      </c>
      <c r="E205" t="inlineStr">
        <is>
          <t>SMEDJEBACKEN</t>
        </is>
      </c>
      <c r="G205" t="n">
        <v>4.5</v>
      </c>
      <c r="H205" t="n">
        <v>0</v>
      </c>
      <c r="I205" t="n">
        <v>0</v>
      </c>
      <c r="J205" t="n">
        <v>0</v>
      </c>
      <c r="K205" t="n">
        <v>0</v>
      </c>
      <c r="L205" t="n">
        <v>0</v>
      </c>
      <c r="M205" t="n">
        <v>0</v>
      </c>
      <c r="N205" t="n">
        <v>0</v>
      </c>
      <c r="O205" t="n">
        <v>0</v>
      </c>
      <c r="P205" t="n">
        <v>0</v>
      </c>
      <c r="Q205" t="n">
        <v>0</v>
      </c>
      <c r="R205" s="2" t="inlineStr"/>
    </row>
    <row r="206" ht="15" customHeight="1">
      <c r="A206" t="inlineStr">
        <is>
          <t>A 63255-2020</t>
        </is>
      </c>
      <c r="B206" s="1" t="n">
        <v>44164</v>
      </c>
      <c r="C206" s="1" t="n">
        <v>45575</v>
      </c>
      <c r="D206" t="inlineStr">
        <is>
          <t>DALARNAS LÄN</t>
        </is>
      </c>
      <c r="E206" t="inlineStr">
        <is>
          <t>SMEDJEBACKEN</t>
        </is>
      </c>
      <c r="G206" t="n">
        <v>0.6</v>
      </c>
      <c r="H206" t="n">
        <v>0</v>
      </c>
      <c r="I206" t="n">
        <v>0</v>
      </c>
      <c r="J206" t="n">
        <v>0</v>
      </c>
      <c r="K206" t="n">
        <v>0</v>
      </c>
      <c r="L206" t="n">
        <v>0</v>
      </c>
      <c r="M206" t="n">
        <v>0</v>
      </c>
      <c r="N206" t="n">
        <v>0</v>
      </c>
      <c r="O206" t="n">
        <v>0</v>
      </c>
      <c r="P206" t="n">
        <v>0</v>
      </c>
      <c r="Q206" t="n">
        <v>0</v>
      </c>
      <c r="R206" s="2" t="inlineStr"/>
    </row>
    <row r="207" ht="15" customHeight="1">
      <c r="A207" t="inlineStr">
        <is>
          <t>A 63249-2020</t>
        </is>
      </c>
      <c r="B207" s="1" t="n">
        <v>44164</v>
      </c>
      <c r="C207" s="1" t="n">
        <v>45575</v>
      </c>
      <c r="D207" t="inlineStr">
        <is>
          <t>DALARNAS LÄN</t>
        </is>
      </c>
      <c r="E207" t="inlineStr">
        <is>
          <t>SMEDJEBACKEN</t>
        </is>
      </c>
      <c r="G207" t="n">
        <v>1.3</v>
      </c>
      <c r="H207" t="n">
        <v>0</v>
      </c>
      <c r="I207" t="n">
        <v>0</v>
      </c>
      <c r="J207" t="n">
        <v>0</v>
      </c>
      <c r="K207" t="n">
        <v>0</v>
      </c>
      <c r="L207" t="n">
        <v>0</v>
      </c>
      <c r="M207" t="n">
        <v>0</v>
      </c>
      <c r="N207" t="n">
        <v>0</v>
      </c>
      <c r="O207" t="n">
        <v>0</v>
      </c>
      <c r="P207" t="n">
        <v>0</v>
      </c>
      <c r="Q207" t="n">
        <v>0</v>
      </c>
      <c r="R207" s="2" t="inlineStr"/>
    </row>
    <row r="208" ht="15" customHeight="1">
      <c r="A208" t="inlineStr">
        <is>
          <t>A 63248-2020</t>
        </is>
      </c>
      <c r="B208" s="1" t="n">
        <v>44164</v>
      </c>
      <c r="C208" s="1" t="n">
        <v>45575</v>
      </c>
      <c r="D208" t="inlineStr">
        <is>
          <t>DALARNAS LÄN</t>
        </is>
      </c>
      <c r="E208" t="inlineStr">
        <is>
          <t>SMEDJEBACKEN</t>
        </is>
      </c>
      <c r="G208" t="n">
        <v>0.3</v>
      </c>
      <c r="H208" t="n">
        <v>0</v>
      </c>
      <c r="I208" t="n">
        <v>0</v>
      </c>
      <c r="J208" t="n">
        <v>0</v>
      </c>
      <c r="K208" t="n">
        <v>0</v>
      </c>
      <c r="L208" t="n">
        <v>0</v>
      </c>
      <c r="M208" t="n">
        <v>0</v>
      </c>
      <c r="N208" t="n">
        <v>0</v>
      </c>
      <c r="O208" t="n">
        <v>0</v>
      </c>
      <c r="P208" t="n">
        <v>0</v>
      </c>
      <c r="Q208" t="n">
        <v>0</v>
      </c>
      <c r="R208" s="2" t="inlineStr"/>
    </row>
    <row r="209" ht="15" customHeight="1">
      <c r="A209" t="inlineStr">
        <is>
          <t>A 63854-2020</t>
        </is>
      </c>
      <c r="B209" s="1" t="n">
        <v>44165</v>
      </c>
      <c r="C209" s="1" t="n">
        <v>45575</v>
      </c>
      <c r="D209" t="inlineStr">
        <is>
          <t>DALARNAS LÄN</t>
        </is>
      </c>
      <c r="E209" t="inlineStr">
        <is>
          <t>SMEDJEBACKEN</t>
        </is>
      </c>
      <c r="G209" t="n">
        <v>22.4</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45575</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45575</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45575</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45575</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45575</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45575</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45575</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45575</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45575</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45575</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45575</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45575</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45575</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45575</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45575</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45575</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45575</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45575</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45575</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45575</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45575</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45575</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45575</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45575</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45575</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45575</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45575</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45575</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45575</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45575</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45575</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45575</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45575</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45575</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45575</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45575</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45575</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45575</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45575</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45575</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45575</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45575</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45575</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45575</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45575</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45575</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45575</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45575</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45575</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45575</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45575</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45575</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45575</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45575</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45575</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45575</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45575</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45575</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45575</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45575</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45575</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45575</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45575</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45575</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45575</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45575</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45575</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45575</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45575</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45575</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45575</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45575</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45575</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45575</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45575</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45575</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45575</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45575</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45575</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45575</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45575</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45575</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45575</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45575</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45575</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45575</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45575</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45575</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45575</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45575</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45575</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45575</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45575</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45575</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45575</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45575</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45575</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45575</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45575</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45575</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45575</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45575</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45575</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45575</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45575</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45575</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45575</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45575</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45575</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45575</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45575</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45575</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45575</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45575</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45575</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45575</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45575</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45575</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45575</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45575</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45575</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45575</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45575</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45575</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45575</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45575</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45575</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45575</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45575</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45575</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45575</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45575</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45575</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45575</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45575</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45575</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45575</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45575</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45575</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45575</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45575</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45575</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45575</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45575</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45575</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45575</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45575</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45575</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45575</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45575</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45575</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45575</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45575</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45575</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45575</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45575</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45575</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45575</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45575</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45575</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45575</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45575</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45575</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45575</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45575</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45575</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45575</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45575</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45575</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45575</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45575</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45575</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45575</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45575</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45575</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45575</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45575</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45575</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45575</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45575</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45575</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45575</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45575</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45575</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45575</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45575</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45575</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45575</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45575</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45575</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45575</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45575</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45575</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45575</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45575</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45575</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45575</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45575</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45575</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45575</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45575</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45575</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45575</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45575</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45575</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45575</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45575</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45575</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45575</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45575</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45575</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45575</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45575</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45575</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45575</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45575</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45575</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45575</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45575</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45575</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45575</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45575</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45575</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45575</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45575</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45575</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45575</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45575</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45575</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45575</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45575</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45575</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45575</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45575</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45575</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45575</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45575</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45575</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45575</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45575</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45575</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45575</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45575</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45575</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45575</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45575</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45575</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45575</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45575</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45575</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45575</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45575</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45575</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45575</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45575</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45575</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45575</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45575</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45575</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45575</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45575</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45575</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45575</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45575</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45575</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45575</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45575</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45575</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45575</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45575</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45575</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45575</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45575</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45575</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45575</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45575</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45575</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45575</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45575</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45575</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45575</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45575</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45575</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45575</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45575</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45575</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45575</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45575</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45575</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45575</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45575</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45575</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45575</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45575</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45575</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45575</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45575</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45575</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45575</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45575</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45575</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45575</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45575</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45575</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45575</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45575</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45575</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45575</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45575</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45575</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45575</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45575</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45575</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45575</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45575</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45575</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45575</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45575</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45575</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45575</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45575</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45575</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45575</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45575</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45575</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45575</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45575</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45575</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45575</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45575</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45575</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45575</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45575</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45575</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45575</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45575</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45575</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45575</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45575</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45575</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45575</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45575</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45575</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45575</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45575</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45575</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45575</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45575</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45575</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45575</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45575</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45575</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45575</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45575</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45575</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45575</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45575</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45575</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45575</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45575</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45575</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45575</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45575</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45575</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45575</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45575</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45575</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45575</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45575</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45575</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45575</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45575</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45575</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45575</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45575</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45575</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45575</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45575</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45575</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45575</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45575</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45575</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45575</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45575</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45575</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45575</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45575</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45575</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45575</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45575</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45575</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45575</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45575</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45575</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45575</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45575</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45575</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45575</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45575</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45575</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45575</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45575</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45575</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45575</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45575</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45575</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45575</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45575</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45575</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45575</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45575</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45575</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45575</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45575</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45575</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45575</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45575</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45575</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45575</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45575</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45575</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45575</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45575</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45575</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45575</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45575</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45575</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45575</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45575</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45575</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45575</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45575</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45575</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45575</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45575</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45575</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45575</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45575</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45575</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45575</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45575</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45575</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45575</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45575</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45575</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45575</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45575</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45575</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45575</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45575</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45575</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45575</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45575</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45575</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45575</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45575</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45575</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45575</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45575</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45575</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45575</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45575</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45575</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45575</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45575</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45575</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45575</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45575</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45575</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45575</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45575</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45575</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45575</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45575</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45575</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45575</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45575</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45575</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45575</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45575</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45575</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45575</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45575</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45575</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45575</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45575</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45575</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45575</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45575</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45575</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45575</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45575</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45575</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45575</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45575</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45575</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45575</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45575</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45575</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45575</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45575</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45575</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45575</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45575</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45575</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45575</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45575</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45575</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45575</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45575</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45575</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45575</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45575</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45575</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45575</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45575</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45575</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45575</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45575</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45575</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45575</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45575</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45575</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45575</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45575</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45575</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45575</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45575</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45575</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45575</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45575</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45575</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45575</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45575</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45575</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45575</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45575</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45575</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45575</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45575</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45575</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45575</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45575</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45575</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45575</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45575</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45575</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45575</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45575</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45575</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45575</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45575</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45575</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45575</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45575</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45575</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45575</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45575</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45575</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45575</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45575</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45575</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45575</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45575</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45575</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45575</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45575</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45575</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45575</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45575</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45575</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45575</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45575</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45575</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45575</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45575</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45575</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45575</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45575</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45575</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45575</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45575</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45575</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45575</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45575</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45575</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45575</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45575</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45575</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45575</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45575</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45575</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45575</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45575</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45575</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45575</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45575</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45575</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45575</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45575</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45575</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45575</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45575</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45575</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45575</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45575</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45575</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45575</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45575</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45575</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45575</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45575</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45575</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45575</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45575</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45575</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45575</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45575</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45575</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45575</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45575</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45575</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45575</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45575</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45575</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45575</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45575</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45575</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45575</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45575</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45575</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45575</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45575</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45575</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45575</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45575</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45575</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45575</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45575</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45575</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45575</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45575</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45575</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45575</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45575</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45575</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45575</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45575</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45575</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45575</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45575</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45575</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45575</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45575</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45575</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45575</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45575</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45575</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45575</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45575</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45575</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45575</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45575</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45575</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45575</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45575</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45575</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45575</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45575</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45575</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45575</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45575</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45575</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45575</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45575</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45575</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45575</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45575</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45575</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45575</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45575</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45575</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45575</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45575</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45575</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45575</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45575</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45575</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45575</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45575</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45575</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45575</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45575</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45575</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45575</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45575</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45575</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45575</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45575</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45575</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45575</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45575</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45575</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45575</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45575</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45575</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45575</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45575</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45575</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45575</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45575</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45575</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45575</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45575</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45575</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45575</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45575</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45575</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45575</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45575</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45575</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45575</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45575</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45575</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45575</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45575</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45575</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45575</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45575</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45575</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45575</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45575</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45575</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45575</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45575</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45575</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45575</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45575</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45575</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45575</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45575</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45575</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45575</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45575</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45575</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45575</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45575</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45575</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45575</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45575</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45575</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45575</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45575</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45575</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45575</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45575</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45575</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45575</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45575</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45575</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45575</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45575</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45575</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45575</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45575</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45575</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45575</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45575</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45575</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45575</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45575</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45575</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45575</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45575</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45575</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38464-2024</t>
        </is>
      </c>
      <c r="B985" s="1" t="n">
        <v>45546</v>
      </c>
      <c r="C985" s="1" t="n">
        <v>45575</v>
      </c>
      <c r="D985" t="inlineStr">
        <is>
          <t>DALARNAS LÄN</t>
        </is>
      </c>
      <c r="E985" t="inlineStr">
        <is>
          <t>SMEDJEBACKEN</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38473-2024</t>
        </is>
      </c>
      <c r="B986" s="1" t="n">
        <v>45546</v>
      </c>
      <c r="C986" s="1" t="n">
        <v>45575</v>
      </c>
      <c r="D986" t="inlineStr">
        <is>
          <t>DALARNAS LÄN</t>
        </is>
      </c>
      <c r="E986" t="inlineStr">
        <is>
          <t>SMEDJEBACKEN</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38480-2024</t>
        </is>
      </c>
      <c r="B987" s="1" t="n">
        <v>45546</v>
      </c>
      <c r="C987" s="1" t="n">
        <v>45575</v>
      </c>
      <c r="D987" t="inlineStr">
        <is>
          <t>DALARNAS LÄN</t>
        </is>
      </c>
      <c r="E987" t="inlineStr">
        <is>
          <t>SMEDJEBACKEN</t>
        </is>
      </c>
      <c r="F987" t="inlineStr">
        <is>
          <t>Sveaskog</t>
        </is>
      </c>
      <c r="G987" t="n">
        <v>7</v>
      </c>
      <c r="H987" t="n">
        <v>0</v>
      </c>
      <c r="I987" t="n">
        <v>0</v>
      </c>
      <c r="J987" t="n">
        <v>0</v>
      </c>
      <c r="K987" t="n">
        <v>0</v>
      </c>
      <c r="L987" t="n">
        <v>0</v>
      </c>
      <c r="M987" t="n">
        <v>0</v>
      </c>
      <c r="N987" t="n">
        <v>0</v>
      </c>
      <c r="O987" t="n">
        <v>0</v>
      </c>
      <c r="P987" t="n">
        <v>0</v>
      </c>
      <c r="Q987" t="n">
        <v>0</v>
      </c>
      <c r="R987" s="2" t="inlineStr"/>
    </row>
    <row r="988" ht="15" customHeight="1">
      <c r="A988" t="inlineStr">
        <is>
          <t>A 38466-2024</t>
        </is>
      </c>
      <c r="B988" s="1" t="n">
        <v>45546</v>
      </c>
      <c r="C988" s="1" t="n">
        <v>45575</v>
      </c>
      <c r="D988" t="inlineStr">
        <is>
          <t>DALARNAS LÄN</t>
        </is>
      </c>
      <c r="E988" t="inlineStr">
        <is>
          <t>SMEDJEBACKEN</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38483-2024</t>
        </is>
      </c>
      <c r="B989" s="1" t="n">
        <v>45546</v>
      </c>
      <c r="C989" s="1" t="n">
        <v>45575</v>
      </c>
      <c r="D989" t="inlineStr">
        <is>
          <t>DALARNAS LÄN</t>
        </is>
      </c>
      <c r="E989" t="inlineStr">
        <is>
          <t>SMEDJEBACKEN</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38772-2024</t>
        </is>
      </c>
      <c r="B990" s="1" t="n">
        <v>45547</v>
      </c>
      <c r="C990" s="1" t="n">
        <v>45575</v>
      </c>
      <c r="D990" t="inlineStr">
        <is>
          <t>DALARNAS LÄN</t>
        </is>
      </c>
      <c r="E990" t="inlineStr">
        <is>
          <t>SMEDJEBACKEN</t>
        </is>
      </c>
      <c r="F990" t="inlineStr">
        <is>
          <t>Sveaskog</t>
        </is>
      </c>
      <c r="G990" t="n">
        <v>5.2</v>
      </c>
      <c r="H990" t="n">
        <v>0</v>
      </c>
      <c r="I990" t="n">
        <v>0</v>
      </c>
      <c r="J990" t="n">
        <v>0</v>
      </c>
      <c r="K990" t="n">
        <v>0</v>
      </c>
      <c r="L990" t="n">
        <v>0</v>
      </c>
      <c r="M990" t="n">
        <v>0</v>
      </c>
      <c r="N990" t="n">
        <v>0</v>
      </c>
      <c r="O990" t="n">
        <v>0</v>
      </c>
      <c r="P990" t="n">
        <v>0</v>
      </c>
      <c r="Q990" t="n">
        <v>0</v>
      </c>
      <c r="R990" s="2" t="inlineStr"/>
    </row>
    <row r="991" ht="15" customHeight="1">
      <c r="A991" t="inlineStr">
        <is>
          <t>A 38770-2024</t>
        </is>
      </c>
      <c r="B991" s="1" t="n">
        <v>45547</v>
      </c>
      <c r="C991" s="1" t="n">
        <v>45575</v>
      </c>
      <c r="D991" t="inlineStr">
        <is>
          <t>DALARNAS LÄN</t>
        </is>
      </c>
      <c r="E991" t="inlineStr">
        <is>
          <t>SMEDJEBACKEN</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38774-2024</t>
        </is>
      </c>
      <c r="B992" s="1" t="n">
        <v>45547</v>
      </c>
      <c r="C992" s="1" t="n">
        <v>45575</v>
      </c>
      <c r="D992" t="inlineStr">
        <is>
          <t>DALARNAS LÄN</t>
        </is>
      </c>
      <c r="E992" t="inlineStr">
        <is>
          <t>SMEDJEBACKEN</t>
        </is>
      </c>
      <c r="F992" t="inlineStr">
        <is>
          <t>Sveaskog</t>
        </is>
      </c>
      <c r="G992" t="n">
        <v>1.8</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45575</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45575</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45575</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45575</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40925-2024</t>
        </is>
      </c>
      <c r="B997" s="1" t="n">
        <v>45558</v>
      </c>
      <c r="C997" s="1" t="n">
        <v>45575</v>
      </c>
      <c r="D997" t="inlineStr">
        <is>
          <t>DALARNAS LÄN</t>
        </is>
      </c>
      <c r="E997" t="inlineStr">
        <is>
          <t>SMEDJEBACKEN</t>
        </is>
      </c>
      <c r="F997" t="inlineStr">
        <is>
          <t>Sveaskog</t>
        </is>
      </c>
      <c r="G997" t="n">
        <v>2.7</v>
      </c>
      <c r="H997" t="n">
        <v>0</v>
      </c>
      <c r="I997" t="n">
        <v>0</v>
      </c>
      <c r="J997" t="n">
        <v>0</v>
      </c>
      <c r="K997" t="n">
        <v>0</v>
      </c>
      <c r="L997" t="n">
        <v>0</v>
      </c>
      <c r="M997" t="n">
        <v>0</v>
      </c>
      <c r="N997" t="n">
        <v>0</v>
      </c>
      <c r="O997" t="n">
        <v>0</v>
      </c>
      <c r="P997" t="n">
        <v>0</v>
      </c>
      <c r="Q997" t="n">
        <v>0</v>
      </c>
      <c r="R997" s="2" t="inlineStr"/>
    </row>
    <row r="998" ht="15" customHeight="1">
      <c r="A998" t="inlineStr">
        <is>
          <t>A 40932-2024</t>
        </is>
      </c>
      <c r="B998" s="1" t="n">
        <v>45558</v>
      </c>
      <c r="C998" s="1" t="n">
        <v>45575</v>
      </c>
      <c r="D998" t="inlineStr">
        <is>
          <t>DALARNAS LÄN</t>
        </is>
      </c>
      <c r="E998" t="inlineStr">
        <is>
          <t>SMEDJEBACKEN</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40944-2024</t>
        </is>
      </c>
      <c r="B999" s="1" t="n">
        <v>45558</v>
      </c>
      <c r="C999" s="1" t="n">
        <v>45575</v>
      </c>
      <c r="D999" t="inlineStr">
        <is>
          <t>DALARNAS LÄN</t>
        </is>
      </c>
      <c r="E999" t="inlineStr">
        <is>
          <t>SMEDJEBACKEN</t>
        </is>
      </c>
      <c r="F999" t="inlineStr">
        <is>
          <t>Sveaskog</t>
        </is>
      </c>
      <c r="G999" t="n">
        <v>3.9</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45575</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40943-2024</t>
        </is>
      </c>
      <c r="B1001" s="1" t="n">
        <v>45558</v>
      </c>
      <c r="C1001" s="1" t="n">
        <v>45575</v>
      </c>
      <c r="D1001" t="inlineStr">
        <is>
          <t>DALARNAS LÄN</t>
        </is>
      </c>
      <c r="E1001" t="inlineStr">
        <is>
          <t>SMEDJEBACKEN</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45575</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45575</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45575</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45575</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42202-2024</t>
        </is>
      </c>
      <c r="B1006" s="1" t="n">
        <v>45562</v>
      </c>
      <c r="C1006" s="1" t="n">
        <v>45575</v>
      </c>
      <c r="D1006" t="inlineStr">
        <is>
          <t>DALARNAS LÄN</t>
        </is>
      </c>
      <c r="E1006" t="inlineStr">
        <is>
          <t>SMEDJEBACKEN</t>
        </is>
      </c>
      <c r="F1006" t="inlineStr">
        <is>
          <t>Sveaskog</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42310-2024</t>
        </is>
      </c>
      <c r="B1007" s="1" t="n">
        <v>45562</v>
      </c>
      <c r="C1007" s="1" t="n">
        <v>45575</v>
      </c>
      <c r="D1007" t="inlineStr">
        <is>
          <t>DALARNAS LÄN</t>
        </is>
      </c>
      <c r="E1007" t="inlineStr">
        <is>
          <t>SMEDJEBACKEN</t>
        </is>
      </c>
      <c r="G1007" t="n">
        <v>17.2</v>
      </c>
      <c r="H1007" t="n">
        <v>0</v>
      </c>
      <c r="I1007" t="n">
        <v>0</v>
      </c>
      <c r="J1007" t="n">
        <v>0</v>
      </c>
      <c r="K1007" t="n">
        <v>0</v>
      </c>
      <c r="L1007" t="n">
        <v>0</v>
      </c>
      <c r="M1007" t="n">
        <v>0</v>
      </c>
      <c r="N1007" t="n">
        <v>0</v>
      </c>
      <c r="O1007" t="n">
        <v>0</v>
      </c>
      <c r="P1007" t="n">
        <v>0</v>
      </c>
      <c r="Q1007" t="n">
        <v>0</v>
      </c>
      <c r="R1007" s="2" t="inlineStr"/>
    </row>
    <row r="1008" ht="15" customHeight="1">
      <c r="A1008" t="inlineStr">
        <is>
          <t>A 42326-2024</t>
        </is>
      </c>
      <c r="B1008" s="1" t="n">
        <v>45562</v>
      </c>
      <c r="C1008" s="1" t="n">
        <v>45575</v>
      </c>
      <c r="D1008" t="inlineStr">
        <is>
          <t>DALARNAS LÄN</t>
        </is>
      </c>
      <c r="E1008" t="inlineStr">
        <is>
          <t>SMEDJEBACKEN</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42315-2024</t>
        </is>
      </c>
      <c r="B1009" s="1" t="n">
        <v>45562</v>
      </c>
      <c r="C1009" s="1" t="n">
        <v>45575</v>
      </c>
      <c r="D1009" t="inlineStr">
        <is>
          <t>DALARNAS LÄN</t>
        </is>
      </c>
      <c r="E1009" t="inlineStr">
        <is>
          <t>SMEDJEBACKEN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42199-2024</t>
        </is>
      </c>
      <c r="B1010" s="1" t="n">
        <v>45562</v>
      </c>
      <c r="C1010" s="1" t="n">
        <v>45575</v>
      </c>
      <c r="D1010" t="inlineStr">
        <is>
          <t>DALARNAS LÄN</t>
        </is>
      </c>
      <c r="E1010" t="inlineStr">
        <is>
          <t>SMEDJEBACKEN</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42200-2024</t>
        </is>
      </c>
      <c r="B1011" s="1" t="n">
        <v>45562</v>
      </c>
      <c r="C1011" s="1" t="n">
        <v>45575</v>
      </c>
      <c r="D1011" t="inlineStr">
        <is>
          <t>DALARNAS LÄN</t>
        </is>
      </c>
      <c r="E1011" t="inlineStr">
        <is>
          <t>SMEDJEBACKEN</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45575</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45575</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42866-2024</t>
        </is>
      </c>
      <c r="B1014" s="1" t="n">
        <v>45566</v>
      </c>
      <c r="C1014" s="1" t="n">
        <v>45575</v>
      </c>
      <c r="D1014" t="inlineStr">
        <is>
          <t>DALARNAS LÄN</t>
        </is>
      </c>
      <c r="E1014" t="inlineStr">
        <is>
          <t>SMEDJEBACKEN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42856-2024</t>
        </is>
      </c>
      <c r="B1015" s="1" t="n">
        <v>45566</v>
      </c>
      <c r="C1015" s="1" t="n">
        <v>45575</v>
      </c>
      <c r="D1015" t="inlineStr">
        <is>
          <t>DALARNAS LÄN</t>
        </is>
      </c>
      <c r="E1015" t="inlineStr">
        <is>
          <t>SMEDJEBACKEN</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42867-2024</t>
        </is>
      </c>
      <c r="B1016" s="1" t="n">
        <v>45566</v>
      </c>
      <c r="C1016" s="1" t="n">
        <v>45575</v>
      </c>
      <c r="D1016" t="inlineStr">
        <is>
          <t>DALARNAS LÄN</t>
        </is>
      </c>
      <c r="E1016" t="inlineStr">
        <is>
          <t>SMEDJEBACKEN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43422-2024</t>
        </is>
      </c>
      <c r="B1017" s="1" t="n">
        <v>45568</v>
      </c>
      <c r="C1017" s="1" t="n">
        <v>45575</v>
      </c>
      <c r="D1017" t="inlineStr">
        <is>
          <t>DALARNAS LÄN</t>
        </is>
      </c>
      <c r="E1017" t="inlineStr">
        <is>
          <t>SMEDJEBACKEN</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43421-2024</t>
        </is>
      </c>
      <c r="B1018" s="1" t="n">
        <v>45568</v>
      </c>
      <c r="C1018" s="1" t="n">
        <v>45575</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43809-2024</t>
        </is>
      </c>
      <c r="B1019" s="1" t="n">
        <v>45571</v>
      </c>
      <c r="C1019" s="1" t="n">
        <v>45575</v>
      </c>
      <c r="D1019" t="inlineStr">
        <is>
          <t>DALARNAS LÄN</t>
        </is>
      </c>
      <c r="E1019" t="inlineStr">
        <is>
          <t>SMEDJEBACKEN</t>
        </is>
      </c>
      <c r="F1019" t="inlineStr">
        <is>
          <t>Sveaskog</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43813-2024</t>
        </is>
      </c>
      <c r="B1020" s="1" t="n">
        <v>45571</v>
      </c>
      <c r="C1020" s="1" t="n">
        <v>45575</v>
      </c>
      <c r="D1020" t="inlineStr">
        <is>
          <t>DALARNAS LÄN</t>
        </is>
      </c>
      <c r="E1020" t="inlineStr">
        <is>
          <t>SMEDJEBACKEN</t>
        </is>
      </c>
      <c r="F1020" t="inlineStr">
        <is>
          <t>Sveaskog</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43811-2024</t>
        </is>
      </c>
      <c r="B1021" s="1" t="n">
        <v>45571</v>
      </c>
      <c r="C1021" s="1" t="n">
        <v>45575</v>
      </c>
      <c r="D1021" t="inlineStr">
        <is>
          <t>DALARNAS LÄN</t>
        </is>
      </c>
      <c r="E1021" t="inlineStr">
        <is>
          <t>SMEDJEBACKEN</t>
        </is>
      </c>
      <c r="F1021" t="inlineStr">
        <is>
          <t>Sveaskog</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43810-2024</t>
        </is>
      </c>
      <c r="B1022" s="1" t="n">
        <v>45571</v>
      </c>
      <c r="C1022" s="1" t="n">
        <v>45575</v>
      </c>
      <c r="D1022" t="inlineStr">
        <is>
          <t>DALARNAS LÄN</t>
        </is>
      </c>
      <c r="E1022" t="inlineStr">
        <is>
          <t>SMEDJEBACKEN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43812-2024</t>
        </is>
      </c>
      <c r="B1023" s="1" t="n">
        <v>45571</v>
      </c>
      <c r="C1023" s="1" t="n">
        <v>45575</v>
      </c>
      <c r="D1023" t="inlineStr">
        <is>
          <t>DALARNAS LÄN</t>
        </is>
      </c>
      <c r="E1023" t="inlineStr">
        <is>
          <t>SMEDJEBACKEN</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43926-2024</t>
        </is>
      </c>
      <c r="B1024" s="1" t="n">
        <v>45572</v>
      </c>
      <c r="C1024" s="1" t="n">
        <v>45575</v>
      </c>
      <c r="D1024" t="inlineStr">
        <is>
          <t>DALARNAS LÄN</t>
        </is>
      </c>
      <c r="E1024" t="inlineStr">
        <is>
          <t>SMEDJEBACKEN</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43929-2024</t>
        </is>
      </c>
      <c r="B1025" s="1" t="n">
        <v>45572</v>
      </c>
      <c r="C1025" s="1" t="n">
        <v>45575</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43923-2024</t>
        </is>
      </c>
      <c r="B1026" s="1" t="n">
        <v>45572</v>
      </c>
      <c r="C1026" s="1" t="n">
        <v>45575</v>
      </c>
      <c r="D1026" t="inlineStr">
        <is>
          <t>DALARNAS LÄN</t>
        </is>
      </c>
      <c r="E1026" t="inlineStr">
        <is>
          <t>SMEDJEBACKEN</t>
        </is>
      </c>
      <c r="F1026" t="inlineStr">
        <is>
          <t>Sveaskog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44069-2024</t>
        </is>
      </c>
      <c r="B1027" s="1" t="n">
        <v>45572</v>
      </c>
      <c r="C1027" s="1" t="n">
        <v>45575</v>
      </c>
      <c r="D1027" t="inlineStr">
        <is>
          <t>DALARNAS LÄN</t>
        </is>
      </c>
      <c r="E1027" t="inlineStr">
        <is>
          <t>SMEDJEBACKEN</t>
        </is>
      </c>
      <c r="G1027" t="n">
        <v>1.7</v>
      </c>
      <c r="H1027" t="n">
        <v>0</v>
      </c>
      <c r="I1027" t="n">
        <v>0</v>
      </c>
      <c r="J1027" t="n">
        <v>0</v>
      </c>
      <c r="K1027" t="n">
        <v>0</v>
      </c>
      <c r="L1027" t="n">
        <v>0</v>
      </c>
      <c r="M1027" t="n">
        <v>0</v>
      </c>
      <c r="N1027" t="n">
        <v>0</v>
      </c>
      <c r="O1027" t="n">
        <v>0</v>
      </c>
      <c r="P1027" t="n">
        <v>0</v>
      </c>
      <c r="Q1027" t="n">
        <v>0</v>
      </c>
      <c r="R1027" s="2" t="inlineStr"/>
    </row>
    <row r="1028">
      <c r="A1028" t="inlineStr">
        <is>
          <t>A 43909-2024</t>
        </is>
      </c>
      <c r="B1028" s="1" t="n">
        <v>45572</v>
      </c>
      <c r="C1028" s="1" t="n">
        <v>45575</v>
      </c>
      <c r="D1028" t="inlineStr">
        <is>
          <t>DALARNAS LÄN</t>
        </is>
      </c>
      <c r="E1028" t="inlineStr">
        <is>
          <t>SMEDJEBACKEN</t>
        </is>
      </c>
      <c r="G1028" t="n">
        <v>1</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2024-10-10T12:22:53Z</dcterms:created>
  <dcterms:modified xmlns:dcterms="http://purl.org/dc/terms/" xmlns:xsi="http://www.w3.org/2001/XMLSchema-instance" xsi:type="dcterms:W3CDTF">2024-10-10T12:22:54Z</dcterms:modified>
</cp:coreProperties>
</file>