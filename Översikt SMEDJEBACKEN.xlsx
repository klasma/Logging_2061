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46204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46204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46204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46204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46204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46204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46204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35890-2025</t>
        </is>
      </c>
      <c r="B9" s="1" t="n">
        <v>45862</v>
      </c>
      <c r="C9" s="1" t="n">
        <v>46204</v>
      </c>
      <c r="D9" t="inlineStr">
        <is>
          <t>DALARNAS LÄN</t>
        </is>
      </c>
      <c r="E9" t="inlineStr">
        <is>
          <t>SMEDJEBACKEN</t>
        </is>
      </c>
      <c r="G9" t="n">
        <v>0.7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Bågpraktmossa
Grov baronmossa
Guldlockmossa
Stenporella
Svart trolldruva
Trädporella
Blåsippa</t>
        </is>
      </c>
      <c r="S9">
        <f>HYPERLINK("https://klasma.github.io/Logging_2061/artfynd/A 35890-2025 artfynd.xlsx", "A 35890-2025")</f>
        <v/>
      </c>
      <c r="T9">
        <f>HYPERLINK("https://klasma.github.io/Logging_2061/kartor/A 35890-2025 karta.png", "A 35890-2025")</f>
        <v/>
      </c>
      <c r="V9">
        <f>HYPERLINK("https://klasma.github.io/Logging_2061/klagomål/A 35890-2025 FSC-klagomål.docx", "A 35890-2025")</f>
        <v/>
      </c>
      <c r="W9">
        <f>HYPERLINK("https://klasma.github.io/Logging_2061/klagomålsmail/A 35890-2025 FSC-klagomål mail.docx", "A 35890-2025")</f>
        <v/>
      </c>
      <c r="X9">
        <f>HYPERLINK("https://klasma.github.io/Logging_2061/tillsyn/A 35890-2025 tillsynsbegäran.docx", "A 35890-2025")</f>
        <v/>
      </c>
      <c r="Y9">
        <f>HYPERLINK("https://klasma.github.io/Logging_2061/tillsynsmail/A 35890-2025 tillsynsbegäran mail.docx", "A 35890-2025")</f>
        <v/>
      </c>
    </row>
    <row r="10" ht="15" customHeight="1">
      <c r="A10" t="inlineStr">
        <is>
          <t>A 52601-2024</t>
        </is>
      </c>
      <c r="B10" s="1" t="n">
        <v>45609</v>
      </c>
      <c r="C10" s="1" t="n">
        <v>46204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47.9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Tallticka
Vedskivlav
Vedtrappmossa
Vågbandad barkbock
Spillkråka</t>
        </is>
      </c>
      <c r="S10">
        <f>HYPERLINK("https://klasma.github.io/Logging_2061/artfynd/A 52601-2024 artfynd.xlsx", "A 52601-2024")</f>
        <v/>
      </c>
      <c r="T10">
        <f>HYPERLINK("https://klasma.github.io/Logging_2061/kartor/A 52601-2024 karta.png", "A 52601-2024")</f>
        <v/>
      </c>
      <c r="U10">
        <f>HYPERLINK("https://klasma.github.io/Logging_2061/knärot/A 52601-2024 karta knärot.png", "A 52601-2024")</f>
        <v/>
      </c>
      <c r="V10">
        <f>HYPERLINK("https://klasma.github.io/Logging_2061/klagomål/A 52601-2024 FSC-klagomål.docx", "A 52601-2024")</f>
        <v/>
      </c>
      <c r="W10">
        <f>HYPERLINK("https://klasma.github.io/Logging_2061/klagomålsmail/A 52601-2024 FSC-klagomål mail.docx", "A 52601-2024")</f>
        <v/>
      </c>
      <c r="X10">
        <f>HYPERLINK("https://klasma.github.io/Logging_2061/tillsyn/A 52601-2024 tillsynsbegäran.docx", "A 52601-2024")</f>
        <v/>
      </c>
      <c r="Y10">
        <f>HYPERLINK("https://klasma.github.io/Logging_2061/tillsynsmail/A 52601-2024 tillsynsbegäran mail.docx", "A 52601-2024")</f>
        <v/>
      </c>
      <c r="Z10">
        <f>HYPERLINK("https://klasma.github.io/Logging_2061/fåglar/A 52601-2024 prioriterade fågelarter.docx", "A 52601-2024")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46204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46204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35889-2025</t>
        </is>
      </c>
      <c r="B13" s="1" t="n">
        <v>45862</v>
      </c>
      <c r="C13" s="1" t="n">
        <v>46204</v>
      </c>
      <c r="D13" t="inlineStr">
        <is>
          <t>DALARNAS LÄN</t>
        </is>
      </c>
      <c r="E13" t="inlineStr">
        <is>
          <t>SMEDJEBACKEN</t>
        </is>
      </c>
      <c r="G13" t="n">
        <v>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Fjällig taggsvamp s.str.
Sotriska
Strimspindling
Svart trolldruva
Ögonpyrola</t>
        </is>
      </c>
      <c r="S13">
        <f>HYPERLINK("https://klasma.github.io/Logging_2061/artfynd/A 35889-2025 artfynd.xlsx", "A 35889-2025")</f>
        <v/>
      </c>
      <c r="T13">
        <f>HYPERLINK("https://klasma.github.io/Logging_2061/kartor/A 35889-2025 karta.png", "A 35889-2025")</f>
        <v/>
      </c>
      <c r="V13">
        <f>HYPERLINK("https://klasma.github.io/Logging_2061/klagomål/A 35889-2025 FSC-klagomål.docx", "A 35889-2025")</f>
        <v/>
      </c>
      <c r="W13">
        <f>HYPERLINK("https://klasma.github.io/Logging_2061/klagomålsmail/A 35889-2025 FSC-klagomål mail.docx", "A 35889-2025")</f>
        <v/>
      </c>
      <c r="X13">
        <f>HYPERLINK("https://klasma.github.io/Logging_2061/tillsyn/A 35889-2025 tillsynsbegäran.docx", "A 35889-2025")</f>
        <v/>
      </c>
      <c r="Y13">
        <f>HYPERLINK("https://klasma.github.io/Logging_2061/tillsynsmail/A 35889-2025 tillsynsbegäran mail.docx", "A 35889-2025")</f>
        <v/>
      </c>
    </row>
    <row r="14" ht="15" customHeight="1">
      <c r="A14" t="inlineStr">
        <is>
          <t>A 23498-2024</t>
        </is>
      </c>
      <c r="B14" s="1" t="n">
        <v>45453</v>
      </c>
      <c r="C14" s="1" t="n">
        <v>46204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3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Vedskivlav
Barkticka
Vedticka
Vågbandad barkbock</t>
        </is>
      </c>
      <c r="S14">
        <f>HYPERLINK("https://klasma.github.io/Logging_2061/artfynd/A 23498-2024 artfynd.xlsx", "A 23498-2024")</f>
        <v/>
      </c>
      <c r="T14">
        <f>HYPERLINK("https://klasma.github.io/Logging_2061/kartor/A 23498-2024 karta.png", "A 23498-2024")</f>
        <v/>
      </c>
      <c r="U14">
        <f>HYPERLINK("https://klasma.github.io/Logging_2061/knärot/A 23498-2024 karta knärot.png", "A 23498-2024")</f>
        <v/>
      </c>
      <c r="V14">
        <f>HYPERLINK("https://klasma.github.io/Logging_2061/klagomål/A 23498-2024 FSC-klagomål.docx", "A 23498-2024")</f>
        <v/>
      </c>
      <c r="W14">
        <f>HYPERLINK("https://klasma.github.io/Logging_2061/klagomålsmail/A 23498-2024 FSC-klagomål mail.docx", "A 23498-2024")</f>
        <v/>
      </c>
      <c r="X14">
        <f>HYPERLINK("https://klasma.github.io/Logging_2061/tillsyn/A 23498-2024 tillsynsbegäran.docx", "A 23498-2024")</f>
        <v/>
      </c>
      <c r="Y14">
        <f>HYPERLINK("https://klasma.github.io/Logging_2061/tillsynsmail/A 23498-2024 tillsynsbegäran mail.docx", "A 23498-2024")</f>
        <v/>
      </c>
    </row>
    <row r="15" ht="15" customHeight="1">
      <c r="A15" t="inlineStr">
        <is>
          <t>A 60678-2024</t>
        </is>
      </c>
      <c r="B15" s="1" t="n">
        <v>45644</v>
      </c>
      <c r="C15" s="1" t="n">
        <v>46204</v>
      </c>
      <c r="D15" t="inlineStr">
        <is>
          <t>DALARNAS LÄN</t>
        </is>
      </c>
      <c r="E15" t="inlineStr">
        <is>
          <t>SMEDJEBACKEN</t>
        </is>
      </c>
      <c r="G15" t="n">
        <v>1.9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Brun gräsfjäril
Väddnätfjäril
Mattlummer
Fläcknycklar
Revlummer</t>
        </is>
      </c>
      <c r="S15">
        <f>HYPERLINK("https://klasma.github.io/Logging_2061/artfynd/A 60678-2024 artfynd.xlsx", "A 60678-2024")</f>
        <v/>
      </c>
      <c r="T15">
        <f>HYPERLINK("https://klasma.github.io/Logging_2061/kartor/A 60678-2024 karta.png", "A 60678-2024")</f>
        <v/>
      </c>
      <c r="V15">
        <f>HYPERLINK("https://klasma.github.io/Logging_2061/klagomål/A 60678-2024 FSC-klagomål.docx", "A 60678-2024")</f>
        <v/>
      </c>
      <c r="W15">
        <f>HYPERLINK("https://klasma.github.io/Logging_2061/klagomålsmail/A 60678-2024 FSC-klagomål mail.docx", "A 60678-2024")</f>
        <v/>
      </c>
      <c r="X15">
        <f>HYPERLINK("https://klasma.github.io/Logging_2061/tillsyn/A 60678-2024 tillsynsbegäran.docx", "A 60678-2024")</f>
        <v/>
      </c>
      <c r="Y15">
        <f>HYPERLINK("https://klasma.github.io/Logging_2061/tillsynsmail/A 60678-2024 tillsynsbegäran mail.docx", "A 60678-2024")</f>
        <v/>
      </c>
    </row>
    <row r="16" ht="15" customHeight="1">
      <c r="A16" t="inlineStr">
        <is>
          <t>A 53555-2025</t>
        </is>
      </c>
      <c r="B16" s="1" t="n">
        <v>45960</v>
      </c>
      <c r="C16" s="1" t="n">
        <v>46204</v>
      </c>
      <c r="D16" t="inlineStr">
        <is>
          <t>DALARNAS LÄN</t>
        </is>
      </c>
      <c r="E16" t="inlineStr">
        <is>
          <t>SMEDJEBACKEN</t>
        </is>
      </c>
      <c r="G16" t="n">
        <v>23.7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Dropptaggsvamp
Plattlummer
Trådticka</t>
        </is>
      </c>
      <c r="S16">
        <f>HYPERLINK("https://klasma.github.io/Logging_2061/artfynd/A 53555-2025 artfynd.xlsx", "A 53555-2025")</f>
        <v/>
      </c>
      <c r="T16">
        <f>HYPERLINK("https://klasma.github.io/Logging_2061/kartor/A 53555-2025 karta.png", "A 53555-2025")</f>
        <v/>
      </c>
      <c r="U16">
        <f>HYPERLINK("https://klasma.github.io/Logging_2061/knärot/A 53555-2025 karta knärot.png", "A 53555-2025")</f>
        <v/>
      </c>
      <c r="V16">
        <f>HYPERLINK("https://klasma.github.io/Logging_2061/klagomål/A 53555-2025 FSC-klagomål.docx", "A 53555-2025")</f>
        <v/>
      </c>
      <c r="W16">
        <f>HYPERLINK("https://klasma.github.io/Logging_2061/klagomålsmail/A 53555-2025 FSC-klagomål mail.docx", "A 53555-2025")</f>
        <v/>
      </c>
      <c r="X16">
        <f>HYPERLINK("https://klasma.github.io/Logging_2061/tillsyn/A 53555-2025 tillsynsbegäran.docx", "A 53555-2025")</f>
        <v/>
      </c>
      <c r="Y16">
        <f>HYPERLINK("https://klasma.github.io/Logging_2061/tillsynsmail/A 53555-2025 tillsynsbegäran mail.docx", "A 53555-2025")</f>
        <v/>
      </c>
    </row>
    <row r="17" ht="15" customHeight="1">
      <c r="A17" t="inlineStr">
        <is>
          <t>A 50681-2025</t>
        </is>
      </c>
      <c r="B17" s="1" t="n">
        <v>45945</v>
      </c>
      <c r="C17" s="1" t="n">
        <v>46204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5.2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Garnlav
Tallticka
Bollvitmossa
Mindre märgborre</t>
        </is>
      </c>
      <c r="S17">
        <f>HYPERLINK("https://klasma.github.io/Logging_2061/artfynd/A 50681-2025 artfynd.xlsx", "A 50681-2025")</f>
        <v/>
      </c>
      <c r="T17">
        <f>HYPERLINK("https://klasma.github.io/Logging_2061/kartor/A 50681-2025 karta.png", "A 50681-2025")</f>
        <v/>
      </c>
      <c r="V17">
        <f>HYPERLINK("https://klasma.github.io/Logging_2061/klagomål/A 50681-2025 FSC-klagomål.docx", "A 50681-2025")</f>
        <v/>
      </c>
      <c r="W17">
        <f>HYPERLINK("https://klasma.github.io/Logging_2061/klagomålsmail/A 50681-2025 FSC-klagomål mail.docx", "A 50681-2025")</f>
        <v/>
      </c>
      <c r="X17">
        <f>HYPERLINK("https://klasma.github.io/Logging_2061/tillsyn/A 50681-2025 tillsynsbegäran.docx", "A 50681-2025")</f>
        <v/>
      </c>
      <c r="Y17">
        <f>HYPERLINK("https://klasma.github.io/Logging_2061/tillsynsmail/A 50681-2025 tillsynsbegäran mail.docx", "A 50681-2025")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46204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11155-2025</t>
        </is>
      </c>
      <c r="B19" s="1" t="n">
        <v>45723</v>
      </c>
      <c r="C19" s="1" t="n">
        <v>46204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6.3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HYPERLINK("https://klasma.github.io/Logging_2061/artfynd/A 11155-2025 artfynd.xlsx", "A 11155-2025")</f>
        <v/>
      </c>
      <c r="T19">
        <f>HYPERLINK("https://klasma.github.io/Logging_2061/kartor/A 11155-2025 karta.png", "A 11155-2025")</f>
        <v/>
      </c>
      <c r="V19">
        <f>HYPERLINK("https://klasma.github.io/Logging_2061/klagomål/A 11155-2025 FSC-klagomål.docx", "A 11155-2025")</f>
        <v/>
      </c>
      <c r="W19">
        <f>HYPERLINK("https://klasma.github.io/Logging_2061/klagomålsmail/A 11155-2025 FSC-klagomål mail.docx", "A 11155-2025")</f>
        <v/>
      </c>
      <c r="X19">
        <f>HYPERLINK("https://klasma.github.io/Logging_2061/tillsyn/A 11155-2025 tillsynsbegäran.docx", "A 11155-2025")</f>
        <v/>
      </c>
      <c r="Y19">
        <f>HYPERLINK("https://klasma.github.io/Logging_2061/tillsynsmail/A 11155-2025 tillsynsbegäran mail.docx", "A 11155-2025")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46204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Dropptaggsvamp
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63048-2025</t>
        </is>
      </c>
      <c r="B21" s="1" t="n">
        <v>46009</v>
      </c>
      <c r="C21" s="1" t="n">
        <v>46204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Stubbspretmossa
Blåsippa
Revlummer</t>
        </is>
      </c>
      <c r="S21">
        <f>HYPERLINK("https://klasma.github.io/Logging_2061/artfynd/A 63048-2025 artfynd.xlsx", "A 63048-2025")</f>
        <v/>
      </c>
      <c r="T21">
        <f>HYPERLINK("https://klasma.github.io/Logging_2061/kartor/A 63048-2025 karta.png", "A 63048-2025")</f>
        <v/>
      </c>
      <c r="V21">
        <f>HYPERLINK("https://klasma.github.io/Logging_2061/klagomål/A 63048-2025 FSC-klagomål.docx", "A 63048-2025")</f>
        <v/>
      </c>
      <c r="W21">
        <f>HYPERLINK("https://klasma.github.io/Logging_2061/klagomålsmail/A 63048-2025 FSC-klagomål mail.docx", "A 63048-2025")</f>
        <v/>
      </c>
      <c r="X21">
        <f>HYPERLINK("https://klasma.github.io/Logging_2061/tillsyn/A 63048-2025 tillsynsbegäran.docx", "A 63048-2025")</f>
        <v/>
      </c>
      <c r="Y21">
        <f>HYPERLINK("https://klasma.github.io/Logging_2061/tillsynsmail/A 63048-2025 tillsynsbegäran mail.docx", "A 63048-2025")</f>
        <v/>
      </c>
    </row>
    <row r="22" ht="15" customHeight="1">
      <c r="A22" t="inlineStr">
        <is>
          <t>A 39832-2024</t>
        </is>
      </c>
      <c r="B22" s="1" t="n">
        <v>45553</v>
      </c>
      <c r="C22" s="1" t="n">
        <v>46204</v>
      </c>
      <c r="D22" t="inlineStr">
        <is>
          <t>DALARNAS LÄN</t>
        </is>
      </c>
      <c r="E22" t="inlineStr">
        <is>
          <t>SMEDJEBACKEN</t>
        </is>
      </c>
      <c r="G22" t="n">
        <v>2.4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vattensalamander
Vanlig groda
Revlummer</t>
        </is>
      </c>
      <c r="S22">
        <f>HYPERLINK("https://klasma.github.io/Logging_2061/artfynd/A 39832-2024 artfynd.xlsx", "A 39832-2024")</f>
        <v/>
      </c>
      <c r="T22">
        <f>HYPERLINK("https://klasma.github.io/Logging_2061/kartor/A 39832-2024 karta.png", "A 39832-2024")</f>
        <v/>
      </c>
      <c r="V22">
        <f>HYPERLINK("https://klasma.github.io/Logging_2061/klagomål/A 39832-2024 FSC-klagomål.docx", "A 39832-2024")</f>
        <v/>
      </c>
      <c r="W22">
        <f>HYPERLINK("https://klasma.github.io/Logging_2061/klagomålsmail/A 39832-2024 FSC-klagomål mail.docx", "A 39832-2024")</f>
        <v/>
      </c>
      <c r="X22">
        <f>HYPERLINK("https://klasma.github.io/Logging_2061/tillsyn/A 39832-2024 tillsynsbegäran.docx", "A 39832-2024")</f>
        <v/>
      </c>
      <c r="Y22">
        <f>HYPERLINK("https://klasma.github.io/Logging_2061/tillsynsmail/A 39832-2024 tillsynsbegäran mail.docx", "A 39832-2024")</f>
        <v/>
      </c>
    </row>
    <row r="23" ht="15" customHeight="1">
      <c r="A23" t="inlineStr">
        <is>
          <t>A 22623-2026</t>
        </is>
      </c>
      <c r="B23" s="1" t="n">
        <v>46155</v>
      </c>
      <c r="C23" s="1" t="n">
        <v>46204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Skogsalm
Brandticka
Dvärgtufs</t>
        </is>
      </c>
      <c r="S23">
        <f>HYPERLINK("https://klasma.github.io/Logging_2061/artfynd/A 22623-2026 artfynd.xlsx", "A 22623-2026")</f>
        <v/>
      </c>
      <c r="T23">
        <f>HYPERLINK("https://klasma.github.io/Logging_2061/kartor/A 22623-2026 karta.png", "A 22623-2026")</f>
        <v/>
      </c>
      <c r="V23">
        <f>HYPERLINK("https://klasma.github.io/Logging_2061/klagomål/A 22623-2026 FSC-klagomål.docx", "A 22623-2026")</f>
        <v/>
      </c>
      <c r="W23">
        <f>HYPERLINK("https://klasma.github.io/Logging_2061/klagomålsmail/A 22623-2026 FSC-klagomål mail.docx", "A 22623-2026")</f>
        <v/>
      </c>
      <c r="X23">
        <f>HYPERLINK("https://klasma.github.io/Logging_2061/tillsyn/A 22623-2026 tillsynsbegäran.docx", "A 22623-2026")</f>
        <v/>
      </c>
      <c r="Y23">
        <f>HYPERLINK("https://klasma.github.io/Logging_2061/tillsynsmail/A 22623-2026 tillsynsbegäran mail.docx", "A 22623-2026")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46204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46204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46204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23619-2024</t>
        </is>
      </c>
      <c r="B27" s="1" t="n">
        <v>45454</v>
      </c>
      <c r="C27" s="1" t="n">
        <v>46204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HYPERLINK("https://klasma.github.io/Logging_2061/artfynd/A 23619-2024 artfynd.xlsx", "A 23619-2024")</f>
        <v/>
      </c>
      <c r="T27">
        <f>HYPERLINK("https://klasma.github.io/Logging_2061/kartor/A 23619-2024 karta.png", "A 23619-2024")</f>
        <v/>
      </c>
      <c r="U27">
        <f>HYPERLINK("https://klasma.github.io/Logging_2061/knärot/A 23619-2024 karta knärot.png", "A 23619-2024")</f>
        <v/>
      </c>
      <c r="V27">
        <f>HYPERLINK("https://klasma.github.io/Logging_2061/klagomål/A 23619-2024 FSC-klagomål.docx", "A 23619-2024")</f>
        <v/>
      </c>
      <c r="W27">
        <f>HYPERLINK("https://klasma.github.io/Logging_2061/klagomålsmail/A 23619-2024 FSC-klagomål mail.docx", "A 23619-2024")</f>
        <v/>
      </c>
      <c r="X27">
        <f>HYPERLINK("https://klasma.github.io/Logging_2061/tillsyn/A 23619-2024 tillsynsbegäran.docx", "A 23619-2024")</f>
        <v/>
      </c>
      <c r="Y27">
        <f>HYPERLINK("https://klasma.github.io/Logging_2061/tillsynsmail/A 23619-2024 tillsynsbegäran mail.docx", "A 23619-2024")</f>
        <v/>
      </c>
    </row>
    <row r="28" ht="15" customHeight="1">
      <c r="A28" t="inlineStr">
        <is>
          <t>A 23645-2026</t>
        </is>
      </c>
      <c r="B28" s="1" t="n">
        <v>46163</v>
      </c>
      <c r="C28" s="1" t="n">
        <v>46204</v>
      </c>
      <c r="D28" t="inlineStr">
        <is>
          <t>DALARNAS LÄN</t>
        </is>
      </c>
      <c r="E28" t="inlineStr">
        <is>
          <t>SMEDJEBACKEN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Ögonpyrola</t>
        </is>
      </c>
      <c r="S28">
        <f>HYPERLINK("https://klasma.github.io/Logging_2061/artfynd/A 23645-2026 artfynd.xlsx", "A 23645-2026")</f>
        <v/>
      </c>
      <c r="T28">
        <f>HYPERLINK("https://klasma.github.io/Logging_2061/kartor/A 23645-2026 karta.png", "A 23645-2026")</f>
        <v/>
      </c>
      <c r="V28">
        <f>HYPERLINK("https://klasma.github.io/Logging_2061/klagomål/A 23645-2026 FSC-klagomål.docx", "A 23645-2026")</f>
        <v/>
      </c>
      <c r="W28">
        <f>HYPERLINK("https://klasma.github.io/Logging_2061/klagomålsmail/A 23645-2026 FSC-klagomål mail.docx", "A 23645-2026")</f>
        <v/>
      </c>
      <c r="X28">
        <f>HYPERLINK("https://klasma.github.io/Logging_2061/tillsyn/A 23645-2026 tillsynsbegäran.docx", "A 23645-2026")</f>
        <v/>
      </c>
      <c r="Y28">
        <f>HYPERLINK("https://klasma.github.io/Logging_2061/tillsynsmail/A 23645-2026 tillsynsbegäran mail.docx", "A 23645-2026")</f>
        <v/>
      </c>
    </row>
    <row r="29" ht="15" customHeight="1">
      <c r="A29" t="inlineStr">
        <is>
          <t>A 52242-2024</t>
        </is>
      </c>
      <c r="B29" s="1" t="n">
        <v>45607</v>
      </c>
      <c r="C29" s="1" t="n">
        <v>46204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Havsörn</t>
        </is>
      </c>
      <c r="S29">
        <f>HYPERLINK("https://klasma.github.io/Logging_2061/artfynd/A 52242-2024 artfynd.xlsx", "A 52242-2024")</f>
        <v/>
      </c>
      <c r="T29">
        <f>HYPERLINK("https://klasma.github.io/Logging_2061/kartor/A 52242-2024 karta.png", "A 52242-2024")</f>
        <v/>
      </c>
      <c r="V29">
        <f>HYPERLINK("https://klasma.github.io/Logging_2061/klagomål/A 52242-2024 FSC-klagomål.docx", "A 52242-2024")</f>
        <v/>
      </c>
      <c r="W29">
        <f>HYPERLINK("https://klasma.github.io/Logging_2061/klagomålsmail/A 52242-2024 FSC-klagomål mail.docx", "A 52242-2024")</f>
        <v/>
      </c>
      <c r="X29">
        <f>HYPERLINK("https://klasma.github.io/Logging_2061/tillsyn/A 52242-2024 tillsynsbegäran.docx", "A 52242-2024")</f>
        <v/>
      </c>
      <c r="Y29">
        <f>HYPERLINK("https://klasma.github.io/Logging_2061/tillsynsmail/A 52242-2024 tillsynsbegäran mail.docx", "A 52242-2024")</f>
        <v/>
      </c>
      <c r="Z29">
        <f>HYPERLINK("https://klasma.github.io/Logging_2061/fåglar/A 52242-2024 prioriterade fågelarter.docx", "A 52242-2024")</f>
        <v/>
      </c>
    </row>
    <row r="30" ht="15" customHeight="1">
      <c r="A30" t="inlineStr">
        <is>
          <t>A 18745-2025</t>
        </is>
      </c>
      <c r="B30" s="1" t="n">
        <v>45763</v>
      </c>
      <c r="C30" s="1" t="n">
        <v>46204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Jättesvampmal
Spillkråka</t>
        </is>
      </c>
      <c r="S30">
        <f>HYPERLINK("https://klasma.github.io/Logging_2061/artfynd/A 18745-2025 artfynd.xlsx", "A 18745-2025")</f>
        <v/>
      </c>
      <c r="T30">
        <f>HYPERLINK("https://klasma.github.io/Logging_2061/kartor/A 18745-2025 karta.png", "A 18745-2025")</f>
        <v/>
      </c>
      <c r="V30">
        <f>HYPERLINK("https://klasma.github.io/Logging_2061/klagomål/A 18745-2025 FSC-klagomål.docx", "A 18745-2025")</f>
        <v/>
      </c>
      <c r="W30">
        <f>HYPERLINK("https://klasma.github.io/Logging_2061/klagomålsmail/A 18745-2025 FSC-klagomål mail.docx", "A 18745-2025")</f>
        <v/>
      </c>
      <c r="X30">
        <f>HYPERLINK("https://klasma.github.io/Logging_2061/tillsyn/A 18745-2025 tillsynsbegäran.docx", "A 18745-2025")</f>
        <v/>
      </c>
      <c r="Y30">
        <f>HYPERLINK("https://klasma.github.io/Logging_2061/tillsynsmail/A 18745-2025 tillsynsbegäran mail.docx", "A 18745-2025")</f>
        <v/>
      </c>
      <c r="Z30">
        <f>HYPERLINK("https://klasma.github.io/Logging_2061/fåglar/A 18745-2025 prioriterade fågelarter.docx", "A 18745-2025")</f>
        <v/>
      </c>
    </row>
    <row r="31" ht="15" customHeight="1">
      <c r="A31" t="inlineStr">
        <is>
          <t>A 57246-2021</t>
        </is>
      </c>
      <c r="B31" s="1" t="n">
        <v>44482</v>
      </c>
      <c r="C31" s="1" t="n">
        <v>46204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10.2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Flagellkvastmossa</t>
        </is>
      </c>
      <c r="S31">
        <f>HYPERLINK("https://klasma.github.io/Logging_2061/artfynd/A 57246-2021 artfynd.xlsx", "A 57246-2021")</f>
        <v/>
      </c>
      <c r="T31">
        <f>HYPERLINK("https://klasma.github.io/Logging_2061/kartor/A 57246-2021 karta.png", "A 57246-2021")</f>
        <v/>
      </c>
      <c r="V31">
        <f>HYPERLINK("https://klasma.github.io/Logging_2061/klagomål/A 57246-2021 FSC-klagomål.docx", "A 57246-2021")</f>
        <v/>
      </c>
      <c r="W31">
        <f>HYPERLINK("https://klasma.github.io/Logging_2061/klagomålsmail/A 57246-2021 FSC-klagomål mail.docx", "A 57246-2021")</f>
        <v/>
      </c>
      <c r="X31">
        <f>HYPERLINK("https://klasma.github.io/Logging_2061/tillsyn/A 57246-2021 tillsynsbegäran.docx", "A 57246-2021")</f>
        <v/>
      </c>
      <c r="Y31">
        <f>HYPERLINK("https://klasma.github.io/Logging_2061/tillsynsmail/A 57246-2021 tillsynsbegäran mail.docx", "A 57246-2021")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46204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Barrpraktbagge
Tallkötticka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21423-2023</t>
        </is>
      </c>
      <c r="B33" s="1" t="n">
        <v>45063</v>
      </c>
      <c r="C33" s="1" t="n">
        <v>46204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Tallkötticka
Törnskata</t>
        </is>
      </c>
      <c r="S33">
        <f>HYPERLINK("https://klasma.github.io/Logging_2061/artfynd/A 21423-2023 artfynd.xlsx", "A 21423-2023")</f>
        <v/>
      </c>
      <c r="T33">
        <f>HYPERLINK("https://klasma.github.io/Logging_2061/kartor/A 21423-2023 karta.png", "A 21423-2023")</f>
        <v/>
      </c>
      <c r="V33">
        <f>HYPERLINK("https://klasma.github.io/Logging_2061/klagomål/A 21423-2023 FSC-klagomål.docx", "A 21423-2023")</f>
        <v/>
      </c>
      <c r="W33">
        <f>HYPERLINK("https://klasma.github.io/Logging_2061/klagomålsmail/A 21423-2023 FSC-klagomål mail.docx", "A 21423-2023")</f>
        <v/>
      </c>
      <c r="X33">
        <f>HYPERLINK("https://klasma.github.io/Logging_2061/tillsyn/A 21423-2023 tillsynsbegäran.docx", "A 21423-2023")</f>
        <v/>
      </c>
      <c r="Y33">
        <f>HYPERLINK("https://klasma.github.io/Logging_2061/tillsynsmail/A 21423-2023 tillsynsbegäran mail.docx", "A 21423-2023")</f>
        <v/>
      </c>
      <c r="Z33">
        <f>HYPERLINK("https://klasma.github.io/Logging_2061/fåglar/A 21423-2023 prioriterade fågelarter.docx", "A 21423-2023")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46204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46204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34382-2022</t>
        </is>
      </c>
      <c r="B36" s="1" t="n">
        <v>44792</v>
      </c>
      <c r="C36" s="1" t="n">
        <v>46204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HYPERLINK("https://klasma.github.io/Logging_2061/artfynd/A 34382-2022 artfynd.xlsx", "A 34382-2022")</f>
        <v/>
      </c>
      <c r="T36">
        <f>HYPERLINK("https://klasma.github.io/Logging_2061/kartor/A 34382-2022 karta.png", "A 34382-2022")</f>
        <v/>
      </c>
      <c r="V36">
        <f>HYPERLINK("https://klasma.github.io/Logging_2061/klagomål/A 34382-2022 FSC-klagomål.docx", "A 34382-2022")</f>
        <v/>
      </c>
      <c r="W36">
        <f>HYPERLINK("https://klasma.github.io/Logging_2061/klagomålsmail/A 34382-2022 FSC-klagomål mail.docx", "A 34382-2022")</f>
        <v/>
      </c>
      <c r="X36">
        <f>HYPERLINK("https://klasma.github.io/Logging_2061/tillsyn/A 34382-2022 tillsynsbegäran.docx", "A 34382-2022")</f>
        <v/>
      </c>
      <c r="Y36">
        <f>HYPERLINK("https://klasma.github.io/Logging_2061/tillsynsmail/A 34382-2022 tillsynsbegäran mail.docx", "A 34382-2022")</f>
        <v/>
      </c>
      <c r="Z36">
        <f>HYPERLINK("https://klasma.github.io/Logging_2061/fåglar/A 34382-2022 prioriterade fågelarter.docx", "A 34382-2022")</f>
        <v/>
      </c>
    </row>
    <row r="37" ht="15" customHeight="1">
      <c r="A37" t="inlineStr">
        <is>
          <t>A 21703-2023</t>
        </is>
      </c>
      <c r="B37" s="1" t="n">
        <v>45064</v>
      </c>
      <c r="C37" s="1" t="n">
        <v>46204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Älg</t>
        </is>
      </c>
      <c r="S37">
        <f>HYPERLINK("https://klasma.github.io/Logging_2061/artfynd/A 21703-2023 artfynd.xlsx", "A 21703-2023")</f>
        <v/>
      </c>
      <c r="T37">
        <f>HYPERLINK("https://klasma.github.io/Logging_2061/kartor/A 21703-2023 karta.png", "A 21703-2023")</f>
        <v/>
      </c>
      <c r="V37">
        <f>HYPERLINK("https://klasma.github.io/Logging_2061/klagomål/A 21703-2023 FSC-klagomål.docx", "A 21703-2023")</f>
        <v/>
      </c>
      <c r="W37">
        <f>HYPERLINK("https://klasma.github.io/Logging_2061/klagomålsmail/A 21703-2023 FSC-klagomål mail.docx", "A 21703-2023")</f>
        <v/>
      </c>
      <c r="X37">
        <f>HYPERLINK("https://klasma.github.io/Logging_2061/tillsyn/A 21703-2023 tillsynsbegäran.docx", "A 21703-2023")</f>
        <v/>
      </c>
      <c r="Y37">
        <f>HYPERLINK("https://klasma.github.io/Logging_2061/tillsynsmail/A 21703-2023 tillsynsbegäran mail.docx", "A 21703-2023")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46204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46204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46204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41336-2022</t>
        </is>
      </c>
      <c r="B41" s="1" t="n">
        <v>44826</v>
      </c>
      <c r="C41" s="1" t="n">
        <v>46204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41336-2022 artfynd.xlsx", "A 41336-2022")</f>
        <v/>
      </c>
      <c r="T41">
        <f>HYPERLINK("https://klasma.github.io/Logging_2061/kartor/A 41336-2022 karta.png", "A 41336-2022")</f>
        <v/>
      </c>
      <c r="V41">
        <f>HYPERLINK("https://klasma.github.io/Logging_2061/klagomål/A 41336-2022 FSC-klagomål.docx", "A 41336-2022")</f>
        <v/>
      </c>
      <c r="W41">
        <f>HYPERLINK("https://klasma.github.io/Logging_2061/klagomålsmail/A 41336-2022 FSC-klagomål mail.docx", "A 41336-2022")</f>
        <v/>
      </c>
      <c r="X41">
        <f>HYPERLINK("https://klasma.github.io/Logging_2061/tillsyn/A 41336-2022 tillsynsbegäran.docx", "A 41336-2022")</f>
        <v/>
      </c>
      <c r="Y41">
        <f>HYPERLINK("https://klasma.github.io/Logging_2061/tillsynsmail/A 41336-2022 tillsynsbegäran mail.docx", "A 41336-2022")</f>
        <v/>
      </c>
      <c r="Z41">
        <f>HYPERLINK("https://klasma.github.io/Logging_2061/fåglar/A 41336-2022 prioriterade fågelarter.docx", "A 41336-2022")</f>
        <v/>
      </c>
    </row>
    <row r="42" ht="15" customHeight="1">
      <c r="A42" t="inlineStr">
        <is>
          <t>A 6280-2025</t>
        </is>
      </c>
      <c r="B42" s="1" t="n">
        <v>45698</v>
      </c>
      <c r="C42" s="1" t="n">
        <v>46204</v>
      </c>
      <c r="D42" t="inlineStr">
        <is>
          <t>DALARNAS LÄN</t>
        </is>
      </c>
      <c r="E42" t="inlineStr">
        <is>
          <t>SMEDJEBACKEN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HYPERLINK("https://klasma.github.io/Logging_2061/artfynd/A 6280-2025 artfynd.xlsx", "A 6280-2025")</f>
        <v/>
      </c>
      <c r="T42">
        <f>HYPERLINK("https://klasma.github.io/Logging_2061/kartor/A 6280-2025 karta.png", "A 6280-2025")</f>
        <v/>
      </c>
      <c r="V42">
        <f>HYPERLINK("https://klasma.github.io/Logging_2061/klagomål/A 6280-2025 FSC-klagomål.docx", "A 6280-2025")</f>
        <v/>
      </c>
      <c r="W42">
        <f>HYPERLINK("https://klasma.github.io/Logging_2061/klagomålsmail/A 6280-2025 FSC-klagomål mail.docx", "A 6280-2025")</f>
        <v/>
      </c>
      <c r="X42">
        <f>HYPERLINK("https://klasma.github.io/Logging_2061/tillsyn/A 6280-2025 tillsynsbegäran.docx", "A 6280-2025")</f>
        <v/>
      </c>
      <c r="Y42">
        <f>HYPERLINK("https://klasma.github.io/Logging_2061/tillsynsmail/A 6280-2025 tillsynsbegäran mail.docx", "A 6280-2025")</f>
        <v/>
      </c>
    </row>
    <row r="43" ht="15" customHeight="1">
      <c r="A43" t="inlineStr">
        <is>
          <t>A 56659-2025</t>
        </is>
      </c>
      <c r="B43" s="1" t="n">
        <v>45975</v>
      </c>
      <c r="C43" s="1" t="n">
        <v>46204</v>
      </c>
      <c r="D43" t="inlineStr">
        <is>
          <t>DALARNAS LÄN</t>
        </is>
      </c>
      <c r="E43" t="inlineStr">
        <is>
          <t>SMEDJEBACKEN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Grentaggsvamp</t>
        </is>
      </c>
      <c r="S43">
        <f>HYPERLINK("https://klasma.github.io/Logging_2061/artfynd/A 56659-2025 artfynd.xlsx", "A 56659-2025")</f>
        <v/>
      </c>
      <c r="T43">
        <f>HYPERLINK("https://klasma.github.io/Logging_2061/kartor/A 56659-2025 karta.png", "A 56659-2025")</f>
        <v/>
      </c>
      <c r="V43">
        <f>HYPERLINK("https://klasma.github.io/Logging_2061/klagomål/A 56659-2025 FSC-klagomål.docx", "A 56659-2025")</f>
        <v/>
      </c>
      <c r="W43">
        <f>HYPERLINK("https://klasma.github.io/Logging_2061/klagomålsmail/A 56659-2025 FSC-klagomål mail.docx", "A 56659-2025")</f>
        <v/>
      </c>
      <c r="X43">
        <f>HYPERLINK("https://klasma.github.io/Logging_2061/tillsyn/A 56659-2025 tillsynsbegäran.docx", "A 56659-2025")</f>
        <v/>
      </c>
      <c r="Y43">
        <f>HYPERLINK("https://klasma.github.io/Logging_2061/tillsynsmail/A 56659-2025 tillsynsbegäran mail.docx", "A 56659-2025")</f>
        <v/>
      </c>
    </row>
    <row r="44" ht="15" customHeight="1">
      <c r="A44" t="inlineStr">
        <is>
          <t>A 11364-2025</t>
        </is>
      </c>
      <c r="B44" s="1" t="n">
        <v>45726</v>
      </c>
      <c r="C44" s="1" t="n">
        <v>46204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11364-2025 artfynd.xlsx", "A 11364-2025")</f>
        <v/>
      </c>
      <c r="T44">
        <f>HYPERLINK("https://klasma.github.io/Logging_2061/kartor/A 11364-2025 karta.png", "A 11364-2025")</f>
        <v/>
      </c>
      <c r="V44">
        <f>HYPERLINK("https://klasma.github.io/Logging_2061/klagomål/A 11364-2025 FSC-klagomål.docx", "A 11364-2025")</f>
        <v/>
      </c>
      <c r="W44">
        <f>HYPERLINK("https://klasma.github.io/Logging_2061/klagomålsmail/A 11364-2025 FSC-klagomål mail.docx", "A 11364-2025")</f>
        <v/>
      </c>
      <c r="X44">
        <f>HYPERLINK("https://klasma.github.io/Logging_2061/tillsyn/A 11364-2025 tillsynsbegäran.docx", "A 11364-2025")</f>
        <v/>
      </c>
      <c r="Y44">
        <f>HYPERLINK("https://klasma.github.io/Logging_2061/tillsynsmail/A 11364-2025 tillsynsbegäran mail.docx", "A 11364-2025")</f>
        <v/>
      </c>
    </row>
    <row r="45" ht="15" customHeight="1">
      <c r="A45" t="inlineStr">
        <is>
          <t>A 60816-2025</t>
        </is>
      </c>
      <c r="B45" s="1" t="n">
        <v>45999</v>
      </c>
      <c r="C45" s="1" t="n">
        <v>46204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Jättesvampmal</t>
        </is>
      </c>
      <c r="S45">
        <f>HYPERLINK("https://klasma.github.io/Logging_2061/artfynd/A 60816-2025 artfynd.xlsx", "A 60816-2025")</f>
        <v/>
      </c>
      <c r="T45">
        <f>HYPERLINK("https://klasma.github.io/Logging_2061/kartor/A 60816-2025 karta.png", "A 60816-2025")</f>
        <v/>
      </c>
      <c r="V45">
        <f>HYPERLINK("https://klasma.github.io/Logging_2061/klagomål/A 60816-2025 FSC-klagomål.docx", "A 60816-2025")</f>
        <v/>
      </c>
      <c r="W45">
        <f>HYPERLINK("https://klasma.github.io/Logging_2061/klagomålsmail/A 60816-2025 FSC-klagomål mail.docx", "A 60816-2025")</f>
        <v/>
      </c>
      <c r="X45">
        <f>HYPERLINK("https://klasma.github.io/Logging_2061/tillsyn/A 60816-2025 tillsynsbegäran.docx", "A 60816-2025")</f>
        <v/>
      </c>
      <c r="Y45">
        <f>HYPERLINK("https://klasma.github.io/Logging_2061/tillsynsmail/A 60816-2025 tillsynsbegäran mail.docx", "A 60816-2025")</f>
        <v/>
      </c>
    </row>
    <row r="46" ht="15" customHeight="1">
      <c r="A46" t="inlineStr">
        <is>
          <t>A 23370-2026</t>
        </is>
      </c>
      <c r="B46" s="1" t="n">
        <v>46162</v>
      </c>
      <c r="C46" s="1" t="n">
        <v>46204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Pärluggla</t>
        </is>
      </c>
      <c r="S46">
        <f>HYPERLINK("https://klasma.github.io/Logging_2061/artfynd/A 23370-2026 artfynd.xlsx", "A 23370-2026")</f>
        <v/>
      </c>
      <c r="T46">
        <f>HYPERLINK("https://klasma.github.io/Logging_2061/kartor/A 23370-2026 karta.png", "A 23370-2026")</f>
        <v/>
      </c>
      <c r="V46">
        <f>HYPERLINK("https://klasma.github.io/Logging_2061/klagomål/A 23370-2026 FSC-klagomål.docx", "A 23370-2026")</f>
        <v/>
      </c>
      <c r="W46">
        <f>HYPERLINK("https://klasma.github.io/Logging_2061/klagomålsmail/A 23370-2026 FSC-klagomål mail.docx", "A 23370-2026")</f>
        <v/>
      </c>
      <c r="X46">
        <f>HYPERLINK("https://klasma.github.io/Logging_2061/tillsyn/A 23370-2026 tillsynsbegäran.docx", "A 23370-2026")</f>
        <v/>
      </c>
      <c r="Y46">
        <f>HYPERLINK("https://klasma.github.io/Logging_2061/tillsynsmail/A 23370-2026 tillsynsbegäran mail.docx", "A 23370-2026")</f>
        <v/>
      </c>
      <c r="Z46">
        <f>HYPERLINK("https://klasma.github.io/Logging_2061/fåglar/A 23370-2026 prioriterade fågelarter.docx", "A 23370-2026")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46204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18878-2026</t>
        </is>
      </c>
      <c r="B48" s="1" t="n">
        <v>46129</v>
      </c>
      <c r="C48" s="1" t="n">
        <v>46204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8.6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HYPERLINK("https://klasma.github.io/Logging_2061/artfynd/A 18878-2026 artfynd.xlsx", "A 18878-2026")</f>
        <v/>
      </c>
      <c r="T48">
        <f>HYPERLINK("https://klasma.github.io/Logging_2061/kartor/A 18878-2026 karta.png", "A 18878-2026")</f>
        <v/>
      </c>
      <c r="V48">
        <f>HYPERLINK("https://klasma.github.io/Logging_2061/klagomål/A 18878-2026 FSC-klagomål.docx", "A 18878-2026")</f>
        <v/>
      </c>
      <c r="W48">
        <f>HYPERLINK("https://klasma.github.io/Logging_2061/klagomålsmail/A 18878-2026 FSC-klagomål mail.docx", "A 18878-2026")</f>
        <v/>
      </c>
      <c r="X48">
        <f>HYPERLINK("https://klasma.github.io/Logging_2061/tillsyn/A 18878-2026 tillsynsbegäran.docx", "A 18878-2026")</f>
        <v/>
      </c>
      <c r="Y48">
        <f>HYPERLINK("https://klasma.github.io/Logging_2061/tillsynsmail/A 18878-2026 tillsynsbegäran mail.docx", "A 18878-2026")</f>
        <v/>
      </c>
    </row>
    <row r="49" ht="15" customHeight="1">
      <c r="A49" t="inlineStr">
        <is>
          <t>A 10340-2022</t>
        </is>
      </c>
      <c r="B49" s="1" t="n">
        <v>44623</v>
      </c>
      <c r="C49" s="1" t="n">
        <v>46204</v>
      </c>
      <c r="D49" t="inlineStr">
        <is>
          <t>DALARNAS LÄN</t>
        </is>
      </c>
      <c r="E49" t="inlineStr">
        <is>
          <t>SMEDJEBACKEN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Smålom</t>
        </is>
      </c>
      <c r="S49">
        <f>HYPERLINK("https://klasma.github.io/Logging_2061/artfynd/A 10340-2022 artfynd.xlsx", "A 10340-2022")</f>
        <v/>
      </c>
      <c r="T49">
        <f>HYPERLINK("https://klasma.github.io/Logging_2061/kartor/A 10340-2022 karta.png", "A 10340-2022")</f>
        <v/>
      </c>
      <c r="V49">
        <f>HYPERLINK("https://klasma.github.io/Logging_2061/klagomål/A 10340-2022 FSC-klagomål.docx", "A 10340-2022")</f>
        <v/>
      </c>
      <c r="W49">
        <f>HYPERLINK("https://klasma.github.io/Logging_2061/klagomålsmail/A 10340-2022 FSC-klagomål mail.docx", "A 10340-2022")</f>
        <v/>
      </c>
      <c r="X49">
        <f>HYPERLINK("https://klasma.github.io/Logging_2061/tillsyn/A 10340-2022 tillsynsbegäran.docx", "A 10340-2022")</f>
        <v/>
      </c>
      <c r="Y49">
        <f>HYPERLINK("https://klasma.github.io/Logging_2061/tillsynsmail/A 10340-2022 tillsynsbegäran mail.docx", "A 10340-2022")</f>
        <v/>
      </c>
      <c r="Z49">
        <f>HYPERLINK("https://klasma.github.io/Logging_2061/fåglar/A 10340-2022 prioriterade fågelarter.docx", "A 10340-2022")</f>
        <v/>
      </c>
    </row>
    <row r="50" ht="15" customHeight="1">
      <c r="A50" t="inlineStr">
        <is>
          <t>A 20019-2024</t>
        </is>
      </c>
      <c r="B50" s="1" t="n">
        <v>45433</v>
      </c>
      <c r="C50" s="1" t="n">
        <v>46204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3.3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Violettkantad guldvinge</t>
        </is>
      </c>
      <c r="S50">
        <f>HYPERLINK("https://klasma.github.io/Logging_2061/artfynd/A 20019-2024 artfynd.xlsx", "A 20019-2024")</f>
        <v/>
      </c>
      <c r="T50">
        <f>HYPERLINK("https://klasma.github.io/Logging_2061/kartor/A 20019-2024 karta.png", "A 20019-2024")</f>
        <v/>
      </c>
      <c r="V50">
        <f>HYPERLINK("https://klasma.github.io/Logging_2061/klagomål/A 20019-2024 FSC-klagomål.docx", "A 20019-2024")</f>
        <v/>
      </c>
      <c r="W50">
        <f>HYPERLINK("https://klasma.github.io/Logging_2061/klagomålsmail/A 20019-2024 FSC-klagomål mail.docx", "A 20019-2024")</f>
        <v/>
      </c>
      <c r="X50">
        <f>HYPERLINK("https://klasma.github.io/Logging_2061/tillsyn/A 20019-2024 tillsynsbegäran.docx", "A 20019-2024")</f>
        <v/>
      </c>
      <c r="Y50">
        <f>HYPERLINK("https://klasma.github.io/Logging_2061/tillsynsmail/A 20019-2024 tillsynsbegäran mail.docx", "A 20019-2024")</f>
        <v/>
      </c>
    </row>
    <row r="51" ht="15" customHeight="1">
      <c r="A51" t="inlineStr">
        <is>
          <t>A 11154-2025</t>
        </is>
      </c>
      <c r="B51" s="1" t="n">
        <v>45723</v>
      </c>
      <c r="C51" s="1" t="n">
        <v>46204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HYPERLINK("https://klasma.github.io/Logging_2061/artfynd/A 11154-2025 artfynd.xlsx", "A 11154-2025")</f>
        <v/>
      </c>
      <c r="T51">
        <f>HYPERLINK("https://klasma.github.io/Logging_2061/kartor/A 11154-2025 karta.png", "A 11154-2025")</f>
        <v/>
      </c>
      <c r="V51">
        <f>HYPERLINK("https://klasma.github.io/Logging_2061/klagomål/A 11154-2025 FSC-klagomål.docx", "A 11154-2025")</f>
        <v/>
      </c>
      <c r="W51">
        <f>HYPERLINK("https://klasma.github.io/Logging_2061/klagomålsmail/A 11154-2025 FSC-klagomål mail.docx", "A 11154-2025")</f>
        <v/>
      </c>
      <c r="X51">
        <f>HYPERLINK("https://klasma.github.io/Logging_2061/tillsyn/A 11154-2025 tillsynsbegäran.docx", "A 11154-2025")</f>
        <v/>
      </c>
      <c r="Y51">
        <f>HYPERLINK("https://klasma.github.io/Logging_2061/tillsynsmail/A 11154-2025 tillsynsbegäran mail.docx", "A 11154-2025")</f>
        <v/>
      </c>
    </row>
    <row r="52" ht="15" customHeight="1">
      <c r="A52" t="inlineStr">
        <is>
          <t>A 15389-2024</t>
        </is>
      </c>
      <c r="B52" s="1" t="n">
        <v>45401</v>
      </c>
      <c r="C52" s="1" t="n">
        <v>46204</v>
      </c>
      <c r="D52" t="inlineStr">
        <is>
          <t>DALARNAS LÄN</t>
        </is>
      </c>
      <c r="E52" t="inlineStr">
        <is>
          <t>SMEDJEBACKEN</t>
        </is>
      </c>
      <c r="F52" t="inlineStr">
        <is>
          <t>Sveaskog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HYPERLINK("https://klasma.github.io/Logging_2061/artfynd/A 15389-2024 artfynd.xlsx", "A 15389-2024")</f>
        <v/>
      </c>
      <c r="T52">
        <f>HYPERLINK("https://klasma.github.io/Logging_2061/kartor/A 15389-2024 karta.png", "A 15389-2024")</f>
        <v/>
      </c>
      <c r="V52">
        <f>HYPERLINK("https://klasma.github.io/Logging_2061/klagomål/A 15389-2024 FSC-klagomål.docx", "A 15389-2024")</f>
        <v/>
      </c>
      <c r="W52">
        <f>HYPERLINK("https://klasma.github.io/Logging_2061/klagomålsmail/A 15389-2024 FSC-klagomål mail.docx", "A 15389-2024")</f>
        <v/>
      </c>
      <c r="X52">
        <f>HYPERLINK("https://klasma.github.io/Logging_2061/tillsyn/A 15389-2024 tillsynsbegäran.docx", "A 15389-2024")</f>
        <v/>
      </c>
      <c r="Y52">
        <f>HYPERLINK("https://klasma.github.io/Logging_2061/tillsynsmail/A 15389-2024 tillsynsbegäran mail.docx", "A 15389-2024")</f>
        <v/>
      </c>
    </row>
    <row r="53" ht="15" customHeight="1">
      <c r="A53" t="inlineStr">
        <is>
          <t>A 55851-2021</t>
        </is>
      </c>
      <c r="B53" s="1" t="n">
        <v>44476</v>
      </c>
      <c r="C53" s="1" t="n">
        <v>46204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2.6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HYPERLINK("https://klasma.github.io/Logging_2061/artfynd/A 55851-2021 artfynd.xlsx", "A 55851-2021")</f>
        <v/>
      </c>
      <c r="T53">
        <f>HYPERLINK("https://klasma.github.io/Logging_2061/kartor/A 55851-2021 karta.png", "A 55851-2021")</f>
        <v/>
      </c>
      <c r="V53">
        <f>HYPERLINK("https://klasma.github.io/Logging_2061/klagomål/A 55851-2021 FSC-klagomål.docx", "A 55851-2021")</f>
        <v/>
      </c>
      <c r="W53">
        <f>HYPERLINK("https://klasma.github.io/Logging_2061/klagomålsmail/A 55851-2021 FSC-klagomål mail.docx", "A 55851-2021")</f>
        <v/>
      </c>
      <c r="X53">
        <f>HYPERLINK("https://klasma.github.io/Logging_2061/tillsyn/A 55851-2021 tillsynsbegäran.docx", "A 55851-2021")</f>
        <v/>
      </c>
      <c r="Y53">
        <f>HYPERLINK("https://klasma.github.io/Logging_2061/tillsynsmail/A 55851-2021 tillsynsbegäran mail.docx", "A 55851-2021")</f>
        <v/>
      </c>
      <c r="Z53">
        <f>HYPERLINK("https://klasma.github.io/Logging_2061/fåglar/A 55851-2021 prioriterade fågelarter.docx", "A 55851-2021")</f>
        <v/>
      </c>
    </row>
    <row r="54" ht="15" customHeight="1">
      <c r="A54" t="inlineStr">
        <is>
          <t>A 42523-2024</t>
        </is>
      </c>
      <c r="B54" s="1" t="n">
        <v>45565</v>
      </c>
      <c r="C54" s="1" t="n">
        <v>46204</v>
      </c>
      <c r="D54" t="inlineStr">
        <is>
          <t>DALARNAS LÄN</t>
        </is>
      </c>
      <c r="E54" t="inlineStr">
        <is>
          <t>SMEDJEBACKEN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HYPERLINK("https://klasma.github.io/Logging_2061/artfynd/A 42523-2024 artfynd.xlsx", "A 42523-2024")</f>
        <v/>
      </c>
      <c r="T54">
        <f>HYPERLINK("https://klasma.github.io/Logging_2061/kartor/A 42523-2024 karta.png", "A 42523-2024")</f>
        <v/>
      </c>
      <c r="V54">
        <f>HYPERLINK("https://klasma.github.io/Logging_2061/klagomål/A 42523-2024 FSC-klagomål.docx", "A 42523-2024")</f>
        <v/>
      </c>
      <c r="W54">
        <f>HYPERLINK("https://klasma.github.io/Logging_2061/klagomålsmail/A 42523-2024 FSC-klagomål mail.docx", "A 42523-2024")</f>
        <v/>
      </c>
      <c r="X54">
        <f>HYPERLINK("https://klasma.github.io/Logging_2061/tillsyn/A 42523-2024 tillsynsbegäran.docx", "A 42523-2024")</f>
        <v/>
      </c>
      <c r="Y54">
        <f>HYPERLINK("https://klasma.github.io/Logging_2061/tillsynsmail/A 42523-2024 tillsynsbegäran mail.docx", "A 42523-2024")</f>
        <v/>
      </c>
    </row>
    <row r="55" ht="15" customHeight="1">
      <c r="A55" t="inlineStr">
        <is>
          <t>A 52953-2023</t>
        </is>
      </c>
      <c r="B55" s="1" t="n">
        <v>45226</v>
      </c>
      <c r="C55" s="1" t="n">
        <v>46204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HYPERLINK("https://klasma.github.io/Logging_2061/artfynd/A 52953-2023 artfynd.xlsx", "A 52953-2023")</f>
        <v/>
      </c>
      <c r="T55">
        <f>HYPERLINK("https://klasma.github.io/Logging_2061/kartor/A 52953-2023 karta.png", "A 52953-2023")</f>
        <v/>
      </c>
      <c r="V55">
        <f>HYPERLINK("https://klasma.github.io/Logging_2061/klagomål/A 52953-2023 FSC-klagomål.docx", "A 52953-2023")</f>
        <v/>
      </c>
      <c r="W55">
        <f>HYPERLINK("https://klasma.github.io/Logging_2061/klagomålsmail/A 52953-2023 FSC-klagomål mail.docx", "A 52953-2023")</f>
        <v/>
      </c>
      <c r="X55">
        <f>HYPERLINK("https://klasma.github.io/Logging_2061/tillsyn/A 52953-2023 tillsynsbegäran.docx", "A 52953-2023")</f>
        <v/>
      </c>
      <c r="Y55">
        <f>HYPERLINK("https://klasma.github.io/Logging_2061/tillsynsmail/A 52953-2023 tillsynsbegäran mail.docx", "A 52953-2023")</f>
        <v/>
      </c>
    </row>
    <row r="56" ht="15" customHeight="1">
      <c r="A56" t="inlineStr">
        <is>
          <t>A 21507-2024</t>
        </is>
      </c>
      <c r="B56" s="1" t="n">
        <v>45441</v>
      </c>
      <c r="C56" s="1" t="n">
        <v>46204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16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HYPERLINK("https://klasma.github.io/Logging_2061/artfynd/A 21507-2024 artfynd.xlsx", "A 21507-2024")</f>
        <v/>
      </c>
      <c r="T56">
        <f>HYPERLINK("https://klasma.github.io/Logging_2061/kartor/A 21507-2024 karta.png", "A 21507-2024")</f>
        <v/>
      </c>
      <c r="V56">
        <f>HYPERLINK("https://klasma.github.io/Logging_2061/klagomål/A 21507-2024 FSC-klagomål.docx", "A 21507-2024")</f>
        <v/>
      </c>
      <c r="W56">
        <f>HYPERLINK("https://klasma.github.io/Logging_2061/klagomålsmail/A 21507-2024 FSC-klagomål mail.docx", "A 21507-2024")</f>
        <v/>
      </c>
      <c r="X56">
        <f>HYPERLINK("https://klasma.github.io/Logging_2061/tillsyn/A 21507-2024 tillsynsbegäran.docx", "A 21507-2024")</f>
        <v/>
      </c>
      <c r="Y56">
        <f>HYPERLINK("https://klasma.github.io/Logging_2061/tillsynsmail/A 21507-2024 tillsynsbegäran mail.docx", "A 21507-2024")</f>
        <v/>
      </c>
    </row>
    <row r="57" ht="15" customHeight="1">
      <c r="A57" t="inlineStr">
        <is>
          <t>A 30003-2023</t>
        </is>
      </c>
      <c r="B57" s="1" t="n">
        <v>45109</v>
      </c>
      <c r="C57" s="1" t="n">
        <v>46204</v>
      </c>
      <c r="D57" t="inlineStr">
        <is>
          <t>DALARNAS LÄN</t>
        </is>
      </c>
      <c r="E57" t="inlineStr">
        <is>
          <t>SMEDJEBACKEN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HYPERLINK("https://klasma.github.io/Logging_2061/artfynd/A 30003-2023 artfynd.xlsx", "A 30003-2023")</f>
        <v/>
      </c>
      <c r="T57">
        <f>HYPERLINK("https://klasma.github.io/Logging_2061/kartor/A 30003-2023 karta.png", "A 30003-2023")</f>
        <v/>
      </c>
      <c r="V57">
        <f>HYPERLINK("https://klasma.github.io/Logging_2061/klagomål/A 30003-2023 FSC-klagomål.docx", "A 30003-2023")</f>
        <v/>
      </c>
      <c r="W57">
        <f>HYPERLINK("https://klasma.github.io/Logging_2061/klagomålsmail/A 30003-2023 FSC-klagomål mail.docx", "A 30003-2023")</f>
        <v/>
      </c>
      <c r="X57">
        <f>HYPERLINK("https://klasma.github.io/Logging_2061/tillsyn/A 30003-2023 tillsynsbegäran.docx", "A 30003-2023")</f>
        <v/>
      </c>
      <c r="Y57">
        <f>HYPERLINK("https://klasma.github.io/Logging_2061/tillsynsmail/A 30003-2023 tillsynsbegäran mail.docx", "A 30003-2023")</f>
        <v/>
      </c>
    </row>
    <row r="58" ht="15" customHeight="1">
      <c r="A58" t="inlineStr">
        <is>
          <t>A 45577-2024</t>
        </is>
      </c>
      <c r="B58" s="1" t="n">
        <v>45579</v>
      </c>
      <c r="C58" s="1" t="n">
        <v>46204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18.6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HYPERLINK("https://klasma.github.io/Logging_2061/artfynd/A 45577-2024 artfynd.xlsx", "A 45577-2024")</f>
        <v/>
      </c>
      <c r="T58">
        <f>HYPERLINK("https://klasma.github.io/Logging_2061/kartor/A 45577-2024 karta.png", "A 45577-2024")</f>
        <v/>
      </c>
      <c r="V58">
        <f>HYPERLINK("https://klasma.github.io/Logging_2061/klagomål/A 45577-2024 FSC-klagomål.docx", "A 45577-2024")</f>
        <v/>
      </c>
      <c r="W58">
        <f>HYPERLINK("https://klasma.github.io/Logging_2061/klagomålsmail/A 45577-2024 FSC-klagomål mail.docx", "A 45577-2024")</f>
        <v/>
      </c>
      <c r="X58">
        <f>HYPERLINK("https://klasma.github.io/Logging_2061/tillsyn/A 45577-2024 tillsynsbegäran.docx", "A 45577-2024")</f>
        <v/>
      </c>
      <c r="Y58">
        <f>HYPERLINK("https://klasma.github.io/Logging_2061/tillsynsmail/A 45577-2024 tillsynsbegäran mail.docx", "A 45577-2024")</f>
        <v/>
      </c>
      <c r="Z58">
        <f>HYPERLINK("https://klasma.github.io/Logging_2061/fåglar/A 45577-2024 prioriterade fågelarter.docx", "A 45577-2024")</f>
        <v/>
      </c>
    </row>
    <row r="59" ht="15" customHeight="1">
      <c r="A59" t="inlineStr">
        <is>
          <t>A 29070-2026</t>
        </is>
      </c>
      <c r="B59" s="1" t="n">
        <v>46199</v>
      </c>
      <c r="C59" s="1" t="n">
        <v>46204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 vedfingersvamp</t>
        </is>
      </c>
      <c r="S59">
        <f>HYPERLINK("https://klasma.github.io/Logging_2061/artfynd/A 29070-2026 artfynd.xlsx", "A 29070-2026")</f>
        <v/>
      </c>
      <c r="T59">
        <f>HYPERLINK("https://klasma.github.io/Logging_2061/kartor/A 29070-2026 karta.png", "A 29070-2026")</f>
        <v/>
      </c>
      <c r="V59">
        <f>HYPERLINK("https://klasma.github.io/Logging_2061/klagomål/A 29070-2026 FSC-klagomål.docx", "A 29070-2026")</f>
        <v/>
      </c>
      <c r="W59">
        <f>HYPERLINK("https://klasma.github.io/Logging_2061/klagomålsmail/A 29070-2026 FSC-klagomål mail.docx", "A 29070-2026")</f>
        <v/>
      </c>
      <c r="X59">
        <f>HYPERLINK("https://klasma.github.io/Logging_2061/tillsyn/A 29070-2026 tillsynsbegäran.docx", "A 29070-2026")</f>
        <v/>
      </c>
      <c r="Y59">
        <f>HYPERLINK("https://klasma.github.io/Logging_2061/tillsynsmail/A 29070-2026 tillsynsbegäran mail.docx", "A 29070-2026")</f>
        <v/>
      </c>
    </row>
    <row r="60" ht="15" customHeight="1">
      <c r="A60" t="inlineStr">
        <is>
          <t>A 19529-2026</t>
        </is>
      </c>
      <c r="B60" s="1" t="n">
        <v>46134</v>
      </c>
      <c r="C60" s="1" t="n">
        <v>46204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HYPERLINK("https://klasma.github.io/Logging_2061/artfynd/A 19529-2026 artfynd.xlsx", "A 19529-2026")</f>
        <v/>
      </c>
      <c r="T60">
        <f>HYPERLINK("https://klasma.github.io/Logging_2061/kartor/A 19529-2026 karta.png", "A 19529-2026")</f>
        <v/>
      </c>
      <c r="V60">
        <f>HYPERLINK("https://klasma.github.io/Logging_2061/klagomål/A 19529-2026 FSC-klagomål.docx", "A 19529-2026")</f>
        <v/>
      </c>
      <c r="W60">
        <f>HYPERLINK("https://klasma.github.io/Logging_2061/klagomålsmail/A 19529-2026 FSC-klagomål mail.docx", "A 19529-2026")</f>
        <v/>
      </c>
      <c r="X60">
        <f>HYPERLINK("https://klasma.github.io/Logging_2061/tillsyn/A 19529-2026 tillsynsbegäran.docx", "A 19529-2026")</f>
        <v/>
      </c>
      <c r="Y60">
        <f>HYPERLINK("https://klasma.github.io/Logging_2061/tillsynsmail/A 19529-2026 tillsynsbegäran mail.docx", "A 19529-2026")</f>
        <v/>
      </c>
    </row>
    <row r="61" ht="15" customHeight="1">
      <c r="A61" t="inlineStr">
        <is>
          <t>A 32954-2024</t>
        </is>
      </c>
      <c r="B61" s="1" t="n">
        <v>45517</v>
      </c>
      <c r="C61" s="1" t="n">
        <v>46204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HYPERLINK("https://klasma.github.io/Logging_2061/artfynd/A 32954-2024 artfynd.xlsx", "A 32954-2024")</f>
        <v/>
      </c>
      <c r="T61">
        <f>HYPERLINK("https://klasma.github.io/Logging_2061/kartor/A 32954-2024 karta.png", "A 32954-2024")</f>
        <v/>
      </c>
      <c r="V61">
        <f>HYPERLINK("https://klasma.github.io/Logging_2061/klagomål/A 32954-2024 FSC-klagomål.docx", "A 32954-2024")</f>
        <v/>
      </c>
      <c r="W61">
        <f>HYPERLINK("https://klasma.github.io/Logging_2061/klagomålsmail/A 32954-2024 FSC-klagomål mail.docx", "A 32954-2024")</f>
        <v/>
      </c>
      <c r="X61">
        <f>HYPERLINK("https://klasma.github.io/Logging_2061/tillsyn/A 32954-2024 tillsynsbegäran.docx", "A 32954-2024")</f>
        <v/>
      </c>
      <c r="Y61">
        <f>HYPERLINK("https://klasma.github.io/Logging_2061/tillsynsmail/A 32954-2024 tillsynsbegäran mail.docx", "A 32954-2024")</f>
        <v/>
      </c>
    </row>
    <row r="62" ht="15" customHeight="1">
      <c r="A62" t="inlineStr">
        <is>
          <t>A 11145-2025</t>
        </is>
      </c>
      <c r="B62" s="1" t="n">
        <v>45723</v>
      </c>
      <c r="C62" s="1" t="n">
        <v>46204</v>
      </c>
      <c r="D62" t="inlineStr">
        <is>
          <t>DALARNAS LÄN</t>
        </is>
      </c>
      <c r="E62" t="inlineStr">
        <is>
          <t>SMEDJEBACKEN</t>
        </is>
      </c>
      <c r="F62" t="inlineStr">
        <is>
          <t>Bergvik skog väst AB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HYPERLINK("https://klasma.github.io/Logging_2061/artfynd/A 11145-2025 artfynd.xlsx", "A 11145-2025")</f>
        <v/>
      </c>
      <c r="T62">
        <f>HYPERLINK("https://klasma.github.io/Logging_2061/kartor/A 11145-2025 karta.png", "A 11145-2025")</f>
        <v/>
      </c>
      <c r="V62">
        <f>HYPERLINK("https://klasma.github.io/Logging_2061/klagomål/A 11145-2025 FSC-klagomål.docx", "A 11145-2025")</f>
        <v/>
      </c>
      <c r="W62">
        <f>HYPERLINK("https://klasma.github.io/Logging_2061/klagomålsmail/A 11145-2025 FSC-klagomål mail.docx", "A 11145-2025")</f>
        <v/>
      </c>
      <c r="X62">
        <f>HYPERLINK("https://klasma.github.io/Logging_2061/tillsyn/A 11145-2025 tillsynsbegäran.docx", "A 11145-2025")</f>
        <v/>
      </c>
      <c r="Y62">
        <f>HYPERLINK("https://klasma.github.io/Logging_2061/tillsynsmail/A 11145-2025 tillsynsbegäran mail.docx", "A 11145-2025")</f>
        <v/>
      </c>
    </row>
    <row r="63" ht="15" customHeight="1">
      <c r="A63" t="inlineStr">
        <is>
          <t>A 34942-2024</t>
        </is>
      </c>
      <c r="B63" s="1" t="n">
        <v>45527</v>
      </c>
      <c r="C63" s="1" t="n">
        <v>46204</v>
      </c>
      <c r="D63" t="inlineStr">
        <is>
          <t>DALARNAS LÄN</t>
        </is>
      </c>
      <c r="E63" t="inlineStr">
        <is>
          <t>SMEDJEBACKEN</t>
        </is>
      </c>
      <c r="G63" t="n">
        <v>11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HYPERLINK("https://klasma.github.io/Logging_2061/artfynd/A 34942-2024 artfynd.xlsx", "A 34942-2024")</f>
        <v/>
      </c>
      <c r="T63">
        <f>HYPERLINK("https://klasma.github.io/Logging_2061/kartor/A 34942-2024 karta.png", "A 34942-2024")</f>
        <v/>
      </c>
      <c r="V63">
        <f>HYPERLINK("https://klasma.github.io/Logging_2061/klagomål/A 34942-2024 FSC-klagomål.docx", "A 34942-2024")</f>
        <v/>
      </c>
      <c r="W63">
        <f>HYPERLINK("https://klasma.github.io/Logging_2061/klagomålsmail/A 34942-2024 FSC-klagomål mail.docx", "A 34942-2024")</f>
        <v/>
      </c>
      <c r="X63">
        <f>HYPERLINK("https://klasma.github.io/Logging_2061/tillsyn/A 34942-2024 tillsynsbegäran.docx", "A 34942-2024")</f>
        <v/>
      </c>
      <c r="Y63">
        <f>HYPERLINK("https://klasma.github.io/Logging_2061/tillsynsmail/A 34942-2024 tillsynsbegäran mail.docx", "A 34942-2024")</f>
        <v/>
      </c>
    </row>
    <row r="64" ht="15" customHeight="1">
      <c r="A64" t="inlineStr">
        <is>
          <t>A 22462-2025</t>
        </is>
      </c>
      <c r="B64" s="1" t="n">
        <v>45786</v>
      </c>
      <c r="C64" s="1" t="n">
        <v>46204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Garnlav</t>
        </is>
      </c>
      <c r="S64">
        <f>HYPERLINK("https://klasma.github.io/Logging_2061/artfynd/A 22462-2025 artfynd.xlsx", "A 22462-2025")</f>
        <v/>
      </c>
      <c r="T64">
        <f>HYPERLINK("https://klasma.github.io/Logging_2061/kartor/A 22462-2025 karta.png", "A 22462-2025")</f>
        <v/>
      </c>
      <c r="V64">
        <f>HYPERLINK("https://klasma.github.io/Logging_2061/klagomål/A 22462-2025 FSC-klagomål.docx", "A 22462-2025")</f>
        <v/>
      </c>
      <c r="W64">
        <f>HYPERLINK("https://klasma.github.io/Logging_2061/klagomålsmail/A 22462-2025 FSC-klagomål mail.docx", "A 22462-2025")</f>
        <v/>
      </c>
      <c r="X64">
        <f>HYPERLINK("https://klasma.github.io/Logging_2061/tillsyn/A 22462-2025 tillsynsbegäran.docx", "A 22462-2025")</f>
        <v/>
      </c>
      <c r="Y64">
        <f>HYPERLINK("https://klasma.github.io/Logging_2061/tillsynsmail/A 22462-2025 tillsynsbegäran mail.docx", "A 22462-2025")</f>
        <v/>
      </c>
    </row>
    <row r="65" ht="15" customHeight="1">
      <c r="A65" t="inlineStr">
        <is>
          <t>A 32934-2024</t>
        </is>
      </c>
      <c r="B65" s="1" t="n">
        <v>45517</v>
      </c>
      <c r="C65" s="1" t="n">
        <v>46204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HYPERLINK("https://klasma.github.io/Logging_2061/artfynd/A 32934-2024 artfynd.xlsx", "A 32934-2024")</f>
        <v/>
      </c>
      <c r="T65">
        <f>HYPERLINK("https://klasma.github.io/Logging_2061/kartor/A 32934-2024 karta.png", "A 32934-2024")</f>
        <v/>
      </c>
      <c r="V65">
        <f>HYPERLINK("https://klasma.github.io/Logging_2061/klagomål/A 32934-2024 FSC-klagomål.docx", "A 32934-2024")</f>
        <v/>
      </c>
      <c r="W65">
        <f>HYPERLINK("https://klasma.github.io/Logging_2061/klagomålsmail/A 32934-2024 FSC-klagomål mail.docx", "A 32934-2024")</f>
        <v/>
      </c>
      <c r="X65">
        <f>HYPERLINK("https://klasma.github.io/Logging_2061/tillsyn/A 32934-2024 tillsynsbegäran.docx", "A 32934-2024")</f>
        <v/>
      </c>
      <c r="Y65">
        <f>HYPERLINK("https://klasma.github.io/Logging_2061/tillsynsmail/A 32934-2024 tillsynsbegäran mail.docx", "A 32934-2024")</f>
        <v/>
      </c>
      <c r="Z65">
        <f>HYPERLINK("https://klasma.github.io/Logging_2061/fåglar/A 32934-2024 prioriterade fågelarter.docx", "A 32934-2024")</f>
        <v/>
      </c>
    </row>
    <row r="66" ht="15" customHeight="1">
      <c r="A66" t="inlineStr">
        <is>
          <t>A 22459-2025</t>
        </is>
      </c>
      <c r="B66" s="1" t="n">
        <v>45786</v>
      </c>
      <c r="C66" s="1" t="n">
        <v>46204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HYPERLINK("https://klasma.github.io/Logging_2061/artfynd/A 22459-2025 artfynd.xlsx", "A 22459-2025")</f>
        <v/>
      </c>
      <c r="T66">
        <f>HYPERLINK("https://klasma.github.io/Logging_2061/kartor/A 22459-2025 karta.png", "A 22459-2025")</f>
        <v/>
      </c>
      <c r="V66">
        <f>HYPERLINK("https://klasma.github.io/Logging_2061/klagomål/A 22459-2025 FSC-klagomål.docx", "A 22459-2025")</f>
        <v/>
      </c>
      <c r="W66">
        <f>HYPERLINK("https://klasma.github.io/Logging_2061/klagomålsmail/A 22459-2025 FSC-klagomål mail.docx", "A 22459-2025")</f>
        <v/>
      </c>
      <c r="X66">
        <f>HYPERLINK("https://klasma.github.io/Logging_2061/tillsyn/A 22459-2025 tillsynsbegäran.docx", "A 22459-2025")</f>
        <v/>
      </c>
      <c r="Y66">
        <f>HYPERLINK("https://klasma.github.io/Logging_2061/tillsynsmail/A 22459-2025 tillsynsbegäran mail.docx", "A 22459-2025")</f>
        <v/>
      </c>
    </row>
    <row r="67" ht="15" customHeight="1">
      <c r="A67" t="inlineStr">
        <is>
          <t>A 39536-2021</t>
        </is>
      </c>
      <c r="B67" s="1" t="n">
        <v>44415</v>
      </c>
      <c r="C67" s="1" t="n">
        <v>46204</v>
      </c>
      <c r="D67" t="inlineStr">
        <is>
          <t>DALARNAS LÄN</t>
        </is>
      </c>
      <c r="E67" t="inlineStr">
        <is>
          <t>SMEDJEBACKEN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HYPERLINK("https://klasma.github.io/Logging_2061/artfynd/A 39536-2021 artfynd.xlsx", "A 39536-2021")</f>
        <v/>
      </c>
      <c r="T67">
        <f>HYPERLINK("https://klasma.github.io/Logging_2061/kartor/A 39536-2021 karta.png", "A 39536-2021")</f>
        <v/>
      </c>
      <c r="V67">
        <f>HYPERLINK("https://klasma.github.io/Logging_2061/klagomål/A 39536-2021 FSC-klagomål.docx", "A 39536-2021")</f>
        <v/>
      </c>
      <c r="W67">
        <f>HYPERLINK("https://klasma.github.io/Logging_2061/klagomålsmail/A 39536-2021 FSC-klagomål mail.docx", "A 39536-2021")</f>
        <v/>
      </c>
      <c r="X67">
        <f>HYPERLINK("https://klasma.github.io/Logging_2061/tillsyn/A 39536-2021 tillsynsbegäran.docx", "A 39536-2021")</f>
        <v/>
      </c>
      <c r="Y67">
        <f>HYPERLINK("https://klasma.github.io/Logging_2061/tillsynsmail/A 39536-2021 tillsynsbegäran mail.docx", "A 39536-2021")</f>
        <v/>
      </c>
    </row>
    <row r="68" ht="15" customHeight="1">
      <c r="A68" t="inlineStr">
        <is>
          <t>A 23547-2025</t>
        </is>
      </c>
      <c r="B68" s="1" t="n">
        <v>45792</v>
      </c>
      <c r="C68" s="1" t="n">
        <v>46204</v>
      </c>
      <c r="D68" t="inlineStr">
        <is>
          <t>DALARNAS LÄN</t>
        </is>
      </c>
      <c r="E68" t="inlineStr">
        <is>
          <t>SMEDJEBACKEN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HYPERLINK("https://klasma.github.io/Logging_2061/artfynd/A 23547-2025 artfynd.xlsx", "A 23547-2025")</f>
        <v/>
      </c>
      <c r="T68">
        <f>HYPERLINK("https://klasma.github.io/Logging_2061/kartor/A 23547-2025 karta.png", "A 23547-2025")</f>
        <v/>
      </c>
      <c r="V68">
        <f>HYPERLINK("https://klasma.github.io/Logging_2061/klagomål/A 23547-2025 FSC-klagomål.docx", "A 23547-2025")</f>
        <v/>
      </c>
      <c r="W68">
        <f>HYPERLINK("https://klasma.github.io/Logging_2061/klagomålsmail/A 23547-2025 FSC-klagomål mail.docx", "A 23547-2025")</f>
        <v/>
      </c>
      <c r="X68">
        <f>HYPERLINK("https://klasma.github.io/Logging_2061/tillsyn/A 23547-2025 tillsynsbegäran.docx", "A 23547-2025")</f>
        <v/>
      </c>
      <c r="Y68">
        <f>HYPERLINK("https://klasma.github.io/Logging_2061/tillsynsmail/A 23547-2025 tillsynsbegäran mail.docx", "A 23547-2025")</f>
        <v/>
      </c>
    </row>
    <row r="69" ht="15" customHeight="1">
      <c r="A69" t="inlineStr">
        <is>
          <t>A 54259-2022</t>
        </is>
      </c>
      <c r="B69" s="1" t="n">
        <v>44882</v>
      </c>
      <c r="C69" s="1" t="n">
        <v>46204</v>
      </c>
      <c r="D69" t="inlineStr">
        <is>
          <t>DALARNAS LÄN</t>
        </is>
      </c>
      <c r="E69" t="inlineStr">
        <is>
          <t>SMEDJEBACKEN</t>
        </is>
      </c>
      <c r="F69" t="inlineStr">
        <is>
          <t>Kyrkan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8675-2022</t>
        </is>
      </c>
      <c r="B70" s="1" t="n">
        <v>44613</v>
      </c>
      <c r="C70" s="1" t="n">
        <v>46204</v>
      </c>
      <c r="D70" t="inlineStr">
        <is>
          <t>DALARNAS LÄN</t>
        </is>
      </c>
      <c r="E70" t="inlineStr">
        <is>
          <t>SMEDJEBACKEN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39719-2021</t>
        </is>
      </c>
      <c r="B71" s="1" t="n">
        <v>44414</v>
      </c>
      <c r="C71" s="1" t="n">
        <v>46204</v>
      </c>
      <c r="D71" t="inlineStr">
        <is>
          <t>DALARNAS LÄN</t>
        </is>
      </c>
      <c r="E71" t="inlineStr">
        <is>
          <t>SMEDJEBACKEN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43375-2021</t>
        </is>
      </c>
      <c r="B72" s="1" t="n">
        <v>44432</v>
      </c>
      <c r="C72" s="1" t="n">
        <v>46204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33253-2022</t>
        </is>
      </c>
      <c r="B73" s="1" t="n">
        <v>44787</v>
      </c>
      <c r="C73" s="1" t="n">
        <v>46204</v>
      </c>
      <c r="D73" t="inlineStr">
        <is>
          <t>DALARNAS LÄN</t>
        </is>
      </c>
      <c r="E73" t="inlineStr">
        <is>
          <t>SMEDJEBACKEN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39726-2021</t>
        </is>
      </c>
      <c r="B74" s="1" t="n">
        <v>44414</v>
      </c>
      <c r="C74" s="1" t="n">
        <v>46204</v>
      </c>
      <c r="D74" t="inlineStr">
        <is>
          <t>DALARNAS LÄN</t>
        </is>
      </c>
      <c r="E74" t="inlineStr">
        <is>
          <t>SMEDJEBACKEN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49097-2021</t>
        </is>
      </c>
      <c r="B75" s="1" t="n">
        <v>44453</v>
      </c>
      <c r="C75" s="1" t="n">
        <v>46204</v>
      </c>
      <c r="D75" t="inlineStr">
        <is>
          <t>DALARNAS LÄN</t>
        </is>
      </c>
      <c r="E75" t="inlineStr">
        <is>
          <t>SMEDJEBACKEN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907-2022</t>
        </is>
      </c>
      <c r="B76" s="1" t="n">
        <v>44571</v>
      </c>
      <c r="C76" s="1" t="n">
        <v>46204</v>
      </c>
      <c r="D76" t="inlineStr">
        <is>
          <t>DALARNAS LÄN</t>
        </is>
      </c>
      <c r="E76" t="inlineStr">
        <is>
          <t>SMEDJEBACKEN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26305-2022</t>
        </is>
      </c>
      <c r="B77" s="1" t="n">
        <v>44735</v>
      </c>
      <c r="C77" s="1" t="n">
        <v>46204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37370-2022</t>
        </is>
      </c>
      <c r="B78" s="1" t="n">
        <v>44809</v>
      </c>
      <c r="C78" s="1" t="n">
        <v>46204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19019-2022</t>
        </is>
      </c>
      <c r="B79" s="1" t="n">
        <v>44691</v>
      </c>
      <c r="C79" s="1" t="n">
        <v>46204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51731-2021</t>
        </is>
      </c>
      <c r="B80" s="1" t="n">
        <v>44462</v>
      </c>
      <c r="C80" s="1" t="n">
        <v>46204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60697-2021</t>
        </is>
      </c>
      <c r="B81" s="1" t="n">
        <v>44496</v>
      </c>
      <c r="C81" s="1" t="n">
        <v>46204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12606-2022</t>
        </is>
      </c>
      <c r="B82" s="1" t="n">
        <v>44641</v>
      </c>
      <c r="C82" s="1" t="n">
        <v>46204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49278-2022</t>
        </is>
      </c>
      <c r="B83" s="1" t="n">
        <v>44861</v>
      </c>
      <c r="C83" s="1" t="n">
        <v>46204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22351-2022</t>
        </is>
      </c>
      <c r="B84" s="1" t="n">
        <v>44713</v>
      </c>
      <c r="C84" s="1" t="n">
        <v>46204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12331-2022</t>
        </is>
      </c>
      <c r="B85" s="1" t="n">
        <v>44637</v>
      </c>
      <c r="C85" s="1" t="n">
        <v>46204</v>
      </c>
      <c r="D85" t="inlineStr">
        <is>
          <t>DALARNAS LÄN</t>
        </is>
      </c>
      <c r="E85" t="inlineStr">
        <is>
          <t>SMEDJEBACKEN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37375-2022</t>
        </is>
      </c>
      <c r="B86" s="1" t="n">
        <v>44809</v>
      </c>
      <c r="C86" s="1" t="n">
        <v>46204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21631-2022</t>
        </is>
      </c>
      <c r="B87" s="1" t="n">
        <v>44706</v>
      </c>
      <c r="C87" s="1" t="n">
        <v>46204</v>
      </c>
      <c r="D87" t="inlineStr">
        <is>
          <t>DALARNAS LÄN</t>
        </is>
      </c>
      <c r="E87" t="inlineStr">
        <is>
          <t>SMEDJEBACKEN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26298-2022</t>
        </is>
      </c>
      <c r="B88" s="1" t="n">
        <v>44735</v>
      </c>
      <c r="C88" s="1" t="n">
        <v>46204</v>
      </c>
      <c r="D88" t="inlineStr">
        <is>
          <t>DALARNAS LÄN</t>
        </is>
      </c>
      <c r="E88" t="inlineStr">
        <is>
          <t>SMEDJEBACKEN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53210-2022</t>
        </is>
      </c>
      <c r="B89" s="1" t="n">
        <v>44876</v>
      </c>
      <c r="C89" s="1" t="n">
        <v>46204</v>
      </c>
      <c r="D89" t="inlineStr">
        <is>
          <t>DALARNAS LÄN</t>
        </is>
      </c>
      <c r="E89" t="inlineStr">
        <is>
          <t>SMEDJEBACKEN</t>
        </is>
      </c>
      <c r="F89" t="inlineStr">
        <is>
          <t>Kyrkan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38797-2021</t>
        </is>
      </c>
      <c r="B90" s="1" t="n">
        <v>44410</v>
      </c>
      <c r="C90" s="1" t="n">
        <v>46204</v>
      </c>
      <c r="D90" t="inlineStr">
        <is>
          <t>DALARNAS LÄN</t>
        </is>
      </c>
      <c r="E90" t="inlineStr">
        <is>
          <t>SMEDJEBACKEN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38800-2021</t>
        </is>
      </c>
      <c r="B91" s="1" t="n">
        <v>44410</v>
      </c>
      <c r="C91" s="1" t="n">
        <v>46204</v>
      </c>
      <c r="D91" t="inlineStr">
        <is>
          <t>DALARNAS LÄN</t>
        </is>
      </c>
      <c r="E91" t="inlineStr">
        <is>
          <t>SMEDJEBACKEN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</v>
      </c>
      <c r="C92" s="1" t="n">
        <v>46204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46204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55362-2021</t>
        </is>
      </c>
      <c r="B94" s="1" t="n">
        <v>44475</v>
      </c>
      <c r="C94" s="1" t="n">
        <v>46204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46204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46204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46204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</v>
      </c>
      <c r="C98" s="1" t="n">
        <v>46204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46204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46204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</v>
      </c>
      <c r="C101" s="1" t="n">
        <v>46204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</v>
      </c>
      <c r="C102" s="1" t="n">
        <v>46204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46204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46204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</v>
      </c>
      <c r="C105" s="1" t="n">
        <v>46204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</v>
      </c>
      <c r="C106" s="1" t="n">
        <v>46204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46204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46204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</v>
      </c>
      <c r="C109" s="1" t="n">
        <v>46204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</v>
      </c>
      <c r="C110" s="1" t="n">
        <v>46204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46204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</v>
      </c>
      <c r="C112" s="1" t="n">
        <v>46204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46204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33843-2022</t>
        </is>
      </c>
      <c r="B114" s="1" t="n">
        <v>44790</v>
      </c>
      <c r="C114" s="1" t="n">
        <v>46204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35666-2022</t>
        </is>
      </c>
      <c r="B115" s="1" t="n">
        <v>44799</v>
      </c>
      <c r="C115" s="1" t="n">
        <v>46204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46204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</v>
      </c>
      <c r="C117" s="1" t="n">
        <v>46204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46204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</v>
      </c>
      <c r="C119" s="1" t="n">
        <v>46204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46137-2021</t>
        </is>
      </c>
      <c r="B120" s="1" t="n">
        <v>44442</v>
      </c>
      <c r="C120" s="1" t="n">
        <v>46204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11410-2022</t>
        </is>
      </c>
      <c r="B121" s="1" t="n">
        <v>44630</v>
      </c>
      <c r="C121" s="1" t="n">
        <v>46204</v>
      </c>
      <c r="D121" t="inlineStr">
        <is>
          <t>DALARNAS LÄN</t>
        </is>
      </c>
      <c r="E121" t="inlineStr">
        <is>
          <t>SMEDJEBACKEN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36243-2022</t>
        </is>
      </c>
      <c r="B122" s="1" t="n">
        <v>44803</v>
      </c>
      <c r="C122" s="1" t="n">
        <v>46204</v>
      </c>
      <c r="D122" t="inlineStr">
        <is>
          <t>DALARNAS LÄN</t>
        </is>
      </c>
      <c r="E122" t="inlineStr">
        <is>
          <t>SMEDJEBACKEN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22640-2022</t>
        </is>
      </c>
      <c r="B123" s="1" t="n">
        <v>44714</v>
      </c>
      <c r="C123" s="1" t="n">
        <v>46204</v>
      </c>
      <c r="D123" t="inlineStr">
        <is>
          <t>DALARNAS LÄN</t>
        </is>
      </c>
      <c r="E123" t="inlineStr">
        <is>
          <t>SMEDJEBACKEN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46204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</v>
      </c>
      <c r="C125" s="1" t="n">
        <v>46204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37851-2021</t>
        </is>
      </c>
      <c r="B126" s="1" t="n">
        <v>44403</v>
      </c>
      <c r="C126" s="1" t="n">
        <v>46204</v>
      </c>
      <c r="D126" t="inlineStr">
        <is>
          <t>DALARNAS LÄN</t>
        </is>
      </c>
      <c r="E126" t="inlineStr">
        <is>
          <t>SMEDJEBACKEN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60927-2021</t>
        </is>
      </c>
      <c r="B127" s="1" t="n">
        <v>44496</v>
      </c>
      <c r="C127" s="1" t="n">
        <v>46204</v>
      </c>
      <c r="D127" t="inlineStr">
        <is>
          <t>DALARNAS LÄN</t>
        </is>
      </c>
      <c r="E127" t="inlineStr">
        <is>
          <t>SMEDJEBACKEN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49275-2022</t>
        </is>
      </c>
      <c r="B128" s="1" t="n">
        <v>44861</v>
      </c>
      <c r="C128" s="1" t="n">
        <v>46204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37881-2022</t>
        </is>
      </c>
      <c r="B129" s="1" t="n">
        <v>44811</v>
      </c>
      <c r="C129" s="1" t="n">
        <v>46204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53290-2022</t>
        </is>
      </c>
      <c r="B130" s="1" t="n">
        <v>44876</v>
      </c>
      <c r="C130" s="1" t="n">
        <v>46204</v>
      </c>
      <c r="D130" t="inlineStr">
        <is>
          <t>DALARNAS LÄN</t>
        </is>
      </c>
      <c r="E130" t="inlineStr">
        <is>
          <t>SMEDJEBACKEN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46204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</v>
      </c>
      <c r="C132" s="1" t="n">
        <v>46204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1700-2022</t>
        </is>
      </c>
      <c r="B133" s="1" t="n">
        <v>44574</v>
      </c>
      <c r="C133" s="1" t="n">
        <v>46204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44141-2021</t>
        </is>
      </c>
      <c r="B134" s="1" t="n">
        <v>44434</v>
      </c>
      <c r="C134" s="1" t="n">
        <v>46204</v>
      </c>
      <c r="D134" t="inlineStr">
        <is>
          <t>DALARNAS LÄN</t>
        </is>
      </c>
      <c r="E134" t="inlineStr">
        <is>
          <t>SMEDJEBACKEN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31143-2022</t>
        </is>
      </c>
      <c r="B135" s="1" t="n">
        <v>44770</v>
      </c>
      <c r="C135" s="1" t="n">
        <v>46204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33256-2022</t>
        </is>
      </c>
      <c r="B136" s="1" t="n">
        <v>44787</v>
      </c>
      <c r="C136" s="1" t="n">
        <v>46204</v>
      </c>
      <c r="D136" t="inlineStr">
        <is>
          <t>DALARNAS LÄN</t>
        </is>
      </c>
      <c r="E136" t="inlineStr">
        <is>
          <t>SMEDJEBACKEN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33257-2022</t>
        </is>
      </c>
      <c r="B137" s="1" t="n">
        <v>44787</v>
      </c>
      <c r="C137" s="1" t="n">
        <v>46204</v>
      </c>
      <c r="D137" t="inlineStr">
        <is>
          <t>DALARNAS LÄN</t>
        </is>
      </c>
      <c r="E137" t="inlineStr">
        <is>
          <t>SMEDJEBACKEN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69512-2021</t>
        </is>
      </c>
      <c r="B138" s="1" t="n">
        <v>44531</v>
      </c>
      <c r="C138" s="1" t="n">
        <v>46204</v>
      </c>
      <c r="D138" t="inlineStr">
        <is>
          <t>DALARNAS LÄN</t>
        </is>
      </c>
      <c r="E138" t="inlineStr">
        <is>
          <t>SMEDJEBACKEN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46204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34216-2022</t>
        </is>
      </c>
      <c r="B140" s="1" t="n">
        <v>44791</v>
      </c>
      <c r="C140" s="1" t="n">
        <v>46204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42496-2022</t>
        </is>
      </c>
      <c r="B141" s="1" t="n">
        <v>44831</v>
      </c>
      <c r="C141" s="1" t="n">
        <v>46204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19411-2024</t>
        </is>
      </c>
      <c r="B142" s="1" t="n">
        <v>45429</v>
      </c>
      <c r="C142" s="1" t="n">
        <v>46204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26430-2024</t>
        </is>
      </c>
      <c r="B143" s="1" t="n">
        <v>45469</v>
      </c>
      <c r="C143" s="1" t="n">
        <v>46204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25125-2024</t>
        </is>
      </c>
      <c r="B144" s="1" t="n">
        <v>45462</v>
      </c>
      <c r="C144" s="1" t="n">
        <v>46204</v>
      </c>
      <c r="D144" t="inlineStr">
        <is>
          <t>DALARNAS LÄN</t>
        </is>
      </c>
      <c r="E144" t="inlineStr">
        <is>
          <t>SMEDJEBACKEN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53273-2022</t>
        </is>
      </c>
      <c r="B145" s="1" t="n">
        <v>44876</v>
      </c>
      <c r="C145" s="1" t="n">
        <v>46204</v>
      </c>
      <c r="D145" t="inlineStr">
        <is>
          <t>DALARNAS LÄN</t>
        </is>
      </c>
      <c r="E145" t="inlineStr">
        <is>
          <t>SMEDJEBACKEN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22984-2022</t>
        </is>
      </c>
      <c r="B146" s="1" t="n">
        <v>44718</v>
      </c>
      <c r="C146" s="1" t="n">
        <v>46204</v>
      </c>
      <c r="D146" t="inlineStr">
        <is>
          <t>DALARNAS LÄN</t>
        </is>
      </c>
      <c r="E146" t="inlineStr">
        <is>
          <t>SMEDJEBACKEN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47839-2022</t>
        </is>
      </c>
      <c r="B147" s="1" t="n">
        <v>44855</v>
      </c>
      <c r="C147" s="1" t="n">
        <v>46204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53718-2022</t>
        </is>
      </c>
      <c r="B148" s="1" t="n">
        <v>44880</v>
      </c>
      <c r="C148" s="1" t="n">
        <v>46204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29820-2023</t>
        </is>
      </c>
      <c r="B149" s="1" t="n">
        <v>45107</v>
      </c>
      <c r="C149" s="1" t="n">
        <v>46204</v>
      </c>
      <c r="D149" t="inlineStr">
        <is>
          <t>DALARNAS LÄN</t>
        </is>
      </c>
      <c r="E149" t="inlineStr">
        <is>
          <t>SMEDJEBACKEN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35008-2024</t>
        </is>
      </c>
      <c r="B150" s="1" t="n">
        <v>45527</v>
      </c>
      <c r="C150" s="1" t="n">
        <v>46204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48214-2023</t>
        </is>
      </c>
      <c r="B151" s="1" t="n">
        <v>45205</v>
      </c>
      <c r="C151" s="1" t="n">
        <v>46204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65249-2021</t>
        </is>
      </c>
      <c r="B152" s="1" t="n">
        <v>44515</v>
      </c>
      <c r="C152" s="1" t="n">
        <v>46204</v>
      </c>
      <c r="D152" t="inlineStr">
        <is>
          <t>DALARNAS LÄN</t>
        </is>
      </c>
      <c r="E152" t="inlineStr">
        <is>
          <t>SMEDJEBACKEN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</v>
      </c>
      <c r="C153" s="1" t="n">
        <v>46204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46204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17908-2022</t>
        </is>
      </c>
      <c r="B155" s="1" t="n">
        <v>44683</v>
      </c>
      <c r="C155" s="1" t="n">
        <v>46204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39734-2021</t>
        </is>
      </c>
      <c r="B156" s="1" t="n">
        <v>44414</v>
      </c>
      <c r="C156" s="1" t="n">
        <v>46204</v>
      </c>
      <c r="D156" t="inlineStr">
        <is>
          <t>DALARNAS LÄN</t>
        </is>
      </c>
      <c r="E156" t="inlineStr">
        <is>
          <t>SMEDJEBACKEN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60922-2021</t>
        </is>
      </c>
      <c r="B157" s="1" t="n">
        <v>44496</v>
      </c>
      <c r="C157" s="1" t="n">
        <v>46204</v>
      </c>
      <c r="D157" t="inlineStr">
        <is>
          <t>DALARNAS LÄN</t>
        </is>
      </c>
      <c r="E157" t="inlineStr">
        <is>
          <t>SMEDJEBACKEN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20623-2022</t>
        </is>
      </c>
      <c r="B158" s="1" t="n">
        <v>44700</v>
      </c>
      <c r="C158" s="1" t="n">
        <v>46204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15360-2023</t>
        </is>
      </c>
      <c r="B159" s="1" t="n">
        <v>45019</v>
      </c>
      <c r="C159" s="1" t="n">
        <v>46204</v>
      </c>
      <c r="D159" t="inlineStr">
        <is>
          <t>DALARNAS LÄN</t>
        </is>
      </c>
      <c r="E159" t="inlineStr">
        <is>
          <t>SMEDJEBACKEN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60814-2022</t>
        </is>
      </c>
      <c r="B160" s="1" t="n">
        <v>44914</v>
      </c>
      <c r="C160" s="1" t="n">
        <v>46204</v>
      </c>
      <c r="D160" t="inlineStr">
        <is>
          <t>DALARNAS LÄN</t>
        </is>
      </c>
      <c r="E160" t="inlineStr">
        <is>
          <t>SMEDJEBACKEN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47654-2024</t>
        </is>
      </c>
      <c r="B161" s="1" t="n">
        <v>45588</v>
      </c>
      <c r="C161" s="1" t="n">
        <v>46204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31788-2022</t>
        </is>
      </c>
      <c r="B162" s="1" t="n">
        <v>44776</v>
      </c>
      <c r="C162" s="1" t="n">
        <v>46204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2275-2024</t>
        </is>
      </c>
      <c r="B163" s="1" t="n">
        <v>45310</v>
      </c>
      <c r="C163" s="1" t="n">
        <v>46204</v>
      </c>
      <c r="D163" t="inlineStr">
        <is>
          <t>DALARNAS LÄN</t>
        </is>
      </c>
      <c r="E163" t="inlineStr">
        <is>
          <t>SMEDJEBACKEN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41480-2023</t>
        </is>
      </c>
      <c r="B164" s="1" t="n">
        <v>45172</v>
      </c>
      <c r="C164" s="1" t="n">
        <v>46204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31034-2024</t>
        </is>
      </c>
      <c r="B165" s="1" t="n">
        <v>45501</v>
      </c>
      <c r="C165" s="1" t="n">
        <v>46204</v>
      </c>
      <c r="D165" t="inlineStr">
        <is>
          <t>DALARNAS LÄN</t>
        </is>
      </c>
      <c r="E165" t="inlineStr">
        <is>
          <t>SMEDJEBACKEN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49139-2022</t>
        </is>
      </c>
      <c r="B166" s="1" t="n">
        <v>44860</v>
      </c>
      <c r="C166" s="1" t="n">
        <v>46204</v>
      </c>
      <c r="D166" t="inlineStr">
        <is>
          <t>DALARNAS LÄN</t>
        </is>
      </c>
      <c r="E166" t="inlineStr">
        <is>
          <t>SMEDJEBACKEN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53982-2024</t>
        </is>
      </c>
      <c r="B167" s="1" t="n">
        <v>45615</v>
      </c>
      <c r="C167" s="1" t="n">
        <v>46204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646-2022</t>
        </is>
      </c>
      <c r="B168" s="1" t="n">
        <v>44568</v>
      </c>
      <c r="C168" s="1" t="n">
        <v>46204</v>
      </c>
      <c r="D168" t="inlineStr">
        <is>
          <t>DALARNAS LÄN</t>
        </is>
      </c>
      <c r="E168" t="inlineStr">
        <is>
          <t>SMEDJEBACKEN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37501-2022</t>
        </is>
      </c>
      <c r="B169" s="1" t="n">
        <v>44809</v>
      </c>
      <c r="C169" s="1" t="n">
        <v>46204</v>
      </c>
      <c r="D169" t="inlineStr">
        <is>
          <t>DALARNAS LÄN</t>
        </is>
      </c>
      <c r="E169" t="inlineStr">
        <is>
          <t>SMEDJEBACKEN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57146-2022</t>
        </is>
      </c>
      <c r="B170" s="1" t="n">
        <v>44895</v>
      </c>
      <c r="C170" s="1" t="n">
        <v>46204</v>
      </c>
      <c r="D170" t="inlineStr">
        <is>
          <t>DALARNAS LÄN</t>
        </is>
      </c>
      <c r="E170" t="inlineStr">
        <is>
          <t>SMEDJEBACKEN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18096-2024</t>
        </is>
      </c>
      <c r="B171" s="1" t="n">
        <v>45420</v>
      </c>
      <c r="C171" s="1" t="n">
        <v>46204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60762-2022</t>
        </is>
      </c>
      <c r="B172" s="1" t="n">
        <v>44914</v>
      </c>
      <c r="C172" s="1" t="n">
        <v>46204</v>
      </c>
      <c r="D172" t="inlineStr">
        <is>
          <t>DALARNAS LÄN</t>
        </is>
      </c>
      <c r="E172" t="inlineStr">
        <is>
          <t>SMEDJEBACKEN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60764-2022</t>
        </is>
      </c>
      <c r="B173" s="1" t="n">
        <v>44914</v>
      </c>
      <c r="C173" s="1" t="n">
        <v>46204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40561-2021</t>
        </is>
      </c>
      <c r="B174" s="1" t="n">
        <v>44420</v>
      </c>
      <c r="C174" s="1" t="n">
        <v>46204</v>
      </c>
      <c r="D174" t="inlineStr">
        <is>
          <t>DALARNAS LÄN</t>
        </is>
      </c>
      <c r="E174" t="inlineStr">
        <is>
          <t>SMEDJEBACKEN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18386-2024</t>
        </is>
      </c>
      <c r="B175" s="1" t="n">
        <v>45424</v>
      </c>
      <c r="C175" s="1" t="n">
        <v>46204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48716-2022</t>
        </is>
      </c>
      <c r="B176" s="1" t="n">
        <v>44859</v>
      </c>
      <c r="C176" s="1" t="n">
        <v>46204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10401-2023</t>
        </is>
      </c>
      <c r="B177" s="1" t="n">
        <v>44987</v>
      </c>
      <c r="C177" s="1" t="n">
        <v>46204</v>
      </c>
      <c r="D177" t="inlineStr">
        <is>
          <t>DALARNAS LÄN</t>
        </is>
      </c>
      <c r="E177" t="inlineStr">
        <is>
          <t>SMEDJEBACKEN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57260-2021</t>
        </is>
      </c>
      <c r="B178" s="1" t="n">
        <v>44482</v>
      </c>
      <c r="C178" s="1" t="n">
        <v>46204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57269-2021</t>
        </is>
      </c>
      <c r="B179" s="1" t="n">
        <v>44482</v>
      </c>
      <c r="C179" s="1" t="n">
        <v>46204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60049-2022</t>
        </is>
      </c>
      <c r="B180" s="1" t="n">
        <v>44909</v>
      </c>
      <c r="C180" s="1" t="n">
        <v>46204</v>
      </c>
      <c r="D180" t="inlineStr">
        <is>
          <t>DALARNAS LÄN</t>
        </is>
      </c>
      <c r="E180" t="inlineStr">
        <is>
          <t>SMEDJEBACKEN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22367-2024</t>
        </is>
      </c>
      <c r="B181" s="1" t="n">
        <v>45446</v>
      </c>
      <c r="C181" s="1" t="n">
        <v>46204</v>
      </c>
      <c r="D181" t="inlineStr">
        <is>
          <t>DALARNAS LÄN</t>
        </is>
      </c>
      <c r="E181" t="inlineStr">
        <is>
          <t>SMEDJEBACKEN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56305-2021</t>
        </is>
      </c>
      <c r="B182" s="1" t="n">
        <v>44477</v>
      </c>
      <c r="C182" s="1" t="n">
        <v>46204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14.2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60023-2024</t>
        </is>
      </c>
      <c r="B183" s="1" t="n">
        <v>45642</v>
      </c>
      <c r="C183" s="1" t="n">
        <v>46204</v>
      </c>
      <c r="D183" t="inlineStr">
        <is>
          <t>DALARNAS LÄN</t>
        </is>
      </c>
      <c r="E183" t="inlineStr">
        <is>
          <t>SMEDJEBACKEN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1505-2025</t>
        </is>
      </c>
      <c r="B184" s="1" t="n">
        <v>45670</v>
      </c>
      <c r="C184" s="1" t="n">
        <v>46204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61378-2023</t>
        </is>
      </c>
      <c r="B185" s="1" t="n">
        <v>45264</v>
      </c>
      <c r="C185" s="1" t="n">
        <v>46204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60683-2024</t>
        </is>
      </c>
      <c r="B186" s="1" t="n">
        <v>45644</v>
      </c>
      <c r="C186" s="1" t="n">
        <v>46204</v>
      </c>
      <c r="D186" t="inlineStr">
        <is>
          <t>DALARNAS LÄN</t>
        </is>
      </c>
      <c r="E186" t="inlineStr">
        <is>
          <t>SMEDJEBACKEN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11426-2022</t>
        </is>
      </c>
      <c r="B187" s="1" t="n">
        <v>44630</v>
      </c>
      <c r="C187" s="1" t="n">
        <v>46204</v>
      </c>
      <c r="D187" t="inlineStr">
        <is>
          <t>DALARNAS LÄN</t>
        </is>
      </c>
      <c r="E187" t="inlineStr">
        <is>
          <t>SMEDJEBACKEN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40943-2024</t>
        </is>
      </c>
      <c r="B188" s="1" t="n">
        <v>45558</v>
      </c>
      <c r="C188" s="1" t="n">
        <v>46204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13633-2023</t>
        </is>
      </c>
      <c r="B189" s="1" t="n">
        <v>45006</v>
      </c>
      <c r="C189" s="1" t="n">
        <v>46204</v>
      </c>
      <c r="D189" t="inlineStr">
        <is>
          <t>DALARNAS LÄN</t>
        </is>
      </c>
      <c r="E189" t="inlineStr">
        <is>
          <t>SMEDJEBACKEN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6177-2025</t>
        </is>
      </c>
      <c r="B190" s="1" t="n">
        <v>45698</v>
      </c>
      <c r="C190" s="1" t="n">
        <v>46204</v>
      </c>
      <c r="D190" t="inlineStr">
        <is>
          <t>DALARNAS LÄN</t>
        </is>
      </c>
      <c r="E190" t="inlineStr">
        <is>
          <t>SMEDJEBACKEN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19470-2024</t>
        </is>
      </c>
      <c r="B191" s="1" t="n">
        <v>45429</v>
      </c>
      <c r="C191" s="1" t="n">
        <v>46204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37046-2023</t>
        </is>
      </c>
      <c r="B192" s="1" t="n">
        <v>45154</v>
      </c>
      <c r="C192" s="1" t="n">
        <v>46204</v>
      </c>
      <c r="D192" t="inlineStr">
        <is>
          <t>DALARNAS LÄN</t>
        </is>
      </c>
      <c r="E192" t="inlineStr">
        <is>
          <t>SMEDJEBACKEN</t>
        </is>
      </c>
      <c r="G192" t="n">
        <v>21.9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30903-2025</t>
        </is>
      </c>
      <c r="B193" s="1" t="n">
        <v>45832</v>
      </c>
      <c r="C193" s="1" t="n">
        <v>46204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31470-2025</t>
        </is>
      </c>
      <c r="B194" s="1" t="n">
        <v>45833</v>
      </c>
      <c r="C194" s="1" t="n">
        <v>46204</v>
      </c>
      <c r="D194" t="inlineStr">
        <is>
          <t>DALARNAS LÄN</t>
        </is>
      </c>
      <c r="E194" t="inlineStr">
        <is>
          <t>SMEDJEBACKEN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41569-2023</t>
        </is>
      </c>
      <c r="B195" s="1" t="n">
        <v>45175</v>
      </c>
      <c r="C195" s="1" t="n">
        <v>46204</v>
      </c>
      <c r="D195" t="inlineStr">
        <is>
          <t>DALARNAS LÄN</t>
        </is>
      </c>
      <c r="E195" t="inlineStr">
        <is>
          <t>SMEDJEBACKEN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31473-2025</t>
        </is>
      </c>
      <c r="B196" s="1" t="n">
        <v>45833</v>
      </c>
      <c r="C196" s="1" t="n">
        <v>46204</v>
      </c>
      <c r="D196" t="inlineStr">
        <is>
          <t>DALARNAS LÄN</t>
        </is>
      </c>
      <c r="E196" t="inlineStr">
        <is>
          <t>SMEDJEBACKEN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17687-2025</t>
        </is>
      </c>
      <c r="B197" s="1" t="n">
        <v>45758</v>
      </c>
      <c r="C197" s="1" t="n">
        <v>46204</v>
      </c>
      <c r="D197" t="inlineStr">
        <is>
          <t>DALARNAS LÄN</t>
        </is>
      </c>
      <c r="E197" t="inlineStr">
        <is>
          <t>SMEDJEBACKEN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58234-2023</t>
        </is>
      </c>
      <c r="B198" s="1" t="n">
        <v>45250</v>
      </c>
      <c r="C198" s="1" t="n">
        <v>46204</v>
      </c>
      <c r="D198" t="inlineStr">
        <is>
          <t>DALARNAS LÄN</t>
        </is>
      </c>
      <c r="E198" t="inlineStr">
        <is>
          <t>SMEDJEBACKEN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38477-2025</t>
        </is>
      </c>
      <c r="B199" s="1" t="n">
        <v>45884</v>
      </c>
      <c r="C199" s="1" t="n">
        <v>46204</v>
      </c>
      <c r="D199" t="inlineStr">
        <is>
          <t>DALARNAS LÄN</t>
        </is>
      </c>
      <c r="E199" t="inlineStr">
        <is>
          <t>SMEDJEBACKEN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48527-2023</t>
        </is>
      </c>
      <c r="B200" s="1" t="n">
        <v>45208</v>
      </c>
      <c r="C200" s="1" t="n">
        <v>46204</v>
      </c>
      <c r="D200" t="inlineStr">
        <is>
          <t>DALARNAS LÄN</t>
        </is>
      </c>
      <c r="E200" t="inlineStr">
        <is>
          <t>SMEDJEBACKEN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53139-2023</t>
        </is>
      </c>
      <c r="B201" s="1" t="n">
        <v>45229</v>
      </c>
      <c r="C201" s="1" t="n">
        <v>46204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32996-2025</t>
        </is>
      </c>
      <c r="B202" s="1" t="n">
        <v>45840</v>
      </c>
      <c r="C202" s="1" t="n">
        <v>46204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33912-2025</t>
        </is>
      </c>
      <c r="B203" s="1" t="n">
        <v>45842</v>
      </c>
      <c r="C203" s="1" t="n">
        <v>46204</v>
      </c>
      <c r="D203" t="inlineStr">
        <is>
          <t>DALARNAS LÄN</t>
        </is>
      </c>
      <c r="E203" t="inlineStr">
        <is>
          <t>SMEDJEBACKEN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39800-2025</t>
        </is>
      </c>
      <c r="B204" s="1" t="n">
        <v>45891</v>
      </c>
      <c r="C204" s="1" t="n">
        <v>46204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39805-2025</t>
        </is>
      </c>
      <c r="B205" s="1" t="n">
        <v>45891</v>
      </c>
      <c r="C205" s="1" t="n">
        <v>46204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39802-2025</t>
        </is>
      </c>
      <c r="B206" s="1" t="n">
        <v>45891</v>
      </c>
      <c r="C206" s="1" t="n">
        <v>46204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39806-2025</t>
        </is>
      </c>
      <c r="B207" s="1" t="n">
        <v>45891</v>
      </c>
      <c r="C207" s="1" t="n">
        <v>46204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39804-2025</t>
        </is>
      </c>
      <c r="B208" s="1" t="n">
        <v>45891</v>
      </c>
      <c r="C208" s="1" t="n">
        <v>46204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11100-2024</t>
        </is>
      </c>
      <c r="B209" s="1" t="n">
        <v>45371</v>
      </c>
      <c r="C209" s="1" t="n">
        <v>46204</v>
      </c>
      <c r="D209" t="inlineStr">
        <is>
          <t>DALARNAS LÄN</t>
        </is>
      </c>
      <c r="E209" t="inlineStr">
        <is>
          <t>SMEDJEBACKEN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34523-2025</t>
        </is>
      </c>
      <c r="B210" s="1" t="n">
        <v>45846</v>
      </c>
      <c r="C210" s="1" t="n">
        <v>46204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34510-2025</t>
        </is>
      </c>
      <c r="B211" s="1" t="n">
        <v>45846</v>
      </c>
      <c r="C211" s="1" t="n">
        <v>46204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34511-2025</t>
        </is>
      </c>
      <c r="B212" s="1" t="n">
        <v>45846</v>
      </c>
      <c r="C212" s="1" t="n">
        <v>46204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34444-2025</t>
        </is>
      </c>
      <c r="B213" s="1" t="n">
        <v>45846</v>
      </c>
      <c r="C213" s="1" t="n">
        <v>46204</v>
      </c>
      <c r="D213" t="inlineStr">
        <is>
          <t>DALARNAS LÄN</t>
        </is>
      </c>
      <c r="E213" t="inlineStr">
        <is>
          <t>SMEDJEBACKEN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34711-2025</t>
        </is>
      </c>
      <c r="B214" s="1" t="n">
        <v>45848</v>
      </c>
      <c r="C214" s="1" t="n">
        <v>46204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9790-2022</t>
        </is>
      </c>
      <c r="B215" s="1" t="n">
        <v>44617</v>
      </c>
      <c r="C215" s="1" t="n">
        <v>46204</v>
      </c>
      <c r="D215" t="inlineStr">
        <is>
          <t>DALARNAS LÄN</t>
        </is>
      </c>
      <c r="E215" t="inlineStr">
        <is>
          <t>SMEDJEBACKEN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21969-2025</t>
        </is>
      </c>
      <c r="B216" s="1" t="n">
        <v>45784</v>
      </c>
      <c r="C216" s="1" t="n">
        <v>46204</v>
      </c>
      <c r="D216" t="inlineStr">
        <is>
          <t>DALARNAS LÄN</t>
        </is>
      </c>
      <c r="E216" t="inlineStr">
        <is>
          <t>SMEDJEBACKEN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44117-2021</t>
        </is>
      </c>
      <c r="B217" s="1" t="n">
        <v>44434</v>
      </c>
      <c r="C217" s="1" t="n">
        <v>46204</v>
      </c>
      <c r="D217" t="inlineStr">
        <is>
          <t>DALARNAS LÄN</t>
        </is>
      </c>
      <c r="E217" t="inlineStr">
        <is>
          <t>SMEDJEBACKEN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46396-2024</t>
        </is>
      </c>
      <c r="B218" s="1" t="n">
        <v>45582</v>
      </c>
      <c r="C218" s="1" t="n">
        <v>46204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41479-2025</t>
        </is>
      </c>
      <c r="B219" s="1" t="n">
        <v>45901</v>
      </c>
      <c r="C219" s="1" t="n">
        <v>46204</v>
      </c>
      <c r="D219" t="inlineStr">
        <is>
          <t>DALARNAS LÄN</t>
        </is>
      </c>
      <c r="E219" t="inlineStr">
        <is>
          <t>SMEDJEBACKEN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17951-2022</t>
        </is>
      </c>
      <c r="B220" s="1" t="n">
        <v>44683</v>
      </c>
      <c r="C220" s="1" t="n">
        <v>46204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17956-2022</t>
        </is>
      </c>
      <c r="B221" s="1" t="n">
        <v>44683</v>
      </c>
      <c r="C221" s="1" t="n">
        <v>46204</v>
      </c>
      <c r="D221" t="inlineStr">
        <is>
          <t>DALARNAS LÄN</t>
        </is>
      </c>
      <c r="E221" t="inlineStr">
        <is>
          <t>SMEDJEBACKEN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60086-2021</t>
        </is>
      </c>
      <c r="B222" s="1" t="n">
        <v>44494</v>
      </c>
      <c r="C222" s="1" t="n">
        <v>46204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35814-2025</t>
        </is>
      </c>
      <c r="B223" s="1" t="n">
        <v>45861</v>
      </c>
      <c r="C223" s="1" t="n">
        <v>46204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16.7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12218-2024</t>
        </is>
      </c>
      <c r="B224" s="1" t="n">
        <v>45378</v>
      </c>
      <c r="C224" s="1" t="n">
        <v>46204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56315-2022</t>
        </is>
      </c>
      <c r="B225" s="1" t="n">
        <v>44890</v>
      </c>
      <c r="C225" s="1" t="n">
        <v>46204</v>
      </c>
      <c r="D225" t="inlineStr">
        <is>
          <t>DALARNAS LÄN</t>
        </is>
      </c>
      <c r="E225" t="inlineStr">
        <is>
          <t>SMEDJEBACKEN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42047-2025</t>
        </is>
      </c>
      <c r="B226" s="1" t="n">
        <v>45903</v>
      </c>
      <c r="C226" s="1" t="n">
        <v>46204</v>
      </c>
      <c r="D226" t="inlineStr">
        <is>
          <t>DALARNAS LÄN</t>
        </is>
      </c>
      <c r="E226" t="inlineStr">
        <is>
          <t>SMEDJEBACKEN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3423-2024</t>
        </is>
      </c>
      <c r="B227" s="1" t="n">
        <v>45319</v>
      </c>
      <c r="C227" s="1" t="n">
        <v>46204</v>
      </c>
      <c r="D227" t="inlineStr">
        <is>
          <t>DALARNAS LÄN</t>
        </is>
      </c>
      <c r="E227" t="inlineStr">
        <is>
          <t>SMEDJEBACKEN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54382-2021</t>
        </is>
      </c>
      <c r="B228" s="1" t="n">
        <v>44473</v>
      </c>
      <c r="C228" s="1" t="n">
        <v>46204</v>
      </c>
      <c r="D228" t="inlineStr">
        <is>
          <t>DALARNAS LÄN</t>
        </is>
      </c>
      <c r="E228" t="inlineStr">
        <is>
          <t>SMEDJEBACKEN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9847-2026</t>
        </is>
      </c>
      <c r="B229" s="1" t="n">
        <v>46072</v>
      </c>
      <c r="C229" s="1" t="n">
        <v>46204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15321-2025</t>
        </is>
      </c>
      <c r="B230" s="1" t="n">
        <v>45747</v>
      </c>
      <c r="C230" s="1" t="n">
        <v>46204</v>
      </c>
      <c r="D230" t="inlineStr">
        <is>
          <t>DALARNAS LÄN</t>
        </is>
      </c>
      <c r="E230" t="inlineStr">
        <is>
          <t>SMEDJEBACKEN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36171-2025</t>
        </is>
      </c>
      <c r="B231" s="1" t="n">
        <v>45867</v>
      </c>
      <c r="C231" s="1" t="n">
        <v>46204</v>
      </c>
      <c r="D231" t="inlineStr">
        <is>
          <t>DALARNAS LÄN</t>
        </is>
      </c>
      <c r="E231" t="inlineStr">
        <is>
          <t>SMEDJEBACKEN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31809-2022</t>
        </is>
      </c>
      <c r="B232" s="1" t="n">
        <v>44776</v>
      </c>
      <c r="C232" s="1" t="n">
        <v>46204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42663-2025</t>
        </is>
      </c>
      <c r="B233" s="1" t="n">
        <v>45907</v>
      </c>
      <c r="C233" s="1" t="n">
        <v>46204</v>
      </c>
      <c r="D233" t="inlineStr">
        <is>
          <t>DALARNAS LÄN</t>
        </is>
      </c>
      <c r="E233" t="inlineStr">
        <is>
          <t>SMEDJEBACKEN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34374-2022</t>
        </is>
      </c>
      <c r="B234" s="1" t="n">
        <v>44792</v>
      </c>
      <c r="C234" s="1" t="n">
        <v>46204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33936-2024</t>
        </is>
      </c>
      <c r="B235" s="1" t="n">
        <v>45522</v>
      </c>
      <c r="C235" s="1" t="n">
        <v>46204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55811-2022</t>
        </is>
      </c>
      <c r="B236" s="1" t="n">
        <v>44888</v>
      </c>
      <c r="C236" s="1" t="n">
        <v>46204</v>
      </c>
      <c r="D236" t="inlineStr">
        <is>
          <t>DALARNAS LÄN</t>
        </is>
      </c>
      <c r="E236" t="inlineStr">
        <is>
          <t>SMEDJEBACKEN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26009-2022</t>
        </is>
      </c>
      <c r="B237" s="1" t="n">
        <v>44734</v>
      </c>
      <c r="C237" s="1" t="n">
        <v>46204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38803-2021</t>
        </is>
      </c>
      <c r="B238" s="1" t="n">
        <v>44410</v>
      </c>
      <c r="C238" s="1" t="n">
        <v>46204</v>
      </c>
      <c r="D238" t="inlineStr">
        <is>
          <t>DALARNAS LÄN</t>
        </is>
      </c>
      <c r="E238" t="inlineStr">
        <is>
          <t>SMEDJEBACKEN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45152-2024</t>
        </is>
      </c>
      <c r="B239" s="1" t="n">
        <v>45575</v>
      </c>
      <c r="C239" s="1" t="n">
        <v>46204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25396-2024</t>
        </is>
      </c>
      <c r="B240" s="1" t="n">
        <v>45463</v>
      </c>
      <c r="C240" s="1" t="n">
        <v>46204</v>
      </c>
      <c r="D240" t="inlineStr">
        <is>
          <t>DALARNAS LÄN</t>
        </is>
      </c>
      <c r="E240" t="inlineStr">
        <is>
          <t>SMEDJEBACKEN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42202-2024</t>
        </is>
      </c>
      <c r="B241" s="1" t="n">
        <v>45562</v>
      </c>
      <c r="C241" s="1" t="n">
        <v>46204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16445-2024</t>
        </is>
      </c>
      <c r="B242" s="1" t="n">
        <v>45407</v>
      </c>
      <c r="C242" s="1" t="n">
        <v>46204</v>
      </c>
      <c r="D242" t="inlineStr">
        <is>
          <t>DALARNAS LÄN</t>
        </is>
      </c>
      <c r="E242" t="inlineStr">
        <is>
          <t>SMEDJEBACKEN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21626-2023</t>
        </is>
      </c>
      <c r="B243" s="1" t="n">
        <v>45063</v>
      </c>
      <c r="C243" s="1" t="n">
        <v>46204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45175-2025</t>
        </is>
      </c>
      <c r="B244" s="1" t="n">
        <v>45919</v>
      </c>
      <c r="C244" s="1" t="n">
        <v>46204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6604-2025</t>
        </is>
      </c>
      <c r="B245" s="1" t="n">
        <v>45700</v>
      </c>
      <c r="C245" s="1" t="n">
        <v>46204</v>
      </c>
      <c r="D245" t="inlineStr">
        <is>
          <t>DALARNAS LÄN</t>
        </is>
      </c>
      <c r="E245" t="inlineStr">
        <is>
          <t>SMEDJEBACKEN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1898-2023</t>
        </is>
      </c>
      <c r="B246" s="1" t="n">
        <v>44937</v>
      </c>
      <c r="C246" s="1" t="n">
        <v>46204</v>
      </c>
      <c r="D246" t="inlineStr">
        <is>
          <t>DALARNAS LÄN</t>
        </is>
      </c>
      <c r="E246" t="inlineStr">
        <is>
          <t>SMEDJEBACKEN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45608-2025</t>
        </is>
      </c>
      <c r="B247" s="1" t="n">
        <v>45922</v>
      </c>
      <c r="C247" s="1" t="n">
        <v>46204</v>
      </c>
      <c r="D247" t="inlineStr">
        <is>
          <t>DALARNAS LÄN</t>
        </is>
      </c>
      <c r="E247" t="inlineStr">
        <is>
          <t>SMEDJEBACKEN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21443-2023</t>
        </is>
      </c>
      <c r="B248" s="1" t="n">
        <v>45063</v>
      </c>
      <c r="C248" s="1" t="n">
        <v>46204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46367-2025</t>
        </is>
      </c>
      <c r="B249" s="1" t="n">
        <v>45925</v>
      </c>
      <c r="C249" s="1" t="n">
        <v>46204</v>
      </c>
      <c r="D249" t="inlineStr">
        <is>
          <t>DALARNAS LÄN</t>
        </is>
      </c>
      <c r="E249" t="inlineStr">
        <is>
          <t>SMEDJEBACKEN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25809-2024</t>
        </is>
      </c>
      <c r="B250" s="1" t="n">
        <v>45467</v>
      </c>
      <c r="C250" s="1" t="n">
        <v>46204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18909-2024</t>
        </is>
      </c>
      <c r="B251" s="1" t="n">
        <v>45427</v>
      </c>
      <c r="C251" s="1" t="n">
        <v>46204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56012-2021</t>
        </is>
      </c>
      <c r="B252" s="1" t="n">
        <v>44477</v>
      </c>
      <c r="C252" s="1" t="n">
        <v>46204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11740-2026</t>
        </is>
      </c>
      <c r="B253" s="1" t="n">
        <v>46084</v>
      </c>
      <c r="C253" s="1" t="n">
        <v>46204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33960-2023</t>
        </is>
      </c>
      <c r="B254" s="1" t="n">
        <v>45124</v>
      </c>
      <c r="C254" s="1" t="n">
        <v>46204</v>
      </c>
      <c r="D254" t="inlineStr">
        <is>
          <t>DALARNAS LÄN</t>
        </is>
      </c>
      <c r="E254" t="inlineStr">
        <is>
          <t>SMEDJEBACKEN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60025-2024</t>
        </is>
      </c>
      <c r="B255" s="1" t="n">
        <v>45642</v>
      </c>
      <c r="C255" s="1" t="n">
        <v>46204</v>
      </c>
      <c r="D255" t="inlineStr">
        <is>
          <t>DALARNAS LÄN</t>
        </is>
      </c>
      <c r="E255" t="inlineStr">
        <is>
          <t>SMEDJEBACKEN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47805-2025</t>
        </is>
      </c>
      <c r="B256" s="1" t="n">
        <v>45931</v>
      </c>
      <c r="C256" s="1" t="n">
        <v>46204</v>
      </c>
      <c r="D256" t="inlineStr">
        <is>
          <t>DALARNAS LÄN</t>
        </is>
      </c>
      <c r="E256" t="inlineStr">
        <is>
          <t>SMEDJEBACKEN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38440-2023</t>
        </is>
      </c>
      <c r="B257" s="1" t="n">
        <v>45162</v>
      </c>
      <c r="C257" s="1" t="n">
        <v>46204</v>
      </c>
      <c r="D257" t="inlineStr">
        <is>
          <t>DALARNAS LÄN</t>
        </is>
      </c>
      <c r="E257" t="inlineStr">
        <is>
          <t>SMEDJEBACKEN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26439-2024</t>
        </is>
      </c>
      <c r="B258" s="1" t="n">
        <v>45469</v>
      </c>
      <c r="C258" s="1" t="n">
        <v>46204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48617-2025</t>
        </is>
      </c>
      <c r="B259" s="1" t="n">
        <v>45935</v>
      </c>
      <c r="C259" s="1" t="n">
        <v>46204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48481-2025</t>
        </is>
      </c>
      <c r="B260" s="1" t="n">
        <v>45936</v>
      </c>
      <c r="C260" s="1" t="n">
        <v>46204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48476-2025</t>
        </is>
      </c>
      <c r="B261" s="1" t="n">
        <v>45936</v>
      </c>
      <c r="C261" s="1" t="n">
        <v>46204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48478-2025</t>
        </is>
      </c>
      <c r="B262" s="1" t="n">
        <v>45936</v>
      </c>
      <c r="C262" s="1" t="n">
        <v>46204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12441-2026</t>
        </is>
      </c>
      <c r="B263" s="1" t="n">
        <v>46090</v>
      </c>
      <c r="C263" s="1" t="n">
        <v>46204</v>
      </c>
      <c r="D263" t="inlineStr">
        <is>
          <t>DALARNAS LÄN</t>
        </is>
      </c>
      <c r="E263" t="inlineStr">
        <is>
          <t>SMEDJEBACKEN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12447-2026</t>
        </is>
      </c>
      <c r="B264" s="1" t="n">
        <v>46090</v>
      </c>
      <c r="C264" s="1" t="n">
        <v>46204</v>
      </c>
      <c r="D264" t="inlineStr">
        <is>
          <t>DALARNAS LÄN</t>
        </is>
      </c>
      <c r="E264" t="inlineStr">
        <is>
          <t>SMEDJEBACKEN</t>
        </is>
      </c>
      <c r="G264" t="n">
        <v>21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48480-2025</t>
        </is>
      </c>
      <c r="B265" s="1" t="n">
        <v>45936</v>
      </c>
      <c r="C265" s="1" t="n">
        <v>46204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38768-2025</t>
        </is>
      </c>
      <c r="B266" s="1" t="n">
        <v>45887</v>
      </c>
      <c r="C266" s="1" t="n">
        <v>46204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49205-2025</t>
        </is>
      </c>
      <c r="B267" s="1" t="n">
        <v>45938</v>
      </c>
      <c r="C267" s="1" t="n">
        <v>46204</v>
      </c>
      <c r="D267" t="inlineStr">
        <is>
          <t>DALARNAS LÄN</t>
        </is>
      </c>
      <c r="E267" t="inlineStr">
        <is>
          <t>SMEDJEBACKEN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24426-2023</t>
        </is>
      </c>
      <c r="B268" s="1" t="n">
        <v>45082</v>
      </c>
      <c r="C268" s="1" t="n">
        <v>46204</v>
      </c>
      <c r="D268" t="inlineStr">
        <is>
          <t>DALARNAS LÄN</t>
        </is>
      </c>
      <c r="E268" t="inlineStr">
        <is>
          <t>SMEDJEBACKEN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23645-2024</t>
        </is>
      </c>
      <c r="B269" s="1" t="n">
        <v>45454</v>
      </c>
      <c r="C269" s="1" t="n">
        <v>46204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13535-2026</t>
        </is>
      </c>
      <c r="B270" s="1" t="n">
        <v>46094</v>
      </c>
      <c r="C270" s="1" t="n">
        <v>46204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50680-2025</t>
        </is>
      </c>
      <c r="B271" s="1" t="n">
        <v>45945</v>
      </c>
      <c r="C271" s="1" t="n">
        <v>46204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50682-2025</t>
        </is>
      </c>
      <c r="B272" s="1" t="n">
        <v>45945</v>
      </c>
      <c r="C272" s="1" t="n">
        <v>46204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50668-2025</t>
        </is>
      </c>
      <c r="B273" s="1" t="n">
        <v>45945</v>
      </c>
      <c r="C273" s="1" t="n">
        <v>46204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51138-2025</t>
        </is>
      </c>
      <c r="B274" s="1" t="n">
        <v>45947</v>
      </c>
      <c r="C274" s="1" t="n">
        <v>46204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51151-2025</t>
        </is>
      </c>
      <c r="B275" s="1" t="n">
        <v>45947</v>
      </c>
      <c r="C275" s="1" t="n">
        <v>46204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51173-2025</t>
        </is>
      </c>
      <c r="B276" s="1" t="n">
        <v>45947</v>
      </c>
      <c r="C276" s="1" t="n">
        <v>46204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50779-2025</t>
        </is>
      </c>
      <c r="B277" s="1" t="n">
        <v>45946</v>
      </c>
      <c r="C277" s="1" t="n">
        <v>46204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51051-2025</t>
        </is>
      </c>
      <c r="B278" s="1" t="n">
        <v>45947</v>
      </c>
      <c r="C278" s="1" t="n">
        <v>46204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51063-2025</t>
        </is>
      </c>
      <c r="B279" s="1" t="n">
        <v>45947</v>
      </c>
      <c r="C279" s="1" t="n">
        <v>46204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51071-2025</t>
        </is>
      </c>
      <c r="B280" s="1" t="n">
        <v>45947</v>
      </c>
      <c r="C280" s="1" t="n">
        <v>46204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51053-2025</t>
        </is>
      </c>
      <c r="B281" s="1" t="n">
        <v>45947</v>
      </c>
      <c r="C281" s="1" t="n">
        <v>46204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51054-2025</t>
        </is>
      </c>
      <c r="B282" s="1" t="n">
        <v>45947</v>
      </c>
      <c r="C282" s="1" t="n">
        <v>46204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51444-2025</t>
        </is>
      </c>
      <c r="B283" s="1" t="n">
        <v>45950</v>
      </c>
      <c r="C283" s="1" t="n">
        <v>46204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16351-2025</t>
        </is>
      </c>
      <c r="B284" s="1" t="n">
        <v>45751</v>
      </c>
      <c r="C284" s="1" t="n">
        <v>46204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13851-2026</t>
        </is>
      </c>
      <c r="B285" s="1" t="n">
        <v>46098</v>
      </c>
      <c r="C285" s="1" t="n">
        <v>46204</v>
      </c>
      <c r="D285" t="inlineStr">
        <is>
          <t>DALARNAS LÄN</t>
        </is>
      </c>
      <c r="E285" t="inlineStr">
        <is>
          <t>SMEDJEBACKEN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13869-2026</t>
        </is>
      </c>
      <c r="B286" s="1" t="n">
        <v>46098</v>
      </c>
      <c r="C286" s="1" t="n">
        <v>46204</v>
      </c>
      <c r="D286" t="inlineStr">
        <is>
          <t>DALARNAS LÄN</t>
        </is>
      </c>
      <c r="E286" t="inlineStr">
        <is>
          <t>SMEDJEBACKEN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14011-2026</t>
        </is>
      </c>
      <c r="B287" s="1" t="n">
        <v>46098</v>
      </c>
      <c r="C287" s="1" t="n">
        <v>46204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51443-2025</t>
        </is>
      </c>
      <c r="B288" s="1" t="n">
        <v>45950</v>
      </c>
      <c r="C288" s="1" t="n">
        <v>46204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51456-2025</t>
        </is>
      </c>
      <c r="B289" s="1" t="n">
        <v>45950</v>
      </c>
      <c r="C289" s="1" t="n">
        <v>46204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51555-2025</t>
        </is>
      </c>
      <c r="B290" s="1" t="n">
        <v>45950</v>
      </c>
      <c r="C290" s="1" t="n">
        <v>46204</v>
      </c>
      <c r="D290" t="inlineStr">
        <is>
          <t>DALARNAS LÄN</t>
        </is>
      </c>
      <c r="E290" t="inlineStr">
        <is>
          <t>SMEDJEBACKEN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52713-2025</t>
        </is>
      </c>
      <c r="B291" s="1" t="n">
        <v>45953</v>
      </c>
      <c r="C291" s="1" t="n">
        <v>46204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29420-2023</t>
        </is>
      </c>
      <c r="B292" s="1" t="n">
        <v>45106</v>
      </c>
      <c r="C292" s="1" t="n">
        <v>46204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13956-2026</t>
        </is>
      </c>
      <c r="B293" s="1" t="n">
        <v>46098</v>
      </c>
      <c r="C293" s="1" t="n">
        <v>46204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28.8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52000-2025</t>
        </is>
      </c>
      <c r="B294" s="1" t="n">
        <v>45952</v>
      </c>
      <c r="C294" s="1" t="n">
        <v>46204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52004-2025</t>
        </is>
      </c>
      <c r="B295" s="1" t="n">
        <v>45952</v>
      </c>
      <c r="C295" s="1" t="n">
        <v>46204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52968-2025</t>
        </is>
      </c>
      <c r="B296" s="1" t="n">
        <v>45957</v>
      </c>
      <c r="C296" s="1" t="n">
        <v>46204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45214-2025</t>
        </is>
      </c>
      <c r="B297" s="1" t="n">
        <v>45919</v>
      </c>
      <c r="C297" s="1" t="n">
        <v>46204</v>
      </c>
      <c r="D297" t="inlineStr">
        <is>
          <t>DALARNAS LÄN</t>
        </is>
      </c>
      <c r="E297" t="inlineStr">
        <is>
          <t>SMEDJEBACKEN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14415-2026</t>
        </is>
      </c>
      <c r="B298" s="1" t="n">
        <v>46100</v>
      </c>
      <c r="C298" s="1" t="n">
        <v>46204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52610-2025</t>
        </is>
      </c>
      <c r="B299" s="1" t="n">
        <v>45954</v>
      </c>
      <c r="C299" s="1" t="n">
        <v>46204</v>
      </c>
      <c r="D299" t="inlineStr">
        <is>
          <t>DALARNAS LÄN</t>
        </is>
      </c>
      <c r="E299" t="inlineStr">
        <is>
          <t>SMEDJEBACKEN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14430-2026</t>
        </is>
      </c>
      <c r="B300" s="1" t="n">
        <v>46100</v>
      </c>
      <c r="C300" s="1" t="n">
        <v>46204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19469-2024</t>
        </is>
      </c>
      <c r="B301" s="1" t="n">
        <v>45429</v>
      </c>
      <c r="C301" s="1" t="n">
        <v>46204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14276-2026</t>
        </is>
      </c>
      <c r="B302" s="1" t="n">
        <v>46099</v>
      </c>
      <c r="C302" s="1" t="n">
        <v>46204</v>
      </c>
      <c r="D302" t="inlineStr">
        <is>
          <t>DALARNAS LÄN</t>
        </is>
      </c>
      <c r="E302" t="inlineStr">
        <is>
          <t>SMEDJEBACKEN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15557-2024</t>
        </is>
      </c>
      <c r="B303" s="1" t="n">
        <v>45401</v>
      </c>
      <c r="C303" s="1" t="n">
        <v>46204</v>
      </c>
      <c r="D303" t="inlineStr">
        <is>
          <t>DALARNAS LÄN</t>
        </is>
      </c>
      <c r="E303" t="inlineStr">
        <is>
          <t>SMEDJEBACKEN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53285-2025</t>
        </is>
      </c>
      <c r="B304" s="1" t="n">
        <v>45958</v>
      </c>
      <c r="C304" s="1" t="n">
        <v>46204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48057-2024</t>
        </is>
      </c>
      <c r="B305" s="1" t="n">
        <v>45589</v>
      </c>
      <c r="C305" s="1" t="n">
        <v>46204</v>
      </c>
      <c r="D305" t="inlineStr">
        <is>
          <t>DALARNAS LÄN</t>
        </is>
      </c>
      <c r="E305" t="inlineStr">
        <is>
          <t>SMEDJEBACKEN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23687-2023</t>
        </is>
      </c>
      <c r="B306" s="1" t="n">
        <v>45077</v>
      </c>
      <c r="C306" s="1" t="n">
        <v>46204</v>
      </c>
      <c r="D306" t="inlineStr">
        <is>
          <t>DALARNAS LÄN</t>
        </is>
      </c>
      <c r="E306" t="inlineStr">
        <is>
          <t>SMEDJEBACKEN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14605-2026</t>
        </is>
      </c>
      <c r="B307" s="1" t="n">
        <v>46101</v>
      </c>
      <c r="C307" s="1" t="n">
        <v>46204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14606-2026</t>
        </is>
      </c>
      <c r="B308" s="1" t="n">
        <v>46101</v>
      </c>
      <c r="C308" s="1" t="n">
        <v>46204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14601-2026</t>
        </is>
      </c>
      <c r="B309" s="1" t="n">
        <v>46101</v>
      </c>
      <c r="C309" s="1" t="n">
        <v>46204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14609-2026</t>
        </is>
      </c>
      <c r="B310" s="1" t="n">
        <v>46101</v>
      </c>
      <c r="C310" s="1" t="n">
        <v>46204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53769-2025</t>
        </is>
      </c>
      <c r="B311" s="1" t="n">
        <v>45960</v>
      </c>
      <c r="C311" s="1" t="n">
        <v>46204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38755-2025</t>
        </is>
      </c>
      <c r="B312" s="1" t="n">
        <v>45887</v>
      </c>
      <c r="C312" s="1" t="n">
        <v>46204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38750-2025</t>
        </is>
      </c>
      <c r="B313" s="1" t="n">
        <v>45887</v>
      </c>
      <c r="C313" s="1" t="n">
        <v>46204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15047-2026</t>
        </is>
      </c>
      <c r="B314" s="1" t="n">
        <v>46104</v>
      </c>
      <c r="C314" s="1" t="n">
        <v>46204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14613-2026</t>
        </is>
      </c>
      <c r="B315" s="1" t="n">
        <v>46101</v>
      </c>
      <c r="C315" s="1" t="n">
        <v>46204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54107-2025</t>
        </is>
      </c>
      <c r="B316" s="1" t="n">
        <v>45964</v>
      </c>
      <c r="C316" s="1" t="n">
        <v>46204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54083-2025</t>
        </is>
      </c>
      <c r="B317" s="1" t="n">
        <v>45964</v>
      </c>
      <c r="C317" s="1" t="n">
        <v>46204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54084-2025</t>
        </is>
      </c>
      <c r="B318" s="1" t="n">
        <v>45964</v>
      </c>
      <c r="C318" s="1" t="n">
        <v>46204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26998-2024</t>
        </is>
      </c>
      <c r="B319" s="1" t="n">
        <v>45471</v>
      </c>
      <c r="C319" s="1" t="n">
        <v>46204</v>
      </c>
      <c r="D319" t="inlineStr">
        <is>
          <t>DALARNAS LÄN</t>
        </is>
      </c>
      <c r="E319" t="inlineStr">
        <is>
          <t>SMEDJEBACKEN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14875-2025</t>
        </is>
      </c>
      <c r="B320" s="1" t="n">
        <v>45743</v>
      </c>
      <c r="C320" s="1" t="n">
        <v>46204</v>
      </c>
      <c r="D320" t="inlineStr">
        <is>
          <t>DALARNAS LÄN</t>
        </is>
      </c>
      <c r="E320" t="inlineStr">
        <is>
          <t>SMEDJEBACKEN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15049-2026</t>
        </is>
      </c>
      <c r="B321" s="1" t="n">
        <v>46104</v>
      </c>
      <c r="C321" s="1" t="n">
        <v>46204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14602-2026</t>
        </is>
      </c>
      <c r="B322" s="1" t="n">
        <v>46101</v>
      </c>
      <c r="C322" s="1" t="n">
        <v>46204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46754-2023</t>
        </is>
      </c>
      <c r="B323" s="1" t="n">
        <v>45198</v>
      </c>
      <c r="C323" s="1" t="n">
        <v>46204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36167-2025</t>
        </is>
      </c>
      <c r="B324" s="1" t="n">
        <v>45867</v>
      </c>
      <c r="C324" s="1" t="n">
        <v>46204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55364-2025</t>
        </is>
      </c>
      <c r="B325" s="1" t="n">
        <v>45971</v>
      </c>
      <c r="C325" s="1" t="n">
        <v>46204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34039-2023</t>
        </is>
      </c>
      <c r="B326" s="1" t="n">
        <v>45125</v>
      </c>
      <c r="C326" s="1" t="n">
        <v>46204</v>
      </c>
      <c r="D326" t="inlineStr">
        <is>
          <t>DALARNAS LÄN</t>
        </is>
      </c>
      <c r="E326" t="inlineStr">
        <is>
          <t>SMEDJEBACKEN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15350-2022</t>
        </is>
      </c>
      <c r="B327" s="1" t="n">
        <v>44659</v>
      </c>
      <c r="C327" s="1" t="n">
        <v>46204</v>
      </c>
      <c r="D327" t="inlineStr">
        <is>
          <t>DALARNAS LÄN</t>
        </is>
      </c>
      <c r="E327" t="inlineStr">
        <is>
          <t>SMEDJEBACKEN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17134-2024</t>
        </is>
      </c>
      <c r="B328" s="1" t="n">
        <v>45412</v>
      </c>
      <c r="C328" s="1" t="n">
        <v>46204</v>
      </c>
      <c r="D328" t="inlineStr">
        <is>
          <t>DALARNAS LÄN</t>
        </is>
      </c>
      <c r="E328" t="inlineStr">
        <is>
          <t>SMEDJEBACKEN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55680-2022</t>
        </is>
      </c>
      <c r="B329" s="1" t="n">
        <v>44883</v>
      </c>
      <c r="C329" s="1" t="n">
        <v>46204</v>
      </c>
      <c r="D329" t="inlineStr">
        <is>
          <t>DALARNAS LÄN</t>
        </is>
      </c>
      <c r="E329" t="inlineStr">
        <is>
          <t>SMEDJEBACKEN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42200-2024</t>
        </is>
      </c>
      <c r="B330" s="1" t="n">
        <v>45562</v>
      </c>
      <c r="C330" s="1" t="n">
        <v>46204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15622-2026</t>
        </is>
      </c>
      <c r="B331" s="1" t="n">
        <v>46106</v>
      </c>
      <c r="C331" s="1" t="n">
        <v>46204</v>
      </c>
      <c r="D331" t="inlineStr">
        <is>
          <t>DALARNAS LÄN</t>
        </is>
      </c>
      <c r="E331" t="inlineStr">
        <is>
          <t>SMEDJEBACKEN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32600-2023</t>
        </is>
      </c>
      <c r="B332" s="1" t="n">
        <v>45121</v>
      </c>
      <c r="C332" s="1" t="n">
        <v>46204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56029-2025</t>
        </is>
      </c>
      <c r="B333" s="1" t="n">
        <v>45973</v>
      </c>
      <c r="C333" s="1" t="n">
        <v>46204</v>
      </c>
      <c r="D333" t="inlineStr">
        <is>
          <t>DALARNAS LÄN</t>
        </is>
      </c>
      <c r="E333" t="inlineStr">
        <is>
          <t>SMEDJEBACKEN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56069-2025</t>
        </is>
      </c>
      <c r="B334" s="1" t="n">
        <v>45973</v>
      </c>
      <c r="C334" s="1" t="n">
        <v>46204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58422-2023</t>
        </is>
      </c>
      <c r="B335" s="1" t="n">
        <v>45246</v>
      </c>
      <c r="C335" s="1" t="n">
        <v>46204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5706-2026</t>
        </is>
      </c>
      <c r="B336" s="1" t="n">
        <v>46051</v>
      </c>
      <c r="C336" s="1" t="n">
        <v>46204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56674-2025</t>
        </is>
      </c>
      <c r="B337" s="1" t="n">
        <v>45975</v>
      </c>
      <c r="C337" s="1" t="n">
        <v>46204</v>
      </c>
      <c r="D337" t="inlineStr">
        <is>
          <t>DALARNAS LÄN</t>
        </is>
      </c>
      <c r="E337" t="inlineStr">
        <is>
          <t>SMEDJEBACKEN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57151-2022</t>
        </is>
      </c>
      <c r="B338" s="1" t="n">
        <v>44895</v>
      </c>
      <c r="C338" s="1" t="n">
        <v>46204</v>
      </c>
      <c r="D338" t="inlineStr">
        <is>
          <t>DALARNAS LÄN</t>
        </is>
      </c>
      <c r="E338" t="inlineStr">
        <is>
          <t>SMEDJEBACKEN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57408-2025</t>
        </is>
      </c>
      <c r="B339" s="1" t="n">
        <v>45980</v>
      </c>
      <c r="C339" s="1" t="n">
        <v>46204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57416-2025</t>
        </is>
      </c>
      <c r="B340" s="1" t="n">
        <v>45980</v>
      </c>
      <c r="C340" s="1" t="n">
        <v>46204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57660-2025</t>
        </is>
      </c>
      <c r="B341" s="1" t="n">
        <v>45981</v>
      </c>
      <c r="C341" s="1" t="n">
        <v>46204</v>
      </c>
      <c r="D341" t="inlineStr">
        <is>
          <t>DALARNAS LÄN</t>
        </is>
      </c>
      <c r="E341" t="inlineStr">
        <is>
          <t>SMEDJEBACKEN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39085-2021</t>
        </is>
      </c>
      <c r="B342" s="1" t="n">
        <v>44412</v>
      </c>
      <c r="C342" s="1" t="n">
        <v>46204</v>
      </c>
      <c r="D342" t="inlineStr">
        <is>
          <t>DALARNAS LÄN</t>
        </is>
      </c>
      <c r="E342" t="inlineStr">
        <is>
          <t>SMEDJEBACKEN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28760-2024</t>
        </is>
      </c>
      <c r="B343" s="1" t="n">
        <v>45478</v>
      </c>
      <c r="C343" s="1" t="n">
        <v>46204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57409-2025</t>
        </is>
      </c>
      <c r="B344" s="1" t="n">
        <v>45980</v>
      </c>
      <c r="C344" s="1" t="n">
        <v>46204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49535-2024</t>
        </is>
      </c>
      <c r="B345" s="1" t="n">
        <v>45596</v>
      </c>
      <c r="C345" s="1" t="n">
        <v>46204</v>
      </c>
      <c r="D345" t="inlineStr">
        <is>
          <t>DALARNAS LÄN</t>
        </is>
      </c>
      <c r="E345" t="inlineStr">
        <is>
          <t>SMEDJEBACKEN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58280-2025</t>
        </is>
      </c>
      <c r="B346" s="1" t="n">
        <v>45985</v>
      </c>
      <c r="C346" s="1" t="n">
        <v>46204</v>
      </c>
      <c r="D346" t="inlineStr">
        <is>
          <t>DALARNAS LÄN</t>
        </is>
      </c>
      <c r="E346" t="inlineStr">
        <is>
          <t>SMEDJEBACKEN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23684-2025</t>
        </is>
      </c>
      <c r="B347" s="1" t="n">
        <v>45793</v>
      </c>
      <c r="C347" s="1" t="n">
        <v>46204</v>
      </c>
      <c r="D347" t="inlineStr">
        <is>
          <t>DALARNAS LÄN</t>
        </is>
      </c>
      <c r="E347" t="inlineStr">
        <is>
          <t>SMEDJEBACKEN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55650-2021</t>
        </is>
      </c>
      <c r="B348" s="1" t="n">
        <v>44475</v>
      </c>
      <c r="C348" s="1" t="n">
        <v>46204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57629-2022</t>
        </is>
      </c>
      <c r="B349" s="1" t="n">
        <v>44897</v>
      </c>
      <c r="C349" s="1" t="n">
        <v>46204</v>
      </c>
      <c r="D349" t="inlineStr">
        <is>
          <t>DALARNAS LÄN</t>
        </is>
      </c>
      <c r="E349" t="inlineStr">
        <is>
          <t>SMEDJEBACKEN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57390-2022</t>
        </is>
      </c>
      <c r="B350" s="1" t="n">
        <v>44896</v>
      </c>
      <c r="C350" s="1" t="n">
        <v>46204</v>
      </c>
      <c r="D350" t="inlineStr">
        <is>
          <t>DALARNAS LÄN</t>
        </is>
      </c>
      <c r="E350" t="inlineStr">
        <is>
          <t>SMEDJEBACKEN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25118-2024</t>
        </is>
      </c>
      <c r="B351" s="1" t="n">
        <v>45462</v>
      </c>
      <c r="C351" s="1" t="n">
        <v>46204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25126-2024</t>
        </is>
      </c>
      <c r="B352" s="1" t="n">
        <v>45462</v>
      </c>
      <c r="C352" s="1" t="n">
        <v>46204</v>
      </c>
      <c r="D352" t="inlineStr">
        <is>
          <t>DALARNAS LÄN</t>
        </is>
      </c>
      <c r="E352" t="inlineStr">
        <is>
          <t>SMEDJEBACKEN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32016-2022</t>
        </is>
      </c>
      <c r="B353" s="1" t="n">
        <v>44778</v>
      </c>
      <c r="C353" s="1" t="n">
        <v>46204</v>
      </c>
      <c r="D353" t="inlineStr">
        <is>
          <t>DALARNAS LÄN</t>
        </is>
      </c>
      <c r="E353" t="inlineStr">
        <is>
          <t>SMEDJEBACKEN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56393-2024</t>
        </is>
      </c>
      <c r="B354" s="1" t="n">
        <v>45625</v>
      </c>
      <c r="C354" s="1" t="n">
        <v>46204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16881-2026</t>
        </is>
      </c>
      <c r="B355" s="1" t="n">
        <v>46113</v>
      </c>
      <c r="C355" s="1" t="n">
        <v>46204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16826-2026</t>
        </is>
      </c>
      <c r="B356" s="1" t="n">
        <v>46113</v>
      </c>
      <c r="C356" s="1" t="n">
        <v>46204</v>
      </c>
      <c r="D356" t="inlineStr">
        <is>
          <t>DALARNAS LÄN</t>
        </is>
      </c>
      <c r="E356" t="inlineStr">
        <is>
          <t>SMEDJEBACKEN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60528-2025</t>
        </is>
      </c>
      <c r="B357" s="1" t="n">
        <v>45995</v>
      </c>
      <c r="C357" s="1" t="n">
        <v>46204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16155-2022</t>
        </is>
      </c>
      <c r="B358" s="1" t="n">
        <v>44666</v>
      </c>
      <c r="C358" s="1" t="n">
        <v>46204</v>
      </c>
      <c r="D358" t="inlineStr">
        <is>
          <t>DALARNAS LÄN</t>
        </is>
      </c>
      <c r="E358" t="inlineStr">
        <is>
          <t>SMEDJEBACKEN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17335-2026</t>
        </is>
      </c>
      <c r="B359" s="1" t="n">
        <v>46119</v>
      </c>
      <c r="C359" s="1" t="n">
        <v>46204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29449-2023</t>
        </is>
      </c>
      <c r="B360" s="1" t="n">
        <v>45106</v>
      </c>
      <c r="C360" s="1" t="n">
        <v>46204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17337-2026</t>
        </is>
      </c>
      <c r="B361" s="1" t="n">
        <v>46119</v>
      </c>
      <c r="C361" s="1" t="n">
        <v>46204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19179-2024</t>
        </is>
      </c>
      <c r="B362" s="1" t="n">
        <v>45428</v>
      </c>
      <c r="C362" s="1" t="n">
        <v>46204</v>
      </c>
      <c r="D362" t="inlineStr">
        <is>
          <t>DALARNAS LÄN</t>
        </is>
      </c>
      <c r="E362" t="inlineStr">
        <is>
          <t>SMEDJEBACKEN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23374-2026</t>
        </is>
      </c>
      <c r="B363" s="1" t="n">
        <v>46162</v>
      </c>
      <c r="C363" s="1" t="n">
        <v>46204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45478-2022</t>
        </is>
      </c>
      <c r="B364" s="1" t="n">
        <v>44845</v>
      </c>
      <c r="C364" s="1" t="n">
        <v>46204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23372-2026</t>
        </is>
      </c>
      <c r="B365" s="1" t="n">
        <v>46162</v>
      </c>
      <c r="C365" s="1" t="n">
        <v>46204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18908-2024</t>
        </is>
      </c>
      <c r="B366" s="1" t="n">
        <v>45427</v>
      </c>
      <c r="C366" s="1" t="n">
        <v>46204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17831-2026</t>
        </is>
      </c>
      <c r="B367" s="1" t="n">
        <v>46122</v>
      </c>
      <c r="C367" s="1" t="n">
        <v>46204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17832-2026</t>
        </is>
      </c>
      <c r="B368" s="1" t="n">
        <v>46122</v>
      </c>
      <c r="C368" s="1" t="n">
        <v>46204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62110-2025</t>
        </is>
      </c>
      <c r="B369" s="1" t="n">
        <v>46006</v>
      </c>
      <c r="C369" s="1" t="n">
        <v>46204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63082-2025</t>
        </is>
      </c>
      <c r="B370" s="1" t="n">
        <v>46009</v>
      </c>
      <c r="C370" s="1" t="n">
        <v>46204</v>
      </c>
      <c r="D370" t="inlineStr">
        <is>
          <t>DALARNAS LÄN</t>
        </is>
      </c>
      <c r="E370" t="inlineStr">
        <is>
          <t>SMEDJEBACKEN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62693-2025</t>
        </is>
      </c>
      <c r="B371" s="1" t="n">
        <v>46008</v>
      </c>
      <c r="C371" s="1" t="n">
        <v>46204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62713-2025</t>
        </is>
      </c>
      <c r="B372" s="1" t="n">
        <v>46008</v>
      </c>
      <c r="C372" s="1" t="n">
        <v>46204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62875-2025</t>
        </is>
      </c>
      <c r="B373" s="1" t="n">
        <v>46008</v>
      </c>
      <c r="C373" s="1" t="n">
        <v>46204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18419-2022</t>
        </is>
      </c>
      <c r="B374" s="1" t="n">
        <v>44686</v>
      </c>
      <c r="C374" s="1" t="n">
        <v>46204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62380-2021</t>
        </is>
      </c>
      <c r="B375" s="1" t="n">
        <v>44503</v>
      </c>
      <c r="C375" s="1" t="n">
        <v>46204</v>
      </c>
      <c r="D375" t="inlineStr">
        <is>
          <t>DALARNAS LÄN</t>
        </is>
      </c>
      <c r="E375" t="inlineStr">
        <is>
          <t>SMEDJEBACKEN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63058-2025</t>
        </is>
      </c>
      <c r="B376" s="1" t="n">
        <v>46009</v>
      </c>
      <c r="C376" s="1" t="n">
        <v>46204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23676-2026</t>
        </is>
      </c>
      <c r="B377" s="1" t="n">
        <v>46163</v>
      </c>
      <c r="C377" s="1" t="n">
        <v>46204</v>
      </c>
      <c r="D377" t="inlineStr">
        <is>
          <t>DALARNAS LÄN</t>
        </is>
      </c>
      <c r="E377" t="inlineStr">
        <is>
          <t>SMEDJEBACKEN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17869-2026</t>
        </is>
      </c>
      <c r="B378" s="1" t="n">
        <v>46122</v>
      </c>
      <c r="C378" s="1" t="n">
        <v>46204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63234-2025</t>
        </is>
      </c>
      <c r="B379" s="1" t="n">
        <v>46010</v>
      </c>
      <c r="C379" s="1" t="n">
        <v>46204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63347-2025</t>
        </is>
      </c>
      <c r="B380" s="1" t="n">
        <v>46010</v>
      </c>
      <c r="C380" s="1" t="n">
        <v>46204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48530-2023</t>
        </is>
      </c>
      <c r="B381" s="1" t="n">
        <v>45208</v>
      </c>
      <c r="C381" s="1" t="n">
        <v>46204</v>
      </c>
      <c r="D381" t="inlineStr">
        <is>
          <t>DALARNAS LÄN</t>
        </is>
      </c>
      <c r="E381" t="inlineStr">
        <is>
          <t>SMEDJEBACKEN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17846-2026</t>
        </is>
      </c>
      <c r="B382" s="1" t="n">
        <v>46122</v>
      </c>
      <c r="C382" s="1" t="n">
        <v>46204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6722-2023</t>
        </is>
      </c>
      <c r="B383" s="1" t="n">
        <v>44966</v>
      </c>
      <c r="C383" s="1" t="n">
        <v>46204</v>
      </c>
      <c r="D383" t="inlineStr">
        <is>
          <t>DALARNAS LÄN</t>
        </is>
      </c>
      <c r="E383" t="inlineStr">
        <is>
          <t>SMEDJEBACKEN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52780-2023</t>
        </is>
      </c>
      <c r="B384" s="1" t="n">
        <v>45226</v>
      </c>
      <c r="C384" s="1" t="n">
        <v>46204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60421-2021</t>
        </is>
      </c>
      <c r="B385" s="1" t="n">
        <v>44496</v>
      </c>
      <c r="C385" s="1" t="n">
        <v>46204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63753-2025</t>
        </is>
      </c>
      <c r="B386" s="1" t="n">
        <v>46017</v>
      </c>
      <c r="C386" s="1" t="n">
        <v>46204</v>
      </c>
      <c r="D386" t="inlineStr">
        <is>
          <t>DALARNAS LÄN</t>
        </is>
      </c>
      <c r="E386" t="inlineStr">
        <is>
          <t>SMEDJEBACKEN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34673-2023</t>
        </is>
      </c>
      <c r="B387" s="1" t="n">
        <v>45140</v>
      </c>
      <c r="C387" s="1" t="n">
        <v>46204</v>
      </c>
      <c r="D387" t="inlineStr">
        <is>
          <t>DALARNAS LÄN</t>
        </is>
      </c>
      <c r="E387" t="inlineStr">
        <is>
          <t>SMEDJEBACKEN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23672-2026</t>
        </is>
      </c>
      <c r="B388" s="1" t="n">
        <v>46163</v>
      </c>
      <c r="C388" s="1" t="n">
        <v>46204</v>
      </c>
      <c r="D388" t="inlineStr">
        <is>
          <t>DALARNAS LÄN</t>
        </is>
      </c>
      <c r="E388" t="inlineStr">
        <is>
          <t>SMEDJEBACKEN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49447-2025</t>
        </is>
      </c>
      <c r="B389" s="1" t="n">
        <v>45938</v>
      </c>
      <c r="C389" s="1" t="n">
        <v>46204</v>
      </c>
      <c r="D389" t="inlineStr">
        <is>
          <t>DALARNAS LÄN</t>
        </is>
      </c>
      <c r="E389" t="inlineStr">
        <is>
          <t>SMEDJEBACKEN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48964-2025</t>
        </is>
      </c>
      <c r="B390" s="1" t="n">
        <v>45937</v>
      </c>
      <c r="C390" s="1" t="n">
        <v>46204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17868-2026</t>
        </is>
      </c>
      <c r="B391" s="1" t="n">
        <v>46122</v>
      </c>
      <c r="C391" s="1" t="n">
        <v>46204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355-2026</t>
        </is>
      </c>
      <c r="B392" s="1" t="n">
        <v>46027</v>
      </c>
      <c r="C392" s="1" t="n">
        <v>46204</v>
      </c>
      <c r="D392" t="inlineStr">
        <is>
          <t>DALARNAS LÄN</t>
        </is>
      </c>
      <c r="E392" t="inlineStr">
        <is>
          <t>SMEDJEBACKEN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18093-2026</t>
        </is>
      </c>
      <c r="B393" s="1" t="n">
        <v>46125</v>
      </c>
      <c r="C393" s="1" t="n">
        <v>46204</v>
      </c>
      <c r="D393" t="inlineStr">
        <is>
          <t>DALARNAS LÄN</t>
        </is>
      </c>
      <c r="E393" t="inlineStr">
        <is>
          <t>SMEDJEBACKEN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16395-2025</t>
        </is>
      </c>
      <c r="B394" s="1" t="n">
        <v>45751</v>
      </c>
      <c r="C394" s="1" t="n">
        <v>46204</v>
      </c>
      <c r="D394" t="inlineStr">
        <is>
          <t>DALARNAS LÄN</t>
        </is>
      </c>
      <c r="E394" t="inlineStr">
        <is>
          <t>SMEDJEBACKEN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24206-2026</t>
        </is>
      </c>
      <c r="B395" s="1" t="n">
        <v>46168</v>
      </c>
      <c r="C395" s="1" t="n">
        <v>46204</v>
      </c>
      <c r="D395" t="inlineStr">
        <is>
          <t>DALARNAS LÄN</t>
        </is>
      </c>
      <c r="E395" t="inlineStr">
        <is>
          <t>SMEDJEBACKEN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24208-2026</t>
        </is>
      </c>
      <c r="B396" s="1" t="n">
        <v>46168</v>
      </c>
      <c r="C396" s="1" t="n">
        <v>46204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6464-2024</t>
        </is>
      </c>
      <c r="B397" s="1" t="n">
        <v>45338</v>
      </c>
      <c r="C397" s="1" t="n">
        <v>46204</v>
      </c>
      <c r="D397" t="inlineStr">
        <is>
          <t>DALARNAS LÄN</t>
        </is>
      </c>
      <c r="E397" t="inlineStr">
        <is>
          <t>SMEDJEBACKEN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18265-2026</t>
        </is>
      </c>
      <c r="B398" s="1" t="n">
        <v>46126</v>
      </c>
      <c r="C398" s="1" t="n">
        <v>46204</v>
      </c>
      <c r="D398" t="inlineStr">
        <is>
          <t>DALARNAS LÄN</t>
        </is>
      </c>
      <c r="E398" t="inlineStr">
        <is>
          <t>SMEDJEBACKEN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23677-2026</t>
        </is>
      </c>
      <c r="B399" s="1" t="n">
        <v>46163</v>
      </c>
      <c r="C399" s="1" t="n">
        <v>46204</v>
      </c>
      <c r="D399" t="inlineStr">
        <is>
          <t>DALARNAS LÄN</t>
        </is>
      </c>
      <c r="E399" t="inlineStr">
        <is>
          <t>SMEDJEBACKEN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18119-2026</t>
        </is>
      </c>
      <c r="B400" s="1" t="n">
        <v>46125</v>
      </c>
      <c r="C400" s="1" t="n">
        <v>46204</v>
      </c>
      <c r="D400" t="inlineStr">
        <is>
          <t>DALARNAS LÄN</t>
        </is>
      </c>
      <c r="E400" t="inlineStr">
        <is>
          <t>SMEDJEBACKEN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24229-2026</t>
        </is>
      </c>
      <c r="B401" s="1" t="n">
        <v>46168</v>
      </c>
      <c r="C401" s="1" t="n">
        <v>46204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18294-2023</t>
        </is>
      </c>
      <c r="B402" s="1" t="n">
        <v>45041</v>
      </c>
      <c r="C402" s="1" t="n">
        <v>46204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42418-2021</t>
        </is>
      </c>
      <c r="B403" s="1" t="n">
        <v>44427</v>
      </c>
      <c r="C403" s="1" t="n">
        <v>46204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2765-2026</t>
        </is>
      </c>
      <c r="B404" s="1" t="n">
        <v>46038</v>
      </c>
      <c r="C404" s="1" t="n">
        <v>46204</v>
      </c>
      <c r="D404" t="inlineStr">
        <is>
          <t>DALARNAS LÄN</t>
        </is>
      </c>
      <c r="E404" t="inlineStr">
        <is>
          <t>SMEDJEBACKEN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40644-2022</t>
        </is>
      </c>
      <c r="B405" s="1" t="n">
        <v>44824</v>
      </c>
      <c r="C405" s="1" t="n">
        <v>46204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18.7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18877-2026</t>
        </is>
      </c>
      <c r="B406" s="1" t="n">
        <v>46129</v>
      </c>
      <c r="C406" s="1" t="n">
        <v>46204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4466-2026</t>
        </is>
      </c>
      <c r="B407" s="1" t="n">
        <v>46045</v>
      </c>
      <c r="C407" s="1" t="n">
        <v>46204</v>
      </c>
      <c r="D407" t="inlineStr">
        <is>
          <t>DALARNAS LÄN</t>
        </is>
      </c>
      <c r="E407" t="inlineStr">
        <is>
          <t>SMEDJEBACKEN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31326-2022</t>
        </is>
      </c>
      <c r="B408" s="1" t="n">
        <v>44774</v>
      </c>
      <c r="C408" s="1" t="n">
        <v>46204</v>
      </c>
      <c r="D408" t="inlineStr">
        <is>
          <t>DALARNAS LÄN</t>
        </is>
      </c>
      <c r="E408" t="inlineStr">
        <is>
          <t>SMEDJEBACKEN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18590-2026</t>
        </is>
      </c>
      <c r="B409" s="1" t="n">
        <v>46127</v>
      </c>
      <c r="C409" s="1" t="n">
        <v>46204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18591-2026</t>
        </is>
      </c>
      <c r="B410" s="1" t="n">
        <v>46127</v>
      </c>
      <c r="C410" s="1" t="n">
        <v>46204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17472-2023</t>
        </is>
      </c>
      <c r="B411" s="1" t="n">
        <v>45034</v>
      </c>
      <c r="C411" s="1" t="n">
        <v>46204</v>
      </c>
      <c r="D411" t="inlineStr">
        <is>
          <t>DALARNAS LÄN</t>
        </is>
      </c>
      <c r="E411" t="inlineStr">
        <is>
          <t>SMEDJEBACKEN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5701-2026</t>
        </is>
      </c>
      <c r="B412" s="1" t="n">
        <v>46051</v>
      </c>
      <c r="C412" s="1" t="n">
        <v>46204</v>
      </c>
      <c r="D412" t="inlineStr">
        <is>
          <t>DALARNAS LÄN</t>
        </is>
      </c>
      <c r="E412" t="inlineStr">
        <is>
          <t>SMEDJEBACKEN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43351-2022</t>
        </is>
      </c>
      <c r="B413" s="1" t="n">
        <v>44834</v>
      </c>
      <c r="C413" s="1" t="n">
        <v>46204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24902-2026</t>
        </is>
      </c>
      <c r="B414" s="1" t="n">
        <v>46174</v>
      </c>
      <c r="C414" s="1" t="n">
        <v>46204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7020-2026</t>
        </is>
      </c>
      <c r="B415" s="1" t="n">
        <v>46057</v>
      </c>
      <c r="C415" s="1" t="n">
        <v>46204</v>
      </c>
      <c r="D415" t="inlineStr">
        <is>
          <t>DALARNAS LÄN</t>
        </is>
      </c>
      <c r="E415" t="inlineStr">
        <is>
          <t>SMEDJEBACKEN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24946-2026</t>
        </is>
      </c>
      <c r="B416" s="1" t="n">
        <v>46174</v>
      </c>
      <c r="C416" s="1" t="n">
        <v>46204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36231-2022</t>
        </is>
      </c>
      <c r="B417" s="1" t="n">
        <v>44803</v>
      </c>
      <c r="C417" s="1" t="n">
        <v>46204</v>
      </c>
      <c r="D417" t="inlineStr">
        <is>
          <t>DALARNAS LÄN</t>
        </is>
      </c>
      <c r="E417" t="inlineStr">
        <is>
          <t>SMEDJEBACKEN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48634-2024</t>
        </is>
      </c>
      <c r="B418" s="1" t="n">
        <v>45593</v>
      </c>
      <c r="C418" s="1" t="n">
        <v>46204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19469-2026</t>
        </is>
      </c>
      <c r="B419" s="1" t="n">
        <v>46130</v>
      </c>
      <c r="C419" s="1" t="n">
        <v>46204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55717-2022</t>
        </is>
      </c>
      <c r="B420" s="1" t="n">
        <v>44888</v>
      </c>
      <c r="C420" s="1" t="n">
        <v>46204</v>
      </c>
      <c r="D420" t="inlineStr">
        <is>
          <t>DALARNAS LÄN</t>
        </is>
      </c>
      <c r="E420" t="inlineStr">
        <is>
          <t>SMEDJEBACKEN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24908-2026</t>
        </is>
      </c>
      <c r="B421" s="1" t="n">
        <v>46174</v>
      </c>
      <c r="C421" s="1" t="n">
        <v>46204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24905-2026</t>
        </is>
      </c>
      <c r="B422" s="1" t="n">
        <v>46174</v>
      </c>
      <c r="C422" s="1" t="n">
        <v>46204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25065-2026</t>
        </is>
      </c>
      <c r="B423" s="1" t="n">
        <v>46171</v>
      </c>
      <c r="C423" s="1" t="n">
        <v>46204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24872-2026</t>
        </is>
      </c>
      <c r="B424" s="1" t="n">
        <v>46174</v>
      </c>
      <c r="C424" s="1" t="n">
        <v>46204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24906-2026</t>
        </is>
      </c>
      <c r="B425" s="1" t="n">
        <v>46174</v>
      </c>
      <c r="C425" s="1" t="n">
        <v>46204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25296-2026</t>
        </is>
      </c>
      <c r="B426" s="1" t="n">
        <v>46176</v>
      </c>
      <c r="C426" s="1" t="n">
        <v>46204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45091-2022</t>
        </is>
      </c>
      <c r="B427" s="1" t="n">
        <v>44842</v>
      </c>
      <c r="C427" s="1" t="n">
        <v>46204</v>
      </c>
      <c r="D427" t="inlineStr">
        <is>
          <t>DALARNAS LÄN</t>
        </is>
      </c>
      <c r="E427" t="inlineStr">
        <is>
          <t>SMEDJEBACKEN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25322-2026</t>
        </is>
      </c>
      <c r="B428" s="1" t="n">
        <v>46176</v>
      </c>
      <c r="C428" s="1" t="n">
        <v>46204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17834-2023</t>
        </is>
      </c>
      <c r="B429" s="1" t="n">
        <v>45037</v>
      </c>
      <c r="C429" s="1" t="n">
        <v>46204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25291-2026</t>
        </is>
      </c>
      <c r="B430" s="1" t="n">
        <v>46176</v>
      </c>
      <c r="C430" s="1" t="n">
        <v>46204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25294-2026</t>
        </is>
      </c>
      <c r="B431" s="1" t="n">
        <v>46176</v>
      </c>
      <c r="C431" s="1" t="n">
        <v>46204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25074-2026</t>
        </is>
      </c>
      <c r="B432" s="1" t="n">
        <v>46171</v>
      </c>
      <c r="C432" s="1" t="n">
        <v>46204</v>
      </c>
      <c r="D432" t="inlineStr">
        <is>
          <t>DALARNAS LÄN</t>
        </is>
      </c>
      <c r="E432" t="inlineStr">
        <is>
          <t>SMEDJEBACKEN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37408-2024</t>
        </is>
      </c>
      <c r="B433" s="1" t="n">
        <v>45540</v>
      </c>
      <c r="C433" s="1" t="n">
        <v>46204</v>
      </c>
      <c r="D433" t="inlineStr">
        <is>
          <t>DALARNAS LÄN</t>
        </is>
      </c>
      <c r="E433" t="inlineStr">
        <is>
          <t>SMEDJEBACKEN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44034-2023</t>
        </is>
      </c>
      <c r="B434" s="1" t="n">
        <v>45188</v>
      </c>
      <c r="C434" s="1" t="n">
        <v>46204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19498-2026</t>
        </is>
      </c>
      <c r="B435" s="1" t="n">
        <v>46134</v>
      </c>
      <c r="C435" s="1" t="n">
        <v>46204</v>
      </c>
      <c r="D435" t="inlineStr">
        <is>
          <t>DALARNAS LÄN</t>
        </is>
      </c>
      <c r="E435" t="inlineStr">
        <is>
          <t>SMEDJEBACKEN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26899-2024</t>
        </is>
      </c>
      <c r="B436" s="1" t="n">
        <v>45470</v>
      </c>
      <c r="C436" s="1" t="n">
        <v>46204</v>
      </c>
      <c r="D436" t="inlineStr">
        <is>
          <t>DALARNAS LÄN</t>
        </is>
      </c>
      <c r="E436" t="inlineStr">
        <is>
          <t>SMEDJEBACKEN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25289-2026</t>
        </is>
      </c>
      <c r="B437" s="1" t="n">
        <v>46176</v>
      </c>
      <c r="C437" s="1" t="n">
        <v>46204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25290-2026</t>
        </is>
      </c>
      <c r="B438" s="1" t="n">
        <v>46176</v>
      </c>
      <c r="C438" s="1" t="n">
        <v>46204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38746-2023</t>
        </is>
      </c>
      <c r="B439" s="1" t="n">
        <v>45163</v>
      </c>
      <c r="C439" s="1" t="n">
        <v>46204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17418-2025</t>
        </is>
      </c>
      <c r="B440" s="1" t="n">
        <v>45757</v>
      </c>
      <c r="C440" s="1" t="n">
        <v>46204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15786-2023</t>
        </is>
      </c>
      <c r="B441" s="1" t="n">
        <v>45021</v>
      </c>
      <c r="C441" s="1" t="n">
        <v>46204</v>
      </c>
      <c r="D441" t="inlineStr">
        <is>
          <t>DALARNAS LÄN</t>
        </is>
      </c>
      <c r="E441" t="inlineStr">
        <is>
          <t>SMEDJEBACKEN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25728-2026</t>
        </is>
      </c>
      <c r="B442" s="1" t="n">
        <v>46178</v>
      </c>
      <c r="C442" s="1" t="n">
        <v>46204</v>
      </c>
      <c r="D442" t="inlineStr">
        <is>
          <t>DALARNAS LÄN</t>
        </is>
      </c>
      <c r="E442" t="inlineStr">
        <is>
          <t>SMEDJEBACKEN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29530-2024</t>
        </is>
      </c>
      <c r="B443" s="1" t="n">
        <v>45484</v>
      </c>
      <c r="C443" s="1" t="n">
        <v>46204</v>
      </c>
      <c r="D443" t="inlineStr">
        <is>
          <t>DALARNAS LÄN</t>
        </is>
      </c>
      <c r="E443" t="inlineStr">
        <is>
          <t>SMEDJEBACKEN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14462-2023</t>
        </is>
      </c>
      <c r="B444" s="1" t="n">
        <v>45012</v>
      </c>
      <c r="C444" s="1" t="n">
        <v>46204</v>
      </c>
      <c r="D444" t="inlineStr">
        <is>
          <t>DALARNAS LÄN</t>
        </is>
      </c>
      <c r="E444" t="inlineStr">
        <is>
          <t>SMEDJEBACKEN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19258-2024</t>
        </is>
      </c>
      <c r="B445" s="1" t="n">
        <v>45428</v>
      </c>
      <c r="C445" s="1" t="n">
        <v>46204</v>
      </c>
      <c r="D445" t="inlineStr">
        <is>
          <t>DALARNAS LÄN</t>
        </is>
      </c>
      <c r="E445" t="inlineStr">
        <is>
          <t>SMEDJEBACKEN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28283-2025</t>
        </is>
      </c>
      <c r="B446" s="1" t="n">
        <v>45818</v>
      </c>
      <c r="C446" s="1" t="n">
        <v>46204</v>
      </c>
      <c r="D446" t="inlineStr">
        <is>
          <t>DALARNAS LÄN</t>
        </is>
      </c>
      <c r="E446" t="inlineStr">
        <is>
          <t>SMEDJEBACKEN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12027-2023</t>
        </is>
      </c>
      <c r="B447" s="1" t="n">
        <v>44995</v>
      </c>
      <c r="C447" s="1" t="n">
        <v>46204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18538-2026</t>
        </is>
      </c>
      <c r="B448" s="1" t="n">
        <v>46127</v>
      </c>
      <c r="C448" s="1" t="n">
        <v>46204</v>
      </c>
      <c r="D448" t="inlineStr">
        <is>
          <t>DALARNAS LÄN</t>
        </is>
      </c>
      <c r="E448" t="inlineStr">
        <is>
          <t>SMEDJEBACKEN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45683-2024</t>
        </is>
      </c>
      <c r="B449" s="1" t="n">
        <v>45579</v>
      </c>
      <c r="C449" s="1" t="n">
        <v>46204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16597-2024</t>
        </is>
      </c>
      <c r="B450" s="1" t="n">
        <v>45408</v>
      </c>
      <c r="C450" s="1" t="n">
        <v>46204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19955-2026</t>
        </is>
      </c>
      <c r="B451" s="1" t="n">
        <v>46136</v>
      </c>
      <c r="C451" s="1" t="n">
        <v>46204</v>
      </c>
      <c r="D451" t="inlineStr">
        <is>
          <t>DALARNAS LÄN</t>
        </is>
      </c>
      <c r="E451" t="inlineStr">
        <is>
          <t>SMEDJEBACKEN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4155-2023</t>
        </is>
      </c>
      <c r="B452" s="1" t="n">
        <v>44950</v>
      </c>
      <c r="C452" s="1" t="n">
        <v>46204</v>
      </c>
      <c r="D452" t="inlineStr">
        <is>
          <t>DALARNAS LÄN</t>
        </is>
      </c>
      <c r="E452" t="inlineStr">
        <is>
          <t>SMEDJEBACKEN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29120-2024</t>
        </is>
      </c>
      <c r="B453" s="1" t="n">
        <v>45481</v>
      </c>
      <c r="C453" s="1" t="n">
        <v>46204</v>
      </c>
      <c r="D453" t="inlineStr">
        <is>
          <t>DALARNAS LÄN</t>
        </is>
      </c>
      <c r="E453" t="inlineStr">
        <is>
          <t>SMEDJEBACKEN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25858-2026</t>
        </is>
      </c>
      <c r="B454" s="1" t="n">
        <v>46176</v>
      </c>
      <c r="C454" s="1" t="n">
        <v>46204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40870-2023</t>
        </is>
      </c>
      <c r="B455" s="1" t="n">
        <v>45173</v>
      </c>
      <c r="C455" s="1" t="n">
        <v>46204</v>
      </c>
      <c r="D455" t="inlineStr">
        <is>
          <t>DALARNAS LÄN</t>
        </is>
      </c>
      <c r="E455" t="inlineStr">
        <is>
          <t>SMEDJEBACKEN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58731-2025</t>
        </is>
      </c>
      <c r="B456" s="1" t="n">
        <v>45986</v>
      </c>
      <c r="C456" s="1" t="n">
        <v>46204</v>
      </c>
      <c r="D456" t="inlineStr">
        <is>
          <t>DALARNAS LÄN</t>
        </is>
      </c>
      <c r="E456" t="inlineStr">
        <is>
          <t>SMEDJEBACKEN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27070-2022</t>
        </is>
      </c>
      <c r="B457" s="1" t="n">
        <v>44741</v>
      </c>
      <c r="C457" s="1" t="n">
        <v>46204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20707-2026</t>
        </is>
      </c>
      <c r="B458" s="1" t="n">
        <v>46141</v>
      </c>
      <c r="C458" s="1" t="n">
        <v>46204</v>
      </c>
      <c r="D458" t="inlineStr">
        <is>
          <t>DALARNAS LÄN</t>
        </is>
      </c>
      <c r="E458" t="inlineStr">
        <is>
          <t>SMEDJEBACKEN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20718-2026</t>
        </is>
      </c>
      <c r="B459" s="1" t="n">
        <v>46141</v>
      </c>
      <c r="C459" s="1" t="n">
        <v>46204</v>
      </c>
      <c r="D459" t="inlineStr">
        <is>
          <t>DALARNAS LÄN</t>
        </is>
      </c>
      <c r="E459" t="inlineStr">
        <is>
          <t>SMEDJEBACKEN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20610-2026</t>
        </is>
      </c>
      <c r="B460" s="1" t="n">
        <v>46140</v>
      </c>
      <c r="C460" s="1" t="n">
        <v>46204</v>
      </c>
      <c r="D460" t="inlineStr">
        <is>
          <t>DALARNAS LÄN</t>
        </is>
      </c>
      <c r="E460" t="inlineStr">
        <is>
          <t>SMEDJEBACKEN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28613-2022</t>
        </is>
      </c>
      <c r="B461" s="1" t="n">
        <v>44748</v>
      </c>
      <c r="C461" s="1" t="n">
        <v>46204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38356-2024</t>
        </is>
      </c>
      <c r="B462" s="1" t="n">
        <v>45545</v>
      </c>
      <c r="C462" s="1" t="n">
        <v>46204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14843-2023</t>
        </is>
      </c>
      <c r="B463" s="1" t="n">
        <v>45014</v>
      </c>
      <c r="C463" s="1" t="n">
        <v>46204</v>
      </c>
      <c r="D463" t="inlineStr">
        <is>
          <t>DALARNAS LÄN</t>
        </is>
      </c>
      <c r="E463" t="inlineStr">
        <is>
          <t>SMEDJEBACKEN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53474-2024</t>
        </is>
      </c>
      <c r="B464" s="1" t="n">
        <v>45611</v>
      </c>
      <c r="C464" s="1" t="n">
        <v>46204</v>
      </c>
      <c r="D464" t="inlineStr">
        <is>
          <t>DALARNAS LÄN</t>
        </is>
      </c>
      <c r="E464" t="inlineStr">
        <is>
          <t>SMEDJEBACKEN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3418-2024</t>
        </is>
      </c>
      <c r="B465" s="1" t="n">
        <v>45319</v>
      </c>
      <c r="C465" s="1" t="n">
        <v>46204</v>
      </c>
      <c r="D465" t="inlineStr">
        <is>
          <t>DALARNAS LÄN</t>
        </is>
      </c>
      <c r="E465" t="inlineStr">
        <is>
          <t>SMEDJEBACKEN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52354-2023</t>
        </is>
      </c>
      <c r="B466" s="1" t="n">
        <v>45224</v>
      </c>
      <c r="C466" s="1" t="n">
        <v>46204</v>
      </c>
      <c r="D466" t="inlineStr">
        <is>
          <t>DALARNAS LÄN</t>
        </is>
      </c>
      <c r="E466" t="inlineStr">
        <is>
          <t>SMEDJEBACKEN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26367-2026</t>
        </is>
      </c>
      <c r="B467" s="1" t="n">
        <v>46182</v>
      </c>
      <c r="C467" s="1" t="n">
        <v>46204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54260-2022</t>
        </is>
      </c>
      <c r="B468" s="1" t="n">
        <v>44882</v>
      </c>
      <c r="C468" s="1" t="n">
        <v>46204</v>
      </c>
      <c r="D468" t="inlineStr">
        <is>
          <t>DALARNAS LÄN</t>
        </is>
      </c>
      <c r="E468" t="inlineStr">
        <is>
          <t>SMEDJEBACKEN</t>
        </is>
      </c>
      <c r="F468" t="inlineStr">
        <is>
          <t>Kyrkan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51115-2024</t>
        </is>
      </c>
      <c r="B469" s="1" t="n">
        <v>45603</v>
      </c>
      <c r="C469" s="1" t="n">
        <v>46204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15322-2025</t>
        </is>
      </c>
      <c r="B470" s="1" t="n">
        <v>45747</v>
      </c>
      <c r="C470" s="1" t="n">
        <v>46204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18133-2024</t>
        </is>
      </c>
      <c r="B471" s="1" t="n">
        <v>45420</v>
      </c>
      <c r="C471" s="1" t="n">
        <v>46204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56510-2024</t>
        </is>
      </c>
      <c r="B472" s="1" t="n">
        <v>45625</v>
      </c>
      <c r="C472" s="1" t="n">
        <v>46204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12125-2024</t>
        </is>
      </c>
      <c r="B473" s="1" t="n">
        <v>45377</v>
      </c>
      <c r="C473" s="1" t="n">
        <v>46204</v>
      </c>
      <c r="D473" t="inlineStr">
        <is>
          <t>DALARNAS LÄN</t>
        </is>
      </c>
      <c r="E473" t="inlineStr">
        <is>
          <t>SMEDJEBACKEN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38767-2023</t>
        </is>
      </c>
      <c r="B474" s="1" t="n">
        <v>45163</v>
      </c>
      <c r="C474" s="1" t="n">
        <v>46204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2243-2026</t>
        </is>
      </c>
      <c r="B475" s="1" t="n">
        <v>46036</v>
      </c>
      <c r="C475" s="1" t="n">
        <v>46204</v>
      </c>
      <c r="D475" t="inlineStr">
        <is>
          <t>DALARNAS LÄN</t>
        </is>
      </c>
      <c r="E475" t="inlineStr">
        <is>
          <t>SMEDJEBACKEN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48459-2023</t>
        </is>
      </c>
      <c r="B476" s="1" t="n">
        <v>45206</v>
      </c>
      <c r="C476" s="1" t="n">
        <v>46204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45373-2023</t>
        </is>
      </c>
      <c r="B477" s="1" t="n">
        <v>45193</v>
      </c>
      <c r="C477" s="1" t="n">
        <v>46204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32384-2022</t>
        </is>
      </c>
      <c r="B478" s="1" t="n">
        <v>44782</v>
      </c>
      <c r="C478" s="1" t="n">
        <v>46204</v>
      </c>
      <c r="D478" t="inlineStr">
        <is>
          <t>DALARNAS LÄN</t>
        </is>
      </c>
      <c r="E478" t="inlineStr">
        <is>
          <t>SMEDJEBACKEN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26661-2026</t>
        </is>
      </c>
      <c r="B479" s="1" t="n">
        <v>46184</v>
      </c>
      <c r="C479" s="1" t="n">
        <v>46204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18022-2024</t>
        </is>
      </c>
      <c r="B480" s="1" t="n">
        <v>45420</v>
      </c>
      <c r="C480" s="1" t="n">
        <v>46204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26659-2026</t>
        </is>
      </c>
      <c r="B481" s="1" t="n">
        <v>46184</v>
      </c>
      <c r="C481" s="1" t="n">
        <v>46204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26657-2026</t>
        </is>
      </c>
      <c r="B482" s="1" t="n">
        <v>46184</v>
      </c>
      <c r="C482" s="1" t="n">
        <v>46204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26655-2026</t>
        </is>
      </c>
      <c r="B483" s="1" t="n">
        <v>46184</v>
      </c>
      <c r="C483" s="1" t="n">
        <v>46204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11514-2024</t>
        </is>
      </c>
      <c r="B484" s="1" t="n">
        <v>45372</v>
      </c>
      <c r="C484" s="1" t="n">
        <v>46204</v>
      </c>
      <c r="D484" t="inlineStr">
        <is>
          <t>DALARNAS LÄN</t>
        </is>
      </c>
      <c r="E484" t="inlineStr">
        <is>
          <t>SMEDJEBACKEN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13354-2025</t>
        </is>
      </c>
      <c r="B485" s="1" t="n">
        <v>45735</v>
      </c>
      <c r="C485" s="1" t="n">
        <v>46204</v>
      </c>
      <c r="D485" t="inlineStr">
        <is>
          <t>DALARNAS LÄN</t>
        </is>
      </c>
      <c r="E485" t="inlineStr">
        <is>
          <t>SMEDJEBACKEN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26347-2026</t>
        </is>
      </c>
      <c r="B486" s="1" t="n">
        <v>46182</v>
      </c>
      <c r="C486" s="1" t="n">
        <v>46204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21215-2026</t>
        </is>
      </c>
      <c r="B487" s="1" t="n">
        <v>46146</v>
      </c>
      <c r="C487" s="1" t="n">
        <v>46204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34822-2021</t>
        </is>
      </c>
      <c r="B488" s="1" t="n">
        <v>44383</v>
      </c>
      <c r="C488" s="1" t="n">
        <v>46204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33846-2022</t>
        </is>
      </c>
      <c r="B489" s="1" t="n">
        <v>44790</v>
      </c>
      <c r="C489" s="1" t="n">
        <v>46204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21216-2026</t>
        </is>
      </c>
      <c r="B490" s="1" t="n">
        <v>46146</v>
      </c>
      <c r="C490" s="1" t="n">
        <v>46204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29991-2023</t>
        </is>
      </c>
      <c r="B491" s="1" t="n">
        <v>45109</v>
      </c>
      <c r="C491" s="1" t="n">
        <v>46204</v>
      </c>
      <c r="D491" t="inlineStr">
        <is>
          <t>DALARNAS LÄN</t>
        </is>
      </c>
      <c r="E491" t="inlineStr">
        <is>
          <t>SMEDJEBACKEN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27786-2026</t>
        </is>
      </c>
      <c r="B492" s="1" t="n">
        <v>46191</v>
      </c>
      <c r="C492" s="1" t="n">
        <v>46204</v>
      </c>
      <c r="D492" t="inlineStr">
        <is>
          <t>DALARNAS LÄN</t>
        </is>
      </c>
      <c r="E492" t="inlineStr">
        <is>
          <t>SMEDJEBACKEN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30384-2024</t>
        </is>
      </c>
      <c r="B493" s="1" t="n">
        <v>45490</v>
      </c>
      <c r="C493" s="1" t="n">
        <v>46204</v>
      </c>
      <c r="D493" t="inlineStr">
        <is>
          <t>DALARNAS LÄN</t>
        </is>
      </c>
      <c r="E493" t="inlineStr">
        <is>
          <t>SMEDJEBACKEN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21631-2026</t>
        </is>
      </c>
      <c r="B494" s="1" t="n">
        <v>46149</v>
      </c>
      <c r="C494" s="1" t="n">
        <v>46204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21632-2026</t>
        </is>
      </c>
      <c r="B495" s="1" t="n">
        <v>46149</v>
      </c>
      <c r="C495" s="1" t="n">
        <v>46204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50524-2024</t>
        </is>
      </c>
      <c r="B496" s="1" t="n">
        <v>45600</v>
      </c>
      <c r="C496" s="1" t="n">
        <v>46204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6712-2023</t>
        </is>
      </c>
      <c r="B497" s="1" t="n">
        <v>44966</v>
      </c>
      <c r="C497" s="1" t="n">
        <v>46204</v>
      </c>
      <c r="D497" t="inlineStr">
        <is>
          <t>DALARNAS LÄN</t>
        </is>
      </c>
      <c r="E497" t="inlineStr">
        <is>
          <t>SMEDJEBACKEN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6716-2023</t>
        </is>
      </c>
      <c r="B498" s="1" t="n">
        <v>44966</v>
      </c>
      <c r="C498" s="1" t="n">
        <v>46204</v>
      </c>
      <c r="D498" t="inlineStr">
        <is>
          <t>DALARNAS LÄN</t>
        </is>
      </c>
      <c r="E498" t="inlineStr">
        <is>
          <t>SMEDJEBACKEN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57217-2023</t>
        </is>
      </c>
      <c r="B499" s="1" t="n">
        <v>45239</v>
      </c>
      <c r="C499" s="1" t="n">
        <v>46204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16870-2023</t>
        </is>
      </c>
      <c r="B500" s="1" t="n">
        <v>45033</v>
      </c>
      <c r="C500" s="1" t="n">
        <v>46204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38440-2022</t>
        </is>
      </c>
      <c r="B501" s="1" t="n">
        <v>44813</v>
      </c>
      <c r="C501" s="1" t="n">
        <v>46204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21996-2026</t>
        </is>
      </c>
      <c r="B502" s="1" t="n">
        <v>46153</v>
      </c>
      <c r="C502" s="1" t="n">
        <v>46204</v>
      </c>
      <c r="D502" t="inlineStr">
        <is>
          <t>DALARNAS LÄN</t>
        </is>
      </c>
      <c r="E502" t="inlineStr">
        <is>
          <t>SMEDJEBACKEN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21806-2026</t>
        </is>
      </c>
      <c r="B503" s="1" t="n">
        <v>46150</v>
      </c>
      <c r="C503" s="1" t="n">
        <v>46204</v>
      </c>
      <c r="D503" t="inlineStr">
        <is>
          <t>DALARNAS LÄN</t>
        </is>
      </c>
      <c r="E503" t="inlineStr">
        <is>
          <t>SMEDJEBACKEN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21838-2026</t>
        </is>
      </c>
      <c r="B504" s="1" t="n">
        <v>46150</v>
      </c>
      <c r="C504" s="1" t="n">
        <v>46204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21840-2026</t>
        </is>
      </c>
      <c r="B505" s="1" t="n">
        <v>46150</v>
      </c>
      <c r="C505" s="1" t="n">
        <v>46204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21841-2026</t>
        </is>
      </c>
      <c r="B506" s="1" t="n">
        <v>46150</v>
      </c>
      <c r="C506" s="1" t="n">
        <v>46204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22627-2026</t>
        </is>
      </c>
      <c r="B507" s="1" t="n">
        <v>46155</v>
      </c>
      <c r="C507" s="1" t="n">
        <v>46204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37024-2023</t>
        </is>
      </c>
      <c r="B508" s="1" t="n">
        <v>45154</v>
      </c>
      <c r="C508" s="1" t="n">
        <v>46204</v>
      </c>
      <c r="D508" t="inlineStr">
        <is>
          <t>DALARNAS LÄN</t>
        </is>
      </c>
      <c r="E508" t="inlineStr">
        <is>
          <t>SMEDJEBACKEN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28251-2024</t>
        </is>
      </c>
      <c r="B509" s="1" t="n">
        <v>45477</v>
      </c>
      <c r="C509" s="1" t="n">
        <v>46204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29065-2026</t>
        </is>
      </c>
      <c r="B510" s="1" t="n">
        <v>46199</v>
      </c>
      <c r="C510" s="1" t="n">
        <v>46204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29068-2026</t>
        </is>
      </c>
      <c r="B511" s="1" t="n">
        <v>46199</v>
      </c>
      <c r="C511" s="1" t="n">
        <v>46204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29438-2023</t>
        </is>
      </c>
      <c r="B512" s="1" t="n">
        <v>45106</v>
      </c>
      <c r="C512" s="1" t="n">
        <v>46204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29067-2026</t>
        </is>
      </c>
      <c r="B513" s="1" t="n">
        <v>46199</v>
      </c>
      <c r="C513" s="1" t="n">
        <v>46204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29069-2026</t>
        </is>
      </c>
      <c r="B514" s="1" t="n">
        <v>46199</v>
      </c>
      <c r="C514" s="1" t="n">
        <v>46204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19527-2026</t>
        </is>
      </c>
      <c r="B515" s="1" t="n">
        <v>46134</v>
      </c>
      <c r="C515" s="1" t="n">
        <v>46204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56480-2022</t>
        </is>
      </c>
      <c r="B516" s="1" t="n">
        <v>44893</v>
      </c>
      <c r="C516" s="1" t="n">
        <v>46204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17681-2025</t>
        </is>
      </c>
      <c r="B517" s="1" t="n">
        <v>45758</v>
      </c>
      <c r="C517" s="1" t="n">
        <v>46204</v>
      </c>
      <c r="D517" t="inlineStr">
        <is>
          <t>DALARNAS LÄN</t>
        </is>
      </c>
      <c r="E517" t="inlineStr">
        <is>
          <t>SMEDJEBACKEN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15211-2023</t>
        </is>
      </c>
      <c r="B518" s="1" t="n">
        <v>45018</v>
      </c>
      <c r="C518" s="1" t="n">
        <v>46204</v>
      </c>
      <c r="D518" t="inlineStr">
        <is>
          <t>DALARNAS LÄN</t>
        </is>
      </c>
      <c r="E518" t="inlineStr">
        <is>
          <t>SMEDJEBACKEN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2046-2024</t>
        </is>
      </c>
      <c r="B519" s="1" t="n">
        <v>45308</v>
      </c>
      <c r="C519" s="1" t="n">
        <v>46204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19524-2026</t>
        </is>
      </c>
      <c r="B520" s="1" t="n">
        <v>46134</v>
      </c>
      <c r="C520" s="1" t="n">
        <v>46204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22763-2026</t>
        </is>
      </c>
      <c r="B521" s="1" t="n">
        <v>46157</v>
      </c>
      <c r="C521" s="1" t="n">
        <v>46204</v>
      </c>
      <c r="D521" t="inlineStr">
        <is>
          <t>DALARNAS LÄN</t>
        </is>
      </c>
      <c r="E521" t="inlineStr">
        <is>
          <t>SMEDJEBACKEN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22775-2026</t>
        </is>
      </c>
      <c r="B522" s="1" t="n">
        <v>46157</v>
      </c>
      <c r="C522" s="1" t="n">
        <v>46204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36614-2023</t>
        </is>
      </c>
      <c r="B523" s="1" t="n">
        <v>45153</v>
      </c>
      <c r="C523" s="1" t="n">
        <v>46204</v>
      </c>
      <c r="D523" t="inlineStr">
        <is>
          <t>DALARNAS LÄN</t>
        </is>
      </c>
      <c r="E523" t="inlineStr">
        <is>
          <t>SMEDJEBACKEN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HYPERLINK("https://klasma.github.io/Logging_2061/knärot/A 36614-2023 karta knärot.png", "A 36614-2023")</f>
        <v/>
      </c>
      <c r="V523">
        <f>HYPERLINK("https://klasma.github.io/Logging_2061/klagomål/A 36614-2023 FSC-klagomål.docx", "A 36614-2023")</f>
        <v/>
      </c>
      <c r="W523">
        <f>HYPERLINK("https://klasma.github.io/Logging_2061/klagomålsmail/A 36614-2023 FSC-klagomål mail.docx", "A 36614-2023")</f>
        <v/>
      </c>
      <c r="X523">
        <f>HYPERLINK("https://klasma.github.io/Logging_2061/tillsyn/A 36614-2023 tillsynsbegäran.docx", "A 36614-2023")</f>
        <v/>
      </c>
      <c r="Y523">
        <f>HYPERLINK("https://klasma.github.io/Logging_2061/tillsynsmail/A 36614-2023 tillsynsbegäran mail.docx", "A 36614-2023")</f>
        <v/>
      </c>
    </row>
    <row r="524" ht="15" customHeight="1">
      <c r="A524" t="inlineStr">
        <is>
          <t>A 29287-2026</t>
        </is>
      </c>
      <c r="B524" s="1" t="n">
        <v>46202</v>
      </c>
      <c r="C524" s="1" t="n">
        <v>46204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29288-2026</t>
        </is>
      </c>
      <c r="B525" s="1" t="n">
        <v>46202</v>
      </c>
      <c r="C525" s="1" t="n">
        <v>46204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29290-2026</t>
        </is>
      </c>
      <c r="B526" s="1" t="n">
        <v>46202</v>
      </c>
      <c r="C526" s="1" t="n">
        <v>46204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29289-2026</t>
        </is>
      </c>
      <c r="B527" s="1" t="n">
        <v>46202</v>
      </c>
      <c r="C527" s="1" t="n">
        <v>46204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29294-2026</t>
        </is>
      </c>
      <c r="B528" s="1" t="n">
        <v>46202</v>
      </c>
      <c r="C528" s="1" t="n">
        <v>46204</v>
      </c>
      <c r="D528" t="inlineStr">
        <is>
          <t>DALARNAS LÄN</t>
        </is>
      </c>
      <c r="E528" t="inlineStr">
        <is>
          <t>SMEDJEBACKEN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50778-2024</t>
        </is>
      </c>
      <c r="B529" s="1" t="n">
        <v>45601</v>
      </c>
      <c r="C529" s="1" t="n">
        <v>46204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29460-2026</t>
        </is>
      </c>
      <c r="B530" s="1" t="n">
        <v>46203</v>
      </c>
      <c r="C530" s="1" t="n">
        <v>46204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28248-2024</t>
        </is>
      </c>
      <c r="B531" s="1" t="n">
        <v>45477</v>
      </c>
      <c r="C531" s="1" t="n">
        <v>46204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16419-2025</t>
        </is>
      </c>
      <c r="B532" s="1" t="n">
        <v>45751</v>
      </c>
      <c r="C532" s="1" t="n">
        <v>46204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45114-2023</t>
        </is>
      </c>
      <c r="B533" s="1" t="n">
        <v>45191</v>
      </c>
      <c r="C533" s="1" t="n">
        <v>46204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60684-2024</t>
        </is>
      </c>
      <c r="B534" s="1" t="n">
        <v>45644</v>
      </c>
      <c r="C534" s="1" t="n">
        <v>46204</v>
      </c>
      <c r="D534" t="inlineStr">
        <is>
          <t>DALARNAS LÄN</t>
        </is>
      </c>
      <c r="E534" t="inlineStr">
        <is>
          <t>SMEDJEBACKEN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44116-2023</t>
        </is>
      </c>
      <c r="B535" s="1" t="n">
        <v>45188</v>
      </c>
      <c r="C535" s="1" t="n">
        <v>46204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14845-2023</t>
        </is>
      </c>
      <c r="B536" s="1" t="n">
        <v>45014</v>
      </c>
      <c r="C536" s="1" t="n">
        <v>46204</v>
      </c>
      <c r="D536" t="inlineStr">
        <is>
          <t>DALARNAS LÄN</t>
        </is>
      </c>
      <c r="E536" t="inlineStr">
        <is>
          <t>SMEDJEBACKEN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18105-2025</t>
        </is>
      </c>
      <c r="B537" s="1" t="n">
        <v>45761</v>
      </c>
      <c r="C537" s="1" t="n">
        <v>46204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54965-2022</t>
        </is>
      </c>
      <c r="B538" s="1" t="n">
        <v>44886</v>
      </c>
      <c r="C538" s="1" t="n">
        <v>46204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39535-2021</t>
        </is>
      </c>
      <c r="B539" s="1" t="n">
        <v>44415</v>
      </c>
      <c r="C539" s="1" t="n">
        <v>46204</v>
      </c>
      <c r="D539" t="inlineStr">
        <is>
          <t>DALARNAS LÄN</t>
        </is>
      </c>
      <c r="E539" t="inlineStr">
        <is>
          <t>SMEDJEBACKEN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19085-2025</t>
        </is>
      </c>
      <c r="B540" s="1" t="n">
        <v>45766</v>
      </c>
      <c r="C540" s="1" t="n">
        <v>46204</v>
      </c>
      <c r="D540" t="inlineStr">
        <is>
          <t>DALARNAS LÄN</t>
        </is>
      </c>
      <c r="E540" t="inlineStr">
        <is>
          <t>SMEDJEBACKEN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63518-2021</t>
        </is>
      </c>
      <c r="B541" s="1" t="n">
        <v>44508</v>
      </c>
      <c r="C541" s="1" t="n">
        <v>46204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26480-2023</t>
        </is>
      </c>
      <c r="B542" s="1" t="n">
        <v>45092</v>
      </c>
      <c r="C542" s="1" t="n">
        <v>46204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33487-2023</t>
        </is>
      </c>
      <c r="B543" s="1" t="n">
        <v>45131</v>
      </c>
      <c r="C543" s="1" t="n">
        <v>46204</v>
      </c>
      <c r="D543" t="inlineStr">
        <is>
          <t>DALARNAS LÄN</t>
        </is>
      </c>
      <c r="E543" t="inlineStr">
        <is>
          <t>SMEDJEBACKEN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15390-2025</t>
        </is>
      </c>
      <c r="B544" s="1" t="n">
        <v>45747</v>
      </c>
      <c r="C544" s="1" t="n">
        <v>46204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14677-2024</t>
        </is>
      </c>
      <c r="B545" s="1" t="n">
        <v>45397</v>
      </c>
      <c r="C545" s="1" t="n">
        <v>46204</v>
      </c>
      <c r="D545" t="inlineStr">
        <is>
          <t>DALARNAS LÄN</t>
        </is>
      </c>
      <c r="E545" t="inlineStr">
        <is>
          <t>SMEDJEBACKEN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6720-2023</t>
        </is>
      </c>
      <c r="B546" s="1" t="n">
        <v>44966</v>
      </c>
      <c r="C546" s="1" t="n">
        <v>46204</v>
      </c>
      <c r="D546" t="inlineStr">
        <is>
          <t>DALARNAS LÄN</t>
        </is>
      </c>
      <c r="E546" t="inlineStr">
        <is>
          <t>SMEDJEBACKEN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58397-2023</t>
        </is>
      </c>
      <c r="B547" s="1" t="n">
        <v>45250</v>
      </c>
      <c r="C547" s="1" t="n">
        <v>46204</v>
      </c>
      <c r="D547" t="inlineStr">
        <is>
          <t>DALARNAS LÄN</t>
        </is>
      </c>
      <c r="E547" t="inlineStr">
        <is>
          <t>SMEDJEBACKEN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43909-2024</t>
        </is>
      </c>
      <c r="B548" s="1" t="n">
        <v>45572</v>
      </c>
      <c r="C548" s="1" t="n">
        <v>46204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61541-2022</t>
        </is>
      </c>
      <c r="B549" s="1" t="n">
        <v>44916</v>
      </c>
      <c r="C549" s="1" t="n">
        <v>46204</v>
      </c>
      <c r="D549" t="inlineStr">
        <is>
          <t>DALARNAS LÄN</t>
        </is>
      </c>
      <c r="E549" t="inlineStr">
        <is>
          <t>SMEDJEBACKEN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24469-2022</t>
        </is>
      </c>
      <c r="B550" s="1" t="n">
        <v>44726</v>
      </c>
      <c r="C550" s="1" t="n">
        <v>46204</v>
      </c>
      <c r="D550" t="inlineStr">
        <is>
          <t>DALARNAS LÄN</t>
        </is>
      </c>
      <c r="E550" t="inlineStr">
        <is>
          <t>SMEDJEBACKEN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20901-2025</t>
        </is>
      </c>
      <c r="B551" s="1" t="n">
        <v>45777</v>
      </c>
      <c r="C551" s="1" t="n">
        <v>46204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20903-2025</t>
        </is>
      </c>
      <c r="B552" s="1" t="n">
        <v>45777</v>
      </c>
      <c r="C552" s="1" t="n">
        <v>46204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42315-2024</t>
        </is>
      </c>
      <c r="B553" s="1" t="n">
        <v>45562</v>
      </c>
      <c r="C553" s="1" t="n">
        <v>46204</v>
      </c>
      <c r="D553" t="inlineStr">
        <is>
          <t>DALARNAS LÄN</t>
        </is>
      </c>
      <c r="E553" t="inlineStr">
        <is>
          <t>SMEDJEBACKEN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25393-2024</t>
        </is>
      </c>
      <c r="B554" s="1" t="n">
        <v>45463</v>
      </c>
      <c r="C554" s="1" t="n">
        <v>46204</v>
      </c>
      <c r="D554" t="inlineStr">
        <is>
          <t>DALARNAS LÄN</t>
        </is>
      </c>
      <c r="E554" t="inlineStr">
        <is>
          <t>SMEDJEBACKEN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43926-2024</t>
        </is>
      </c>
      <c r="B555" s="1" t="n">
        <v>45572</v>
      </c>
      <c r="C555" s="1" t="n">
        <v>46204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22207-2024</t>
        </is>
      </c>
      <c r="B556" s="1" t="n">
        <v>45446</v>
      </c>
      <c r="C556" s="1" t="n">
        <v>46204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50539-2024</t>
        </is>
      </c>
      <c r="B557" s="1" t="n">
        <v>45600</v>
      </c>
      <c r="C557" s="1" t="n">
        <v>46204</v>
      </c>
      <c r="D557" t="inlineStr">
        <is>
          <t>DALARNAS LÄN</t>
        </is>
      </c>
      <c r="E557" t="inlineStr">
        <is>
          <t>SMEDJEBACKEN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51771-2024</t>
        </is>
      </c>
      <c r="B558" s="1" t="n">
        <v>45607</v>
      </c>
      <c r="C558" s="1" t="n">
        <v>46204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41333-2024</t>
        </is>
      </c>
      <c r="B559" s="1" t="n">
        <v>45559</v>
      </c>
      <c r="C559" s="1" t="n">
        <v>46204</v>
      </c>
      <c r="D559" t="inlineStr">
        <is>
          <t>DALARNAS LÄN</t>
        </is>
      </c>
      <c r="E559" t="inlineStr">
        <is>
          <t>SMEDJEBACKEN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50567-2024</t>
        </is>
      </c>
      <c r="B560" s="1" t="n">
        <v>45600</v>
      </c>
      <c r="C560" s="1" t="n">
        <v>46204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31206-2024</t>
        </is>
      </c>
      <c r="B561" s="1" t="n">
        <v>45503</v>
      </c>
      <c r="C561" s="1" t="n">
        <v>46204</v>
      </c>
      <c r="D561" t="inlineStr">
        <is>
          <t>DALARNAS LÄN</t>
        </is>
      </c>
      <c r="E561" t="inlineStr">
        <is>
          <t>SMEDJEBACKEN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34923-2024</t>
        </is>
      </c>
      <c r="B562" s="1" t="n">
        <v>45527</v>
      </c>
      <c r="C562" s="1" t="n">
        <v>46204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49144-2024</t>
        </is>
      </c>
      <c r="B563" s="1" t="n">
        <v>45594</v>
      </c>
      <c r="C563" s="1" t="n">
        <v>46204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24164-2025</t>
        </is>
      </c>
      <c r="B564" s="1" t="n">
        <v>45796</v>
      </c>
      <c r="C564" s="1" t="n">
        <v>46204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658-2025</t>
        </is>
      </c>
      <c r="B565" s="1" t="n">
        <v>45664</v>
      </c>
      <c r="C565" s="1" t="n">
        <v>46204</v>
      </c>
      <c r="D565" t="inlineStr">
        <is>
          <t>DALARNAS LÄN</t>
        </is>
      </c>
      <c r="E565" t="inlineStr">
        <is>
          <t>SMEDJEBACKEN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24372-2025</t>
        </is>
      </c>
      <c r="B566" s="1" t="n">
        <v>45797</v>
      </c>
      <c r="C566" s="1" t="n">
        <v>46204</v>
      </c>
      <c r="D566" t="inlineStr">
        <is>
          <t>DALARNAS LÄN</t>
        </is>
      </c>
      <c r="E566" t="inlineStr">
        <is>
          <t>SMEDJEBACKEN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24262-2024</t>
        </is>
      </c>
      <c r="B567" s="1" t="n">
        <v>45457</v>
      </c>
      <c r="C567" s="1" t="n">
        <v>46204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45568-2024</t>
        </is>
      </c>
      <c r="B568" s="1" t="n">
        <v>45578</v>
      </c>
      <c r="C568" s="1" t="n">
        <v>46204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25160-2025</t>
        </is>
      </c>
      <c r="B569" s="1" t="n">
        <v>45800</v>
      </c>
      <c r="C569" s="1" t="n">
        <v>46204</v>
      </c>
      <c r="D569" t="inlineStr">
        <is>
          <t>DALARNAS LÄN</t>
        </is>
      </c>
      <c r="E569" t="inlineStr">
        <is>
          <t>SMEDJEBACKEN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26000-2025</t>
        </is>
      </c>
      <c r="B570" s="1" t="n">
        <v>45804</v>
      </c>
      <c r="C570" s="1" t="n">
        <v>46204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18830-2025</t>
        </is>
      </c>
      <c r="B571" s="1" t="n">
        <v>45764</v>
      </c>
      <c r="C571" s="1" t="n">
        <v>46204</v>
      </c>
      <c r="D571" t="inlineStr">
        <is>
          <t>DALARNAS LÄN</t>
        </is>
      </c>
      <c r="E571" t="inlineStr">
        <is>
          <t>SMEDJEBACKEN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28775-2025</t>
        </is>
      </c>
      <c r="B572" s="1" t="n">
        <v>45819</v>
      </c>
      <c r="C572" s="1" t="n">
        <v>46204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22.8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2026-07-01T01:02:22Z</dcterms:created>
  <dcterms:modified xmlns:dcterms="http://purl.org/dc/terms/" xmlns:xsi="http://www.w3.org/2001/XMLSchema-instance" xsi:type="dcterms:W3CDTF">2026-07-01T01:02:23Z</dcterms:modified>
</cp:coreProperties>
</file>