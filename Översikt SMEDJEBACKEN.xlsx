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924-2023</t>
        </is>
      </c>
      <c r="B2" t="inlineStr">
        <is>
          <t>samrådsanmälan</t>
        </is>
      </c>
      <c r="C2" t="inlineStr">
        <is>
          <t>Askåterföring</t>
        </is>
      </c>
      <c r="D2" s="1" t="n">
        <v>44999</v>
      </c>
      <c r="E2" s="1" t="n">
        <v>46216</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Y2">
        <f>HYPERLINK("https://klasma.github.io/Logging_2061/klagomål/S 924-2023 FSC-klagomål.docx", "S 924-2023")</f>
        <v/>
      </c>
      <c r="Z2">
        <f>HYPERLINK("https://klasma.github.io/Logging_2061/klagomålsmail/S 924-2023 FSC-klagomål mail.docx", "S 924-2023")</f>
        <v/>
      </c>
      <c r="AA2">
        <f>HYPERLINK("https://klasma.github.io/Logging_2061/tillsyn/S 924-2023 tillsynsbegäran.docx", "S 924-2023")</f>
        <v/>
      </c>
      <c r="AB2">
        <f>HYPERLINK("https://klasma.github.io/Logging_2061/tillsynsmail/S 924-2023 tillsynsbegäran mail.docx", "S 924-2023")</f>
        <v/>
      </c>
      <c r="AC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46216</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Y3">
        <f>HYPERLINK("https://klasma.github.io/Logging_2061/klagomål/A 45719-2021 FSC-klagomål.docx", "A 45719-2021")</f>
        <v/>
      </c>
      <c r="Z3">
        <f>HYPERLINK("https://klasma.github.io/Logging_2061/klagomålsmail/A 45719-2021 FSC-klagomål mail.docx", "A 45719-2021")</f>
        <v/>
      </c>
      <c r="AA3">
        <f>HYPERLINK("https://klasma.github.io/Logging_2061/tillsyn/A 45719-2021 tillsynsbegäran.docx", "A 45719-2021")</f>
        <v/>
      </c>
      <c r="AB3">
        <f>HYPERLINK("https://klasma.github.io/Logging_2061/tillsynsmail/A 45719-2021 tillsynsbegäran mail.docx", "A 45719-2021")</f>
        <v/>
      </c>
      <c r="AC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46216</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HYPERLINK("https://klasma.github.io/Logging_2061/knärot/A 57321-2024 karta knärot.png", "A 57321-2024")</f>
        <v/>
      </c>
      <c r="Y4">
        <f>HYPERLINK("https://klasma.github.io/Logging_2061/klagomål/A 57321-2024 FSC-klagomål.docx", "A 57321-2024")</f>
        <v/>
      </c>
      <c r="Z4">
        <f>HYPERLINK("https://klasma.github.io/Logging_2061/klagomålsmail/A 57321-2024 FSC-klagomål mail.docx", "A 57321-2024")</f>
        <v/>
      </c>
      <c r="AA4">
        <f>HYPERLINK("https://klasma.github.io/Logging_2061/tillsyn/A 57321-2024 tillsynsbegäran.docx", "A 57321-2024")</f>
        <v/>
      </c>
      <c r="AB4">
        <f>HYPERLINK("https://klasma.github.io/Logging_2061/tillsynsmail/A 57321-2024 tillsynsbegäran mail.docx", "A 57321-2024")</f>
        <v/>
      </c>
      <c r="AC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46216</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HYPERLINK("https://klasma.github.io/Logging_2061/knärot/A 36532-2025 karta knärot.png", "A 36532-2025")</f>
        <v/>
      </c>
      <c r="Y5">
        <f>HYPERLINK("https://klasma.github.io/Logging_2061/klagomål/A 36532-2025 FSC-klagomål.docx", "A 36532-2025")</f>
        <v/>
      </c>
      <c r="Z5">
        <f>HYPERLINK("https://klasma.github.io/Logging_2061/klagomålsmail/A 36532-2025 FSC-klagomål mail.docx", "A 36532-2025")</f>
        <v/>
      </c>
      <c r="AA5">
        <f>HYPERLINK("https://klasma.github.io/Logging_2061/tillsyn/A 36532-2025 tillsynsbegäran.docx", "A 36532-2025")</f>
        <v/>
      </c>
      <c r="AB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46216</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Y6">
        <f>HYPERLINK("https://klasma.github.io/Logging_2061/klagomål/S 3569-2025 FSC-klagomål.docx", "S 3569-2025")</f>
        <v/>
      </c>
      <c r="Z6">
        <f>HYPERLINK("https://klasma.github.io/Logging_2061/klagomålsmail/S 3569-2025 FSC-klagomål mail.docx", "S 3569-2025")</f>
        <v/>
      </c>
      <c r="AA6">
        <f>HYPERLINK("https://klasma.github.io/Logging_2061/tillsyn/S 3569-2025 tillsynsbegäran.docx", "S 3569-2025")</f>
        <v/>
      </c>
      <c r="AB6">
        <f>HYPERLINK("https://klasma.github.io/Logging_2061/tillsynsmail/S 3569-2025 tillsynsbegäran mail.docx", "S 3569-2025")</f>
        <v/>
      </c>
      <c r="AC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46216</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HYPERLINK("https://klasma.github.io/Logging_2061/knärot/A 33017-2024 karta knärot.png", "A 33017-2024")</f>
        <v/>
      </c>
      <c r="Y7">
        <f>HYPERLINK("https://klasma.github.io/Logging_2061/klagomål/A 33017-2024 FSC-klagomål.docx", "A 33017-2024")</f>
        <v/>
      </c>
      <c r="Z7">
        <f>HYPERLINK("https://klasma.github.io/Logging_2061/klagomålsmail/A 33017-2024 FSC-klagomål mail.docx", "A 33017-2024")</f>
        <v/>
      </c>
      <c r="AA7">
        <f>HYPERLINK("https://klasma.github.io/Logging_2061/tillsyn/A 33017-2024 tillsynsbegäran.docx", "A 33017-2024")</f>
        <v/>
      </c>
      <c r="AB7">
        <f>HYPERLINK("https://klasma.github.io/Logging_2061/tillsynsmail/A 33017-2024 tillsynsbegäran mail.docx", "A 33017-2024")</f>
        <v/>
      </c>
      <c r="AC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46216</v>
      </c>
      <c r="F8" t="inlineStr">
        <is>
          <t>DALARNAS LÄN</t>
        </is>
      </c>
      <c r="G8" t="inlineStr">
        <is>
          <t>SMEDJEBACKEN</t>
        </is>
      </c>
      <c r="I8" t="n">
        <v>6.3</v>
      </c>
      <c r="J8" t="n">
        <v>5</v>
      </c>
      <c r="K8" t="n">
        <v>1</v>
      </c>
      <c r="L8" t="n">
        <v>5</v>
      </c>
      <c r="M8" t="n">
        <v>3</v>
      </c>
      <c r="N8" t="n">
        <v>0</v>
      </c>
      <c r="O8" t="n">
        <v>0</v>
      </c>
      <c r="P8" t="n">
        <v>0</v>
      </c>
      <c r="Q8" t="n">
        <v>8</v>
      </c>
      <c r="R8" t="n">
        <v>3</v>
      </c>
      <c r="S8" t="n">
        <v>11</v>
      </c>
      <c r="T8" t="n">
        <v>27</v>
      </c>
      <c r="U8" s="2" t="inlineStr">
        <is>
          <t>Knärot
Läderdoftande fingersvamp
Taggfingersvamp
Fjällig taggsvamp s.str.
Gultoppig fingersvamp
Rynkskinn
Tretåig hackspett
Vågticka
Grönkulla
Blåsippa
Nattviol</t>
        </is>
      </c>
      <c r="V8">
        <f>HYPERLINK("https://klasma.github.io/Logging_2061/artfynd/A 49765-2022 artfynd.xlsx", "A 49765-2022")</f>
        <v/>
      </c>
      <c r="W8">
        <f>HYPERLINK("https://klasma.github.io/Logging_2061/kartor/A 49765-2022 karta.png", "A 49765-2022")</f>
        <v/>
      </c>
      <c r="X8">
        <f>HYPERLINK("https://klasma.github.io/Logging_2061/knärot/A 49765-2022 karta knärot.png", "A 49765-2022")</f>
        <v/>
      </c>
      <c r="Y8">
        <f>HYPERLINK("https://klasma.github.io/Logging_2061/klagomål/A 49765-2022 FSC-klagomål.docx", "A 49765-2022")</f>
        <v/>
      </c>
      <c r="Z8">
        <f>HYPERLINK("https://klasma.github.io/Logging_2061/klagomålsmail/A 49765-2022 FSC-klagomål mail.docx", "A 49765-2022")</f>
        <v/>
      </c>
      <c r="AA8">
        <f>HYPERLINK("https://klasma.github.io/Logging_2061/tillsyn/A 49765-2022 tillsynsbegäran.docx", "A 49765-2022")</f>
        <v/>
      </c>
      <c r="AB8">
        <f>HYPERLINK("https://klasma.github.io/Logging_2061/tillsynsmail/A 49765-2022 tillsynsbegäran mail.docx", "A 49765-2022")</f>
        <v/>
      </c>
      <c r="AC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46216</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s="2" t="inlineStr">
        <is>
          <t>Knärot
Mörk kådsvartspik
Röd kådsvartspik
Kattfotslav
Stjärntagging
Bronshjon
Jättesvampmal
Rostfläck
Vedticka
Kungsfågel
Sångsvan</t>
        </is>
      </c>
      <c r="V9">
        <f>HYPERLINK("https://klasma.github.io/Logging_2061/artfynd/A 42272-2021 artfynd.xlsx", "A 42272-2021")</f>
        <v/>
      </c>
      <c r="W9">
        <f>HYPERLINK("https://klasma.github.io/Logging_2061/kartor/A 42272-2021 karta.png", "A 42272-2021")</f>
        <v/>
      </c>
      <c r="X9">
        <f>HYPERLINK("https://klasma.github.io/Logging_2061/knärot/A 42272-2021 karta knärot.png", "A 42272-2021")</f>
        <v/>
      </c>
      <c r="Y9">
        <f>HYPERLINK("https://klasma.github.io/Logging_2061/klagomål/A 42272-2021 FSC-klagomål.docx", "A 42272-2021")</f>
        <v/>
      </c>
      <c r="Z9">
        <f>HYPERLINK("https://klasma.github.io/Logging_2061/klagomålsmail/A 42272-2021 FSC-klagomål mail.docx", "A 42272-2021")</f>
        <v/>
      </c>
      <c r="AA9">
        <f>HYPERLINK("https://klasma.github.io/Logging_2061/tillsyn/A 42272-2021 tillsynsbegäran.docx", "A 42272-2021")</f>
        <v/>
      </c>
      <c r="AB9">
        <f>HYPERLINK("https://klasma.github.io/Logging_2061/tillsynsmail/A 42272-2021 tillsynsbegäran mail.docx", "A 42272-2021")</f>
        <v/>
      </c>
      <c r="AC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46216</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Y10">
        <f>HYPERLINK("https://klasma.github.io/Logging_2061/klagomål/A 25404-2026 FSC-klagomål.docx", "A 25404-2026")</f>
        <v/>
      </c>
      <c r="Z10">
        <f>HYPERLINK("https://klasma.github.io/Logging_2061/klagomålsmail/A 25404-2026 FSC-klagomål mail.docx", "A 25404-2026")</f>
        <v/>
      </c>
      <c r="AA10">
        <f>HYPERLINK("https://klasma.github.io/Logging_2061/tillsyn/A 25404-2026 tillsynsbegäran.docx", "A 25404-2026")</f>
        <v/>
      </c>
      <c r="AB10">
        <f>HYPERLINK("https://klasma.github.io/Logging_2061/tillsynsmail/A 25404-2026 tillsynsbegäran mail.docx", "A 25404-2026")</f>
        <v/>
      </c>
      <c r="AC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46216</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Y11">
        <f>HYPERLINK("https://klasma.github.io/Logging_2061/klagomål/S 5222-2022 FSC-klagomål.docx", "S 5222-2022")</f>
        <v/>
      </c>
      <c r="Z11">
        <f>HYPERLINK("https://klasma.github.io/Logging_2061/klagomålsmail/S 5222-2022 FSC-klagomål mail.docx", "S 5222-2022")</f>
        <v/>
      </c>
      <c r="AA11">
        <f>HYPERLINK("https://klasma.github.io/Logging_2061/tillsyn/S 5222-2022 tillsynsbegäran.docx", "S 5222-2022")</f>
        <v/>
      </c>
      <c r="AB11">
        <f>HYPERLINK("https://klasma.github.io/Logging_2061/tillsynsmail/S 5222-2022 tillsynsbegäran mail.docx", "S 5222-2022")</f>
        <v/>
      </c>
      <c r="AC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46216</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Y12">
        <f>HYPERLINK("https://klasma.github.io/Logging_2061/klagomål/S 930-2023 FSC-klagomål.docx", "S 930-2023")</f>
        <v/>
      </c>
      <c r="Z12">
        <f>HYPERLINK("https://klasma.github.io/Logging_2061/klagomålsmail/S 930-2023 FSC-klagomål mail.docx", "S 930-2023")</f>
        <v/>
      </c>
      <c r="AA12">
        <f>HYPERLINK("https://klasma.github.io/Logging_2061/tillsyn/S 930-2023 tillsynsbegäran.docx", "S 930-2023")</f>
        <v/>
      </c>
      <c r="AB12">
        <f>HYPERLINK("https://klasma.github.io/Logging_2061/tillsynsmail/S 930-2023 tillsynsbegäran mail.docx", "S 930-2023")</f>
        <v/>
      </c>
      <c r="AC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46216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s="2" t="inlineStr">
        <is>
          <t>Bågpraktmossa
Grov baronmossa
Guldlockmossa
Stenporella
Svart trolldruva
Trädporella
Blåsippa</t>
        </is>
      </c>
      <c r="V13">
        <f>HYPERLINK("https://klasma.github.io/Logging_2061/artfynd/A 35890-2025 artfynd.xlsx", "A 35890-2025")</f>
        <v/>
      </c>
      <c r="W13">
        <f>HYPERLINK("https://klasma.github.io/Logging_2061/kartor/A 35890-2025 karta.png", "A 35890-2025")</f>
        <v/>
      </c>
      <c r="Y13">
        <f>HYPERLINK("https://klasma.github.io/Logging_2061/klagomål/A 35890-2025 FSC-klagomål.docx", "A 35890-2025")</f>
        <v/>
      </c>
      <c r="Z13">
        <f>HYPERLINK("https://klasma.github.io/Logging_2061/klagomålsmail/A 35890-2025 FSC-klagomål mail.docx", "A 35890-2025")</f>
        <v/>
      </c>
      <c r="AA13">
        <f>HYPERLINK("https://klasma.github.io/Logging_2061/tillsyn/A 35890-2025 tillsynsbegäran.docx", "A 35890-2025")</f>
        <v/>
      </c>
      <c r="AB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46216</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s="2" t="inlineStr">
        <is>
          <t>Knärot
Motaggsvamp
Tallticka
Vedskivlav
Vedtrappmossa
Vågbandad barkbock
Spillkråka</t>
        </is>
      </c>
      <c r="V14">
        <f>HYPERLINK("https://klasma.github.io/Logging_2061/artfynd/A 52601-2024 artfynd.xlsx", "A 52601-2024")</f>
        <v/>
      </c>
      <c r="W14">
        <f>HYPERLINK("https://klasma.github.io/Logging_2061/kartor/A 52601-2024 karta.png", "A 52601-2024")</f>
        <v/>
      </c>
      <c r="X14">
        <f>HYPERLINK("https://klasma.github.io/Logging_2061/knärot/A 52601-2024 karta knärot.png", "A 52601-2024")</f>
        <v/>
      </c>
      <c r="Y14">
        <f>HYPERLINK("https://klasma.github.io/Logging_2061/klagomål/A 52601-2024 FSC-klagomål.docx", "A 52601-2024")</f>
        <v/>
      </c>
      <c r="Z14">
        <f>HYPERLINK("https://klasma.github.io/Logging_2061/klagomålsmail/A 52601-2024 FSC-klagomål mail.docx", "A 52601-2024")</f>
        <v/>
      </c>
      <c r="AA14">
        <f>HYPERLINK("https://klasma.github.io/Logging_2061/tillsyn/A 52601-2024 tillsynsbegäran.docx", "A 52601-2024")</f>
        <v/>
      </c>
      <c r="AB14">
        <f>HYPERLINK("https://klasma.github.io/Logging_2061/tillsynsmail/A 52601-2024 tillsynsbegäran mail.docx", "A 52601-2024")</f>
        <v/>
      </c>
      <c r="AC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46216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Y15">
        <f>HYPERLINK("https://klasma.github.io/Logging_2061/klagomål/S 742-2025 FSC-klagomål.docx", "S 742-2025")</f>
        <v/>
      </c>
      <c r="Z15">
        <f>HYPERLINK("https://klasma.github.io/Logging_2061/klagomålsmail/S 742-2025 FSC-klagomål mail.docx", "S 742-2025")</f>
        <v/>
      </c>
      <c r="AA15">
        <f>HYPERLINK("https://klasma.github.io/Logging_2061/tillsyn/S 742-2025 tillsynsbegäran.docx", "S 742-2025")</f>
        <v/>
      </c>
      <c r="AB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46216</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HYPERLINK("https://klasma.github.io/Logging_2061/knärot/A 19410-2023 karta knärot.png", "A 19410-2023")</f>
        <v/>
      </c>
      <c r="Y16">
        <f>HYPERLINK("https://klasma.github.io/Logging_2061/klagomål/A 19410-2023 FSC-klagomål.docx", "A 19410-2023")</f>
        <v/>
      </c>
      <c r="Z16">
        <f>HYPERLINK("https://klasma.github.io/Logging_2061/klagomålsmail/A 19410-2023 FSC-klagomål mail.docx", "A 19410-2023")</f>
        <v/>
      </c>
      <c r="AA16">
        <f>HYPERLINK("https://klasma.github.io/Logging_2061/tillsyn/A 19410-2023 tillsynsbegäran.docx", "A 19410-2023")</f>
        <v/>
      </c>
      <c r="AB16">
        <f>HYPERLINK("https://klasma.github.io/Logging_2061/tillsynsmail/A 19410-2023 tillsynsbegäran mail.docx", "A 19410-2023")</f>
        <v/>
      </c>
      <c r="AC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46216</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HYPERLINK("https://klasma.github.io/Logging_2061/knärot/A 54940-2025 karta knärot.png", "A 54940-2025")</f>
        <v/>
      </c>
      <c r="Y17">
        <f>HYPERLINK("https://klasma.github.io/Logging_2061/klagomål/A 54940-2025 FSC-klagomål.docx", "A 54940-2025")</f>
        <v/>
      </c>
      <c r="Z17">
        <f>HYPERLINK("https://klasma.github.io/Logging_2061/klagomålsmail/A 54940-2025 FSC-klagomål mail.docx", "A 54940-2025")</f>
        <v/>
      </c>
      <c r="AA17">
        <f>HYPERLINK("https://klasma.github.io/Logging_2061/tillsyn/A 54940-2025 tillsynsbegäran.docx", "A 54940-2025")</f>
        <v/>
      </c>
      <c r="AB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46216</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s="2" t="inlineStr">
        <is>
          <t>Fjällig taggsvamp s.str.
Sotriska
Strimspindling
Svart trolldruva
Ögonpyrola</t>
        </is>
      </c>
      <c r="V18">
        <f>HYPERLINK("https://klasma.github.io/Logging_2061/artfynd/A 35889-2025 artfynd.xlsx", "A 35889-2025")</f>
        <v/>
      </c>
      <c r="W18">
        <f>HYPERLINK("https://klasma.github.io/Logging_2061/kartor/A 35889-2025 karta.png", "A 35889-2025")</f>
        <v/>
      </c>
      <c r="Y18">
        <f>HYPERLINK("https://klasma.github.io/Logging_2061/klagomål/A 35889-2025 FSC-klagomål.docx", "A 35889-2025")</f>
        <v/>
      </c>
      <c r="Z18">
        <f>HYPERLINK("https://klasma.github.io/Logging_2061/klagomålsmail/A 35889-2025 FSC-klagomål mail.docx", "A 35889-2025")</f>
        <v/>
      </c>
      <c r="AA18">
        <f>HYPERLINK("https://klasma.github.io/Logging_2061/tillsyn/A 35889-2025 tillsynsbegäran.docx", "A 35889-2025")</f>
        <v/>
      </c>
      <c r="AB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46216</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s="2" t="inlineStr">
        <is>
          <t>Knärot
Vedskivlav
Barkticka
Vedticka
Vågbandad barkbock</t>
        </is>
      </c>
      <c r="V19">
        <f>HYPERLINK("https://klasma.github.io/Logging_2061/artfynd/A 23498-2024 artfynd.xlsx", "A 23498-2024")</f>
        <v/>
      </c>
      <c r="W19">
        <f>HYPERLINK("https://klasma.github.io/Logging_2061/kartor/A 23498-2024 karta.png", "A 23498-2024")</f>
        <v/>
      </c>
      <c r="X19">
        <f>HYPERLINK("https://klasma.github.io/Logging_2061/knärot/A 23498-2024 karta knärot.png", "A 23498-2024")</f>
        <v/>
      </c>
      <c r="Y19">
        <f>HYPERLINK("https://klasma.github.io/Logging_2061/klagomål/A 23498-2024 FSC-klagomål.docx", "A 23498-2024")</f>
        <v/>
      </c>
      <c r="Z19">
        <f>HYPERLINK("https://klasma.github.io/Logging_2061/klagomålsmail/A 23498-2024 FSC-klagomål mail.docx", "A 23498-2024")</f>
        <v/>
      </c>
      <c r="AA19">
        <f>HYPERLINK("https://klasma.github.io/Logging_2061/tillsyn/A 23498-2024 tillsynsbegäran.docx", "A 23498-2024")</f>
        <v/>
      </c>
      <c r="AB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46216</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s="2" t="inlineStr">
        <is>
          <t>Brun gräsfjäril
Väddnätfjäril
Mattlummer
Fläcknycklar
Revlummer</t>
        </is>
      </c>
      <c r="V20">
        <f>HYPERLINK("https://klasma.github.io/Logging_2061/artfynd/A 60678-2024 artfynd.xlsx", "A 60678-2024")</f>
        <v/>
      </c>
      <c r="W20">
        <f>HYPERLINK("https://klasma.github.io/Logging_2061/kartor/A 60678-2024 karta.png", "A 60678-2024")</f>
        <v/>
      </c>
      <c r="Y20">
        <f>HYPERLINK("https://klasma.github.io/Logging_2061/klagomål/A 60678-2024 FSC-klagomål.docx", "A 60678-2024")</f>
        <v/>
      </c>
      <c r="Z20">
        <f>HYPERLINK("https://klasma.github.io/Logging_2061/klagomålsmail/A 60678-2024 FSC-klagomål mail.docx", "A 60678-2024")</f>
        <v/>
      </c>
      <c r="AA20">
        <f>HYPERLINK("https://klasma.github.io/Logging_2061/tillsyn/A 60678-2024 tillsynsbegäran.docx", "A 60678-2024")</f>
        <v/>
      </c>
      <c r="AB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46216</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Y21">
        <f>HYPERLINK("https://klasma.github.io/Logging_2061/klagomål/A 50681-2025 FSC-klagomål.docx", "A 50681-2025")</f>
        <v/>
      </c>
      <c r="Z21">
        <f>HYPERLINK("https://klasma.github.io/Logging_2061/klagomålsmail/A 50681-2025 FSC-klagomål mail.docx", "A 50681-2025")</f>
        <v/>
      </c>
      <c r="AA21">
        <f>HYPERLINK("https://klasma.github.io/Logging_2061/tillsyn/A 50681-2025 tillsynsbegäran.docx", "A 50681-2025")</f>
        <v/>
      </c>
      <c r="AB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46216</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HYPERLINK("https://klasma.github.io/Logging_2061/knärot/A 53555-2025 karta knärot.png", "A 53555-2025")</f>
        <v/>
      </c>
      <c r="Y22">
        <f>HYPERLINK("https://klasma.github.io/Logging_2061/klagomål/A 53555-2025 FSC-klagomål.docx", "A 53555-2025")</f>
        <v/>
      </c>
      <c r="Z22">
        <f>HYPERLINK("https://klasma.github.io/Logging_2061/klagomålsmail/A 53555-2025 FSC-klagomål mail.docx", "A 53555-2025")</f>
        <v/>
      </c>
      <c r="AA22">
        <f>HYPERLINK("https://klasma.github.io/Logging_2061/tillsyn/A 53555-2025 tillsynsbegäran.docx", "A 53555-2025")</f>
        <v/>
      </c>
      <c r="AB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46216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Y23">
        <f>HYPERLINK("https://klasma.github.io/Logging_2061/klagomål/S 4215-2023 FSC-klagomål.docx", "S 4215-2023")</f>
        <v/>
      </c>
      <c r="Z23">
        <f>HYPERLINK("https://klasma.github.io/Logging_2061/klagomålsmail/S 4215-2023 FSC-klagomål mail.docx", "S 4215-2023")</f>
        <v/>
      </c>
      <c r="AA23">
        <f>HYPERLINK("https://klasma.github.io/Logging_2061/tillsyn/S 4215-2023 tillsynsbegäran.docx", "S 4215-2023")</f>
        <v/>
      </c>
      <c r="AB23">
        <f>HYPERLINK("https://klasma.github.io/Logging_2061/tillsynsmail/S 4215-2023 tillsynsbegäran mail.docx", "S 4215-2023")</f>
        <v/>
      </c>
      <c r="AC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46216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Y24">
        <f>HYPERLINK("https://klasma.github.io/Logging_2061/klagomål/S 1097-2024 FSC-klagomål.docx", "S 1097-2024")</f>
        <v/>
      </c>
      <c r="Z24">
        <f>HYPERLINK("https://klasma.github.io/Logging_2061/klagomålsmail/S 1097-2024 FSC-klagomål mail.docx", "S 1097-2024")</f>
        <v/>
      </c>
      <c r="AA24">
        <f>HYPERLINK("https://klasma.github.io/Logging_2061/tillsyn/S 1097-2024 tillsynsbegäran.docx", "S 1097-2024")</f>
        <v/>
      </c>
      <c r="AB24">
        <f>HYPERLINK("https://klasma.github.io/Logging_2061/tillsynsmail/S 1097-2024 tillsynsbegäran mail.docx", "S 1097-2024")</f>
        <v/>
      </c>
      <c r="AC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46216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Y25">
        <f>HYPERLINK("https://klasma.github.io/Logging_2061/klagomål/A 31791-2022 FSC-klagomål.docx", "A 31791-2022")</f>
        <v/>
      </c>
      <c r="Z25">
        <f>HYPERLINK("https://klasma.github.io/Logging_2061/klagomålsmail/A 31791-2022 FSC-klagomål mail.docx", "A 31791-2022")</f>
        <v/>
      </c>
      <c r="AA25">
        <f>HYPERLINK("https://klasma.github.io/Logging_2061/tillsyn/A 31791-2022 tillsynsbegäran.docx", "A 31791-2022")</f>
        <v/>
      </c>
      <c r="AB25">
        <f>HYPERLINK("https://klasma.github.io/Logging_2061/tillsynsmail/A 31791-2022 tillsynsbegäran mail.docx", "A 31791-2022")</f>
        <v/>
      </c>
      <c r="AC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46216</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s="2" t="inlineStr">
        <is>
          <t>Grön sköldmossa
Stubbspretmossa
Blåsippa</t>
        </is>
      </c>
      <c r="V26">
        <f>HYPERLINK("https://klasma.github.io/Logging_2061/artfynd/A 11155-2025 artfynd.xlsx", "A 11155-2025")</f>
        <v/>
      </c>
      <c r="W26">
        <f>HYPERLINK("https://klasma.github.io/Logging_2061/kartor/A 11155-2025 karta.png", "A 11155-2025")</f>
        <v/>
      </c>
      <c r="Y26">
        <f>HYPERLINK("https://klasma.github.io/Logging_2061/klagomål/A 11155-2025 FSC-klagomål.docx", "A 11155-2025")</f>
        <v/>
      </c>
      <c r="Z26">
        <f>HYPERLINK("https://klasma.github.io/Logging_2061/klagomålsmail/A 11155-2025 FSC-klagomål mail.docx", "A 11155-2025")</f>
        <v/>
      </c>
      <c r="AA26">
        <f>HYPERLINK("https://klasma.github.io/Logging_2061/tillsyn/A 11155-2025 tillsynsbegäran.docx", "A 11155-2025")</f>
        <v/>
      </c>
      <c r="AB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46216</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s="2" t="inlineStr">
        <is>
          <t>Stubbspretmossa
Blåsippa
Revlummer</t>
        </is>
      </c>
      <c r="V27">
        <f>HYPERLINK("https://klasma.github.io/Logging_2061/artfynd/A 63048-2025 artfynd.xlsx", "A 63048-2025")</f>
        <v/>
      </c>
      <c r="W27">
        <f>HYPERLINK("https://klasma.github.io/Logging_2061/kartor/A 63048-2025 karta.png", "A 63048-2025")</f>
        <v/>
      </c>
      <c r="Y27">
        <f>HYPERLINK("https://klasma.github.io/Logging_2061/klagomål/A 63048-2025 FSC-klagomål.docx", "A 63048-2025")</f>
        <v/>
      </c>
      <c r="Z27">
        <f>HYPERLINK("https://klasma.github.io/Logging_2061/klagomålsmail/A 63048-2025 FSC-klagomål mail.docx", "A 63048-2025")</f>
        <v/>
      </c>
      <c r="AA27">
        <f>HYPERLINK("https://klasma.github.io/Logging_2061/tillsyn/A 63048-2025 tillsynsbegäran.docx", "A 63048-2025")</f>
        <v/>
      </c>
      <c r="AB27">
        <f>HYPERLINK("https://klasma.github.io/Logging_2061/tillsynsmail/A 63048-2025 tillsynsbegäran mail.docx", "A 63048-2025")</f>
        <v/>
      </c>
    </row>
    <row r="28" ht="15" customHeight="1">
      <c r="A28" t="inlineStr">
        <is>
          <t>A 40537-2021</t>
        </is>
      </c>
      <c r="B28" t="inlineStr">
        <is>
          <t>avverkningsanmälan</t>
        </is>
      </c>
      <c r="C28" t="inlineStr">
        <is>
          <t>Föryngringsavverkning</t>
        </is>
      </c>
      <c r="D28" s="1" t="n">
        <v>44420</v>
      </c>
      <c r="E28" s="1" t="n">
        <v>46216</v>
      </c>
      <c r="F28" t="inlineStr">
        <is>
          <t>DALARNAS LÄN</t>
        </is>
      </c>
      <c r="G28" t="inlineStr">
        <is>
          <t>SMEDJEBACKEN</t>
        </is>
      </c>
      <c r="H28" t="inlineStr">
        <is>
          <t>Övriga Aktiebolag</t>
        </is>
      </c>
      <c r="I28" t="n">
        <v>10</v>
      </c>
      <c r="J28" t="n">
        <v>2</v>
      </c>
      <c r="K28" t="n">
        <v>0</v>
      </c>
      <c r="L28" t="n">
        <v>2</v>
      </c>
      <c r="M28" t="n">
        <v>0</v>
      </c>
      <c r="N28" t="n">
        <v>0</v>
      </c>
      <c r="O28" t="n">
        <v>0</v>
      </c>
      <c r="P28" t="n">
        <v>0</v>
      </c>
      <c r="Q28" t="n">
        <v>2</v>
      </c>
      <c r="R28" t="n">
        <v>0</v>
      </c>
      <c r="S28" t="n">
        <v>3</v>
      </c>
      <c r="T28" t="n">
        <v>4</v>
      </c>
      <c r="U28" s="2" t="inlineStr">
        <is>
          <t>Dropptaggsvamp
Tretåig hackspett
Blåsippa</t>
        </is>
      </c>
      <c r="V28">
        <f>HYPERLINK("https://klasma.github.io/Logging_2061/artfynd/A 40537-2021 artfynd.xlsx", "A 40537-2021")</f>
        <v/>
      </c>
      <c r="W28">
        <f>HYPERLINK("https://klasma.github.io/Logging_2061/kartor/A 40537-2021 karta.png", "A 40537-2021")</f>
        <v/>
      </c>
      <c r="Y28">
        <f>HYPERLINK("https://klasma.github.io/Logging_2061/klagomål/A 40537-2021 FSC-klagomål.docx", "A 40537-2021")</f>
        <v/>
      </c>
      <c r="Z28">
        <f>HYPERLINK("https://klasma.github.io/Logging_2061/klagomålsmail/A 40537-2021 FSC-klagomål mail.docx", "A 40537-2021")</f>
        <v/>
      </c>
      <c r="AA28">
        <f>HYPERLINK("https://klasma.github.io/Logging_2061/tillsyn/A 40537-2021 tillsynsbegäran.docx", "A 40537-2021")</f>
        <v/>
      </c>
      <c r="AB28">
        <f>HYPERLINK("https://klasma.github.io/Logging_2061/tillsynsmail/A 40537-2021 tillsynsbegäran mail.docx", "A 40537-2021")</f>
        <v/>
      </c>
      <c r="AC28">
        <f>HYPERLINK("https://klasma.github.io/Logging_2061/fåglar/A 40537-2021 prioriterade fågelarter.docx", "A 40537-2021")</f>
        <v/>
      </c>
    </row>
    <row r="29" ht="15" customHeight="1">
      <c r="A29" t="inlineStr">
        <is>
          <t>A 39832-2024</t>
        </is>
      </c>
      <c r="B29" t="inlineStr">
        <is>
          <t>avverkningsanmälan</t>
        </is>
      </c>
      <c r="C29" t="inlineStr">
        <is>
          <t>Föryngringsavverkning</t>
        </is>
      </c>
      <c r="D29" s="1" t="n">
        <v>45553</v>
      </c>
      <c r="E29" s="1" t="n">
        <v>46216</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s="2" t="inlineStr">
        <is>
          <t>Mindre vattensalamander
Vanlig groda
Revlummer</t>
        </is>
      </c>
      <c r="V29">
        <f>HYPERLINK("https://klasma.github.io/Logging_2061/artfynd/A 39832-2024 artfynd.xlsx", "A 39832-2024")</f>
        <v/>
      </c>
      <c r="W29">
        <f>HYPERLINK("https://klasma.github.io/Logging_2061/kartor/A 39832-2024 karta.png", "A 39832-2024")</f>
        <v/>
      </c>
      <c r="Y29">
        <f>HYPERLINK("https://klasma.github.io/Logging_2061/klagomål/A 39832-2024 FSC-klagomål.docx", "A 39832-2024")</f>
        <v/>
      </c>
      <c r="Z29">
        <f>HYPERLINK("https://klasma.github.io/Logging_2061/klagomålsmail/A 39832-2024 FSC-klagomål mail.docx", "A 39832-2024")</f>
        <v/>
      </c>
      <c r="AA29">
        <f>HYPERLINK("https://klasma.github.io/Logging_2061/tillsyn/A 39832-2024 tillsynsbegäran.docx", "A 39832-2024")</f>
        <v/>
      </c>
      <c r="AB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46216</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s="2" t="inlineStr">
        <is>
          <t>Skogsalm
Brandticka
Dvärgtufs</t>
        </is>
      </c>
      <c r="V30">
        <f>HYPERLINK("https://klasma.github.io/Logging_2061/artfynd/A 22623-2026 artfynd.xlsx", "A 22623-2026")</f>
        <v/>
      </c>
      <c r="W30">
        <f>HYPERLINK("https://klasma.github.io/Logging_2061/kartor/A 22623-2026 karta.png", "A 22623-2026")</f>
        <v/>
      </c>
      <c r="Y30">
        <f>HYPERLINK("https://klasma.github.io/Logging_2061/klagomål/A 22623-2026 FSC-klagomål.docx", "A 22623-2026")</f>
        <v/>
      </c>
      <c r="Z30">
        <f>HYPERLINK("https://klasma.github.io/Logging_2061/klagomålsmail/A 22623-2026 FSC-klagomål mail.docx", "A 22623-2026")</f>
        <v/>
      </c>
      <c r="AA30">
        <f>HYPERLINK("https://klasma.github.io/Logging_2061/tillsyn/A 22623-2026 tillsynsbegäran.docx", "A 22623-2026")</f>
        <v/>
      </c>
      <c r="AB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46216</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Y31">
        <f>HYPERLINK("https://klasma.github.io/Logging_2061/klagomål/S 1103-2022 FSC-klagomål.docx", "S 1103-2022")</f>
        <v/>
      </c>
      <c r="Z31">
        <f>HYPERLINK("https://klasma.github.io/Logging_2061/klagomålsmail/S 1103-2022 FSC-klagomål mail.docx", "S 1103-2022")</f>
        <v/>
      </c>
      <c r="AA31">
        <f>HYPERLINK("https://klasma.github.io/Logging_2061/tillsyn/S 1103-2022 tillsynsbegäran.docx", "S 1103-2022")</f>
        <v/>
      </c>
      <c r="AB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46216</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Y32">
        <f>HYPERLINK("https://klasma.github.io/Logging_2061/klagomål/S 2703-2022 FSC-klagomål.docx", "S 2703-2022")</f>
        <v/>
      </c>
      <c r="Z32">
        <f>HYPERLINK("https://klasma.github.io/Logging_2061/klagomålsmail/S 2703-2022 FSC-klagomål mail.docx", "S 2703-2022")</f>
        <v/>
      </c>
      <c r="AA32">
        <f>HYPERLINK("https://klasma.github.io/Logging_2061/tillsyn/S 2703-2022 tillsynsbegäran.docx", "S 2703-2022")</f>
        <v/>
      </c>
      <c r="AB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46216</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Y33">
        <f>HYPERLINK("https://klasma.github.io/Logging_2061/klagomål/A 49834-2021 FSC-klagomål.docx", "A 49834-2021")</f>
        <v/>
      </c>
      <c r="Z33">
        <f>HYPERLINK("https://klasma.github.io/Logging_2061/klagomålsmail/A 49834-2021 FSC-klagomål mail.docx", "A 49834-2021")</f>
        <v/>
      </c>
      <c r="AA33">
        <f>HYPERLINK("https://klasma.github.io/Logging_2061/tillsyn/A 49834-2021 tillsynsbegäran.docx", "A 49834-2021")</f>
        <v/>
      </c>
      <c r="AB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46216</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HYPERLINK("https://klasma.github.io/Logging_2061/knärot/A 43377-2021 karta knärot.png", "A 43377-2021")</f>
        <v/>
      </c>
      <c r="Y34">
        <f>HYPERLINK("https://klasma.github.io/Logging_2061/klagomål/A 43377-2021 FSC-klagomål.docx", "A 43377-2021")</f>
        <v/>
      </c>
      <c r="Z34">
        <f>HYPERLINK("https://klasma.github.io/Logging_2061/klagomålsmail/A 43377-2021 FSC-klagomål mail.docx", "A 43377-2021")</f>
        <v/>
      </c>
      <c r="AA34">
        <f>HYPERLINK("https://klasma.github.io/Logging_2061/tillsyn/A 43377-2021 tillsynsbegäran.docx", "A 43377-2021")</f>
        <v/>
      </c>
      <c r="AB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46216</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Y35">
        <f>HYPERLINK("https://klasma.github.io/Logging_2061/klagomål/A 41870-2022 FSC-klagomål.docx", "A 41870-2022")</f>
        <v/>
      </c>
      <c r="Z35">
        <f>HYPERLINK("https://klasma.github.io/Logging_2061/klagomålsmail/A 41870-2022 FSC-klagomål mail.docx", "A 41870-2022")</f>
        <v/>
      </c>
      <c r="AA35">
        <f>HYPERLINK("https://klasma.github.io/Logging_2061/tillsyn/A 41870-2022 tillsynsbegäran.docx", "A 41870-2022")</f>
        <v/>
      </c>
      <c r="AB35">
        <f>HYPERLINK("https://klasma.github.io/Logging_2061/tillsynsmail/A 41870-2022 tillsynsbegäran mail.docx", "A 41870-2022")</f>
        <v/>
      </c>
    </row>
    <row r="36" ht="15" customHeight="1">
      <c r="A36" t="inlineStr">
        <is>
          <t>A 23619-2024</t>
        </is>
      </c>
      <c r="B36" t="inlineStr">
        <is>
          <t>avverkningsanmälan</t>
        </is>
      </c>
      <c r="C36" t="inlineStr">
        <is>
          <t>Föryngringsavverkning</t>
        </is>
      </c>
      <c r="D36" s="1" t="n">
        <v>45454</v>
      </c>
      <c r="E36" s="1" t="n">
        <v>46216</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s="2" t="inlineStr">
        <is>
          <t>Knärot
Dropptaggsvamp</t>
        </is>
      </c>
      <c r="V36">
        <f>HYPERLINK("https://klasma.github.io/Logging_2061/artfynd/A 23619-2024 artfynd.xlsx", "A 23619-2024")</f>
        <v/>
      </c>
      <c r="W36">
        <f>HYPERLINK("https://klasma.github.io/Logging_2061/kartor/A 23619-2024 karta.png", "A 23619-2024")</f>
        <v/>
      </c>
      <c r="X36">
        <f>HYPERLINK("https://klasma.github.io/Logging_2061/knärot/A 23619-2024 karta knärot.png", "A 23619-2024")</f>
        <v/>
      </c>
      <c r="Y36">
        <f>HYPERLINK("https://klasma.github.io/Logging_2061/klagomål/A 23619-2024 FSC-klagomål.docx", "A 23619-2024")</f>
        <v/>
      </c>
      <c r="Z36">
        <f>HYPERLINK("https://klasma.github.io/Logging_2061/klagomålsmail/A 23619-2024 FSC-klagomål mail.docx", "A 23619-2024")</f>
        <v/>
      </c>
      <c r="AA36">
        <f>HYPERLINK("https://klasma.github.io/Logging_2061/tillsyn/A 23619-2024 tillsynsbegäran.docx", "A 23619-2024")</f>
        <v/>
      </c>
      <c r="AB36">
        <f>HYPERLINK("https://klasma.github.io/Logging_2061/tillsynsmail/A 23619-2024 tillsynsbegäran mail.docx", "A 23619-2024")</f>
        <v/>
      </c>
    </row>
    <row r="37" ht="15" customHeight="1">
      <c r="A37" t="inlineStr">
        <is>
          <t>A 52242-2024</t>
        </is>
      </c>
      <c r="B37" t="inlineStr">
        <is>
          <t>avverkningsanmälan</t>
        </is>
      </c>
      <c r="C37" t="inlineStr">
        <is>
          <t>Föryngringsavverkning</t>
        </is>
      </c>
      <c r="D37" s="1" t="n">
        <v>45607</v>
      </c>
      <c r="E37" s="1" t="n">
        <v>46216</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s="2" t="inlineStr">
        <is>
          <t>Blåsippa
Havsörn</t>
        </is>
      </c>
      <c r="V37">
        <f>HYPERLINK("https://klasma.github.io/Logging_2061/artfynd/A 52242-2024 artfynd.xlsx", "A 52242-2024")</f>
        <v/>
      </c>
      <c r="W37">
        <f>HYPERLINK("https://klasma.github.io/Logging_2061/kartor/A 52242-2024 karta.png", "A 52242-2024")</f>
        <v/>
      </c>
      <c r="Y37">
        <f>HYPERLINK("https://klasma.github.io/Logging_2061/klagomål/A 52242-2024 FSC-klagomål.docx", "A 52242-2024")</f>
        <v/>
      </c>
      <c r="Z37">
        <f>HYPERLINK("https://klasma.github.io/Logging_2061/klagomålsmail/A 52242-2024 FSC-klagomål mail.docx", "A 52242-2024")</f>
        <v/>
      </c>
      <c r="AA37">
        <f>HYPERLINK("https://klasma.github.io/Logging_2061/tillsyn/A 52242-2024 tillsynsbegäran.docx", "A 52242-2024")</f>
        <v/>
      </c>
      <c r="AB37">
        <f>HYPERLINK("https://klasma.github.io/Logging_2061/tillsynsmail/A 52242-2024 tillsynsbegäran mail.docx", "A 52242-2024")</f>
        <v/>
      </c>
      <c r="AC37">
        <f>HYPERLINK("https://klasma.github.io/Logging_2061/fåglar/A 52242-2024 prioriterade fågelarter.docx", "A 52242-2024")</f>
        <v/>
      </c>
    </row>
    <row r="38" ht="15" customHeight="1">
      <c r="A38" t="inlineStr">
        <is>
          <t>A 18745-2025</t>
        </is>
      </c>
      <c r="B38" t="inlineStr">
        <is>
          <t>avverkningsanmälan</t>
        </is>
      </c>
      <c r="C38" t="inlineStr">
        <is>
          <t>Föryngringsavverkning</t>
        </is>
      </c>
      <c r="D38" s="1" t="n">
        <v>45763</v>
      </c>
      <c r="E38" s="1" t="n">
        <v>46216</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s="2" t="inlineStr">
        <is>
          <t>Jättesvampmal
Spillkråka</t>
        </is>
      </c>
      <c r="V38">
        <f>HYPERLINK("https://klasma.github.io/Logging_2061/artfynd/A 18745-2025 artfynd.xlsx", "A 18745-2025")</f>
        <v/>
      </c>
      <c r="W38">
        <f>HYPERLINK("https://klasma.github.io/Logging_2061/kartor/A 18745-2025 karta.png", "A 18745-2025")</f>
        <v/>
      </c>
      <c r="Y38">
        <f>HYPERLINK("https://klasma.github.io/Logging_2061/klagomål/A 18745-2025 FSC-klagomål.docx", "A 18745-2025")</f>
        <v/>
      </c>
      <c r="Z38">
        <f>HYPERLINK("https://klasma.github.io/Logging_2061/klagomålsmail/A 18745-2025 FSC-klagomål mail.docx", "A 18745-2025")</f>
        <v/>
      </c>
      <c r="AA38">
        <f>HYPERLINK("https://klasma.github.io/Logging_2061/tillsyn/A 18745-2025 tillsynsbegäran.docx", "A 18745-2025")</f>
        <v/>
      </c>
      <c r="AB38">
        <f>HYPERLINK("https://klasma.github.io/Logging_2061/tillsynsmail/A 18745-2025 tillsynsbegäran mail.docx", "A 18745-2025")</f>
        <v/>
      </c>
      <c r="AC38">
        <f>HYPERLINK("https://klasma.github.io/Logging_2061/fåglar/A 18745-2025 prioriterade fågelarter.docx", "A 18745-2025")</f>
        <v/>
      </c>
    </row>
    <row r="39" ht="15" customHeight="1">
      <c r="A39" t="inlineStr">
        <is>
          <t>A 57246-2021</t>
        </is>
      </c>
      <c r="B39" t="inlineStr">
        <is>
          <t>avverkningsanmälan</t>
        </is>
      </c>
      <c r="C39" t="inlineStr">
        <is>
          <t>Föryngringsavverkning</t>
        </is>
      </c>
      <c r="D39" s="1" t="n">
        <v>44482</v>
      </c>
      <c r="E39" s="1" t="n">
        <v>46216</v>
      </c>
      <c r="F39" t="inlineStr">
        <is>
          <t>DALARNAS LÄN</t>
        </is>
      </c>
      <c r="G39" t="inlineStr">
        <is>
          <t>SMEDJEBACKEN</t>
        </is>
      </c>
      <c r="H39" t="inlineStr">
        <is>
          <t>Bergvik skog väst AB</t>
        </is>
      </c>
      <c r="I39" t="n">
        <v>10.2</v>
      </c>
      <c r="J39" t="n">
        <v>0</v>
      </c>
      <c r="K39" t="n">
        <v>1</v>
      </c>
      <c r="L39" t="n">
        <v>1</v>
      </c>
      <c r="M39" t="n">
        <v>0</v>
      </c>
      <c r="N39" t="n">
        <v>0</v>
      </c>
      <c r="O39" t="n">
        <v>0</v>
      </c>
      <c r="P39" t="n">
        <v>0</v>
      </c>
      <c r="Q39" t="n">
        <v>1</v>
      </c>
      <c r="R39" t="n">
        <v>0</v>
      </c>
      <c r="S39" t="n">
        <v>2</v>
      </c>
      <c r="T39" t="n">
        <v>2</v>
      </c>
      <c r="U39" s="2" t="inlineStr">
        <is>
          <t>Vedtrappmossa
Flagellkvastmossa</t>
        </is>
      </c>
      <c r="V39">
        <f>HYPERLINK("https://klasma.github.io/Logging_2061/artfynd/A 57246-2021 artfynd.xlsx", "A 57246-2021")</f>
        <v/>
      </c>
      <c r="W39">
        <f>HYPERLINK("https://klasma.github.io/Logging_2061/kartor/A 57246-2021 karta.png", "A 57246-2021")</f>
        <v/>
      </c>
      <c r="Y39">
        <f>HYPERLINK("https://klasma.github.io/Logging_2061/klagomål/A 57246-2021 FSC-klagomål.docx", "A 57246-2021")</f>
        <v/>
      </c>
      <c r="Z39">
        <f>HYPERLINK("https://klasma.github.io/Logging_2061/klagomålsmail/A 57246-2021 FSC-klagomål mail.docx", "A 57246-2021")</f>
        <v/>
      </c>
      <c r="AA39">
        <f>HYPERLINK("https://klasma.github.io/Logging_2061/tillsyn/A 57246-2021 tillsynsbegäran.docx", "A 57246-2021")</f>
        <v/>
      </c>
      <c r="AB39">
        <f>HYPERLINK("https://klasma.github.io/Logging_2061/tillsynsmail/A 57246-2021 tillsynsbegäran mail.docx", "A 57246-2021")</f>
        <v/>
      </c>
    </row>
    <row r="40" ht="15" customHeight="1">
      <c r="A40" t="inlineStr">
        <is>
          <t>A 21421-2023</t>
        </is>
      </c>
      <c r="B40" t="inlineStr">
        <is>
          <t>avverkningsanmälan</t>
        </is>
      </c>
      <c r="C40" t="inlineStr">
        <is>
          <t>Föryngringsavverkning</t>
        </is>
      </c>
      <c r="D40" s="1" t="n">
        <v>45063</v>
      </c>
      <c r="E40" s="1" t="n">
        <v>46216</v>
      </c>
      <c r="F40" t="inlineStr">
        <is>
          <t>DALARNAS LÄN</t>
        </is>
      </c>
      <c r="G40" t="inlineStr">
        <is>
          <t>SMEDJEBACKEN</t>
        </is>
      </c>
      <c r="H40" t="inlineStr">
        <is>
          <t>Bergvik skog väst AB</t>
        </is>
      </c>
      <c r="I40" t="n">
        <v>0.5</v>
      </c>
      <c r="J40" t="n">
        <v>0</v>
      </c>
      <c r="K40" t="n">
        <v>0</v>
      </c>
      <c r="L40" t="n">
        <v>2</v>
      </c>
      <c r="M40" t="n">
        <v>0</v>
      </c>
      <c r="N40" t="n">
        <v>0</v>
      </c>
      <c r="O40" t="n">
        <v>0</v>
      </c>
      <c r="P40" t="n">
        <v>0</v>
      </c>
      <c r="Q40" t="n">
        <v>2</v>
      </c>
      <c r="R40" t="n">
        <v>0</v>
      </c>
      <c r="S40" t="n">
        <v>2</v>
      </c>
      <c r="T40" t="n">
        <v>2</v>
      </c>
      <c r="U40" s="2" t="inlineStr">
        <is>
          <t>Barrpraktbagge
Tallkötticka</t>
        </is>
      </c>
      <c r="V40">
        <f>HYPERLINK("https://klasma.github.io/Logging_2061/artfynd/A 21421-2023 artfynd.xlsx", "A 21421-2023")</f>
        <v/>
      </c>
      <c r="W40">
        <f>HYPERLINK("https://klasma.github.io/Logging_2061/kartor/A 21421-2023 karta.png", "A 21421-2023")</f>
        <v/>
      </c>
      <c r="Y40">
        <f>HYPERLINK("https://klasma.github.io/Logging_2061/klagomål/A 21421-2023 FSC-klagomål.docx", "A 21421-2023")</f>
        <v/>
      </c>
      <c r="Z40">
        <f>HYPERLINK("https://klasma.github.io/Logging_2061/klagomålsmail/A 21421-2023 FSC-klagomål mail.docx", "A 21421-2023")</f>
        <v/>
      </c>
      <c r="AA40">
        <f>HYPERLINK("https://klasma.github.io/Logging_2061/tillsyn/A 21421-2023 tillsynsbegäran.docx", "A 21421-2023")</f>
        <v/>
      </c>
      <c r="AB40">
        <f>HYPERLINK("https://klasma.github.io/Logging_2061/tillsynsmail/A 21421-2023 tillsynsbegäran mail.docx", "A 21421-2023")</f>
        <v/>
      </c>
    </row>
    <row r="41" ht="15" customHeight="1">
      <c r="A41" t="inlineStr">
        <is>
          <t>A 21423-2023</t>
        </is>
      </c>
      <c r="B41" t="inlineStr">
        <is>
          <t>avverkningsanmälan</t>
        </is>
      </c>
      <c r="C41" t="inlineStr">
        <is>
          <t>Föryngringsavverkning</t>
        </is>
      </c>
      <c r="D41" s="1" t="n">
        <v>45063</v>
      </c>
      <c r="E41" s="1" t="n">
        <v>46216</v>
      </c>
      <c r="F41" t="inlineStr">
        <is>
          <t>DALARNAS LÄN</t>
        </is>
      </c>
      <c r="G41" t="inlineStr">
        <is>
          <t>SMEDJEBACKEN</t>
        </is>
      </c>
      <c r="H41" t="inlineStr">
        <is>
          <t>Bergvik skog väst AB</t>
        </is>
      </c>
      <c r="I41" t="n">
        <v>0.5</v>
      </c>
      <c r="J41" t="n">
        <v>1</v>
      </c>
      <c r="K41" t="n">
        <v>0</v>
      </c>
      <c r="L41" t="n">
        <v>1</v>
      </c>
      <c r="M41" t="n">
        <v>0</v>
      </c>
      <c r="N41" t="n">
        <v>0</v>
      </c>
      <c r="O41" t="n">
        <v>0</v>
      </c>
      <c r="P41" t="n">
        <v>0</v>
      </c>
      <c r="Q41" t="n">
        <v>1</v>
      </c>
      <c r="R41" t="n">
        <v>0</v>
      </c>
      <c r="S41" t="n">
        <v>2</v>
      </c>
      <c r="T41" t="n">
        <v>2</v>
      </c>
      <c r="U41" s="2" t="inlineStr">
        <is>
          <t>Tallkötticka
Törnskata</t>
        </is>
      </c>
      <c r="V41">
        <f>HYPERLINK("https://klasma.github.io/Logging_2061/artfynd/A 21423-2023 artfynd.xlsx", "A 21423-2023")</f>
        <v/>
      </c>
      <c r="W41">
        <f>HYPERLINK("https://klasma.github.io/Logging_2061/kartor/A 21423-2023 karta.png", "A 21423-2023")</f>
        <v/>
      </c>
      <c r="Y41">
        <f>HYPERLINK("https://klasma.github.io/Logging_2061/klagomål/A 21423-2023 FSC-klagomål.docx", "A 21423-2023")</f>
        <v/>
      </c>
      <c r="Z41">
        <f>HYPERLINK("https://klasma.github.io/Logging_2061/klagomålsmail/A 21423-2023 FSC-klagomål mail.docx", "A 21423-2023")</f>
        <v/>
      </c>
      <c r="AA41">
        <f>HYPERLINK("https://klasma.github.io/Logging_2061/tillsyn/A 21423-2023 tillsynsbegäran.docx", "A 21423-2023")</f>
        <v/>
      </c>
      <c r="AB41">
        <f>HYPERLINK("https://klasma.github.io/Logging_2061/tillsynsmail/A 21423-2023 tillsynsbegäran mail.docx", "A 21423-2023")</f>
        <v/>
      </c>
      <c r="AC41">
        <f>HYPERLINK("https://klasma.github.io/Logging_2061/fåglar/A 21423-2023 prioriterade fågelarter.docx", "A 21423-2023")</f>
        <v/>
      </c>
    </row>
    <row r="42" ht="15" customHeight="1">
      <c r="A42" t="inlineStr">
        <is>
          <t>A 23645-2026</t>
        </is>
      </c>
      <c r="B42" t="inlineStr">
        <is>
          <t>avverkningsanmälan</t>
        </is>
      </c>
      <c r="C42" t="inlineStr">
        <is>
          <t>Föryngringsavverkning</t>
        </is>
      </c>
      <c r="D42" s="1" t="n">
        <v>46163</v>
      </c>
      <c r="E42" s="1" t="n">
        <v>46216</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s="2" t="inlineStr">
        <is>
          <t>Korallrot
Ögonpyrola</t>
        </is>
      </c>
      <c r="V42">
        <f>HYPERLINK("https://klasma.github.io/Logging_2061/artfynd/A 23645-2026 artfynd.xlsx", "A 23645-2026")</f>
        <v/>
      </c>
      <c r="W42">
        <f>HYPERLINK("https://klasma.github.io/Logging_2061/kartor/A 23645-2026 karta.png", "A 23645-2026")</f>
        <v/>
      </c>
      <c r="Y42">
        <f>HYPERLINK("https://klasma.github.io/Logging_2061/klagomål/A 23645-2026 FSC-klagomål.docx", "A 23645-2026")</f>
        <v/>
      </c>
      <c r="Z42">
        <f>HYPERLINK("https://klasma.github.io/Logging_2061/klagomålsmail/A 23645-2026 FSC-klagomål mail.docx", "A 23645-2026")</f>
        <v/>
      </c>
      <c r="AA42">
        <f>HYPERLINK("https://klasma.github.io/Logging_2061/tillsyn/A 23645-2026 tillsynsbegäran.docx", "A 23645-2026")</f>
        <v/>
      </c>
      <c r="AB42">
        <f>HYPERLINK("https://klasma.github.io/Logging_2061/tillsynsmail/A 23645-2026 tillsynsbegäran mail.docx", "A 23645-2026")</f>
        <v/>
      </c>
    </row>
    <row r="43" ht="15" customHeight="1">
      <c r="A43" t="inlineStr">
        <is>
          <t>A 29660-2026</t>
        </is>
      </c>
      <c r="B43" t="inlineStr">
        <is>
          <t>avverkningsanmälan</t>
        </is>
      </c>
      <c r="C43" t="inlineStr">
        <is>
          <t>Föryngringsavverkning</t>
        </is>
      </c>
      <c r="D43" s="1" t="n">
        <v>46204</v>
      </c>
      <c r="E43" s="1" t="n">
        <v>46216</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s="2" t="inlineStr">
        <is>
          <t>Ullticka
Blåsippa</t>
        </is>
      </c>
      <c r="V43">
        <f>HYPERLINK("https://klasma.github.io/Logging_2061/artfynd/A 29660-2026 artfynd.xlsx", "A 29660-2026")</f>
        <v/>
      </c>
      <c r="W43">
        <f>HYPERLINK("https://klasma.github.io/Logging_2061/kartor/A 29660-2026 karta.png", "A 29660-2026")</f>
        <v/>
      </c>
      <c r="Y43">
        <f>HYPERLINK("https://klasma.github.io/Logging_2061/klagomål/A 29660-2026 FSC-klagomål.docx", "A 29660-2026")</f>
        <v/>
      </c>
      <c r="Z43">
        <f>HYPERLINK("https://klasma.github.io/Logging_2061/klagomålsmail/A 29660-2026 FSC-klagomål mail.docx", "A 29660-2026")</f>
        <v/>
      </c>
      <c r="AA43">
        <f>HYPERLINK("https://klasma.github.io/Logging_2061/tillsyn/A 29660-2026 tillsynsbegäran.docx", "A 29660-2026")</f>
        <v/>
      </c>
      <c r="AB43">
        <f>HYPERLINK("https://klasma.github.io/Logging_2061/tillsynsmail/A 29660-2026 tillsynsbegäran mail.docx", "A 29660-2026")</f>
        <v/>
      </c>
    </row>
    <row r="44" ht="15" customHeight="1">
      <c r="A44" t="inlineStr">
        <is>
          <t>S 702-2025</t>
        </is>
      </c>
      <c r="B44" t="inlineStr">
        <is>
          <t>samrådsanmälan</t>
        </is>
      </c>
      <c r="C44" t="inlineStr">
        <is>
          <t>Skogsgödsling</t>
        </is>
      </c>
      <c r="D44" s="1" t="n">
        <v>45720</v>
      </c>
      <c r="E44" s="1" t="n">
        <v>46216</v>
      </c>
      <c r="F44" t="inlineStr">
        <is>
          <t>DALARNAS LÄN</t>
        </is>
      </c>
      <c r="G44" t="inlineStr">
        <is>
          <t>SMEDJEBACKEN</t>
        </is>
      </c>
      <c r="H44" t="inlineStr">
        <is>
          <t>Bergvik skog väst AB</t>
        </is>
      </c>
      <c r="I44" t="n">
        <v>214.7</v>
      </c>
      <c r="J44" t="n">
        <v>2</v>
      </c>
      <c r="K44" t="n">
        <v>0</v>
      </c>
      <c r="L44" t="n">
        <v>1</v>
      </c>
      <c r="M44" t="n">
        <v>0</v>
      </c>
      <c r="N44" t="n">
        <v>0</v>
      </c>
      <c r="O44" t="n">
        <v>0</v>
      </c>
      <c r="P44" t="n">
        <v>0</v>
      </c>
      <c r="Q44" t="n">
        <v>1</v>
      </c>
      <c r="R44" t="n">
        <v>0</v>
      </c>
      <c r="S44" t="n">
        <v>2</v>
      </c>
      <c r="T44" t="n">
        <v>3</v>
      </c>
      <c r="U44" s="2" t="inlineStr">
        <is>
          <t>Kungsörn
Tjäder</t>
        </is>
      </c>
      <c r="V44">
        <f>HYPERLINK("https://klasma.github.io/Logging_2061/artfynd/S 702-2025 artfynd.xlsx", "S 702-2025")</f>
        <v/>
      </c>
      <c r="W44">
        <f>HYPERLINK("https://klasma.github.io/Logging_2061/kartor/S 702-2025 karta.png", "S 702-2025")</f>
        <v/>
      </c>
      <c r="Y44">
        <f>HYPERLINK("https://klasma.github.io/Logging_2061/klagomål/S 702-2025 FSC-klagomål.docx", "S 702-2025")</f>
        <v/>
      </c>
      <c r="Z44">
        <f>HYPERLINK("https://klasma.github.io/Logging_2061/klagomålsmail/S 702-2025 FSC-klagomål mail.docx", "S 702-2025")</f>
        <v/>
      </c>
      <c r="AA44">
        <f>HYPERLINK("https://klasma.github.io/Logging_2061/tillsyn/S 702-2025 tillsynsbegäran.docx", "S 702-2025")</f>
        <v/>
      </c>
      <c r="AB44">
        <f>HYPERLINK("https://klasma.github.io/Logging_2061/tillsynsmail/S 702-2025 tillsynsbegäran mail.docx", "S 702-2025")</f>
        <v/>
      </c>
      <c r="AC44">
        <f>HYPERLINK("https://klasma.github.io/Logging_2061/fåglar/S 702-2025 prioriterade fågelarter.docx", "S 702-2025")</f>
        <v/>
      </c>
    </row>
    <row r="45" ht="15" customHeight="1">
      <c r="A45" t="inlineStr">
        <is>
          <t>S 608-2026</t>
        </is>
      </c>
      <c r="B45" t="inlineStr">
        <is>
          <t>samrådsanmälan</t>
        </is>
      </c>
      <c r="C45" t="inlineStr">
        <is>
          <t>Skogsgödsling</t>
        </is>
      </c>
      <c r="D45" s="1" t="n">
        <v>46085</v>
      </c>
      <c r="E45" s="1" t="n">
        <v>46216</v>
      </c>
      <c r="F45" t="inlineStr">
        <is>
          <t>DALARNAS LÄN</t>
        </is>
      </c>
      <c r="G45" t="inlineStr">
        <is>
          <t>SMEDJEBACKEN</t>
        </is>
      </c>
      <c r="H45" t="inlineStr">
        <is>
          <t>Bergvik skog väst AB</t>
        </is>
      </c>
      <c r="I45" t="n">
        <v>47.9</v>
      </c>
      <c r="J45" t="n">
        <v>2</v>
      </c>
      <c r="K45" t="n">
        <v>0</v>
      </c>
      <c r="L45" t="n">
        <v>0</v>
      </c>
      <c r="M45" t="n">
        <v>0</v>
      </c>
      <c r="N45" t="n">
        <v>0</v>
      </c>
      <c r="O45" t="n">
        <v>0</v>
      </c>
      <c r="P45" t="n">
        <v>0</v>
      </c>
      <c r="Q45" t="n">
        <v>0</v>
      </c>
      <c r="R45" t="n">
        <v>0</v>
      </c>
      <c r="S45" t="n">
        <v>2</v>
      </c>
      <c r="T45" t="n">
        <v>2</v>
      </c>
      <c r="U45" s="2" t="inlineStr">
        <is>
          <t>Fläcknycklar
Revlummer</t>
        </is>
      </c>
      <c r="V45">
        <f>HYPERLINK("https://klasma.github.io/Logging_2061/artfynd/S 608-2026 artfynd.xlsx", "S 608-2026")</f>
        <v/>
      </c>
      <c r="W45">
        <f>HYPERLINK("https://klasma.github.io/Logging_2061/kartor/S 608-2026 karta.png", "S 608-2026")</f>
        <v/>
      </c>
      <c r="Y45">
        <f>HYPERLINK("https://klasma.github.io/Logging_2061/klagomål/S 608-2026 FSC-klagomål.docx", "S 608-2026")</f>
        <v/>
      </c>
      <c r="Z45">
        <f>HYPERLINK("https://klasma.github.io/Logging_2061/klagomålsmail/S 608-2026 FSC-klagomål mail.docx", "S 608-2026")</f>
        <v/>
      </c>
      <c r="AA45">
        <f>HYPERLINK("https://klasma.github.io/Logging_2061/tillsyn/S 608-2026 tillsynsbegäran.docx", "S 608-2026")</f>
        <v/>
      </c>
      <c r="AB45">
        <f>HYPERLINK("https://klasma.github.io/Logging_2061/tillsynsmail/S 608-2026 tillsynsbegäran mail.docx", "S 608-2026")</f>
        <v/>
      </c>
    </row>
    <row r="46" ht="15" customHeight="1">
      <c r="A46" t="inlineStr">
        <is>
          <t>A 39816-2021</t>
        </is>
      </c>
      <c r="B46" t="inlineStr">
        <is>
          <t>avverkningsanmälan</t>
        </is>
      </c>
      <c r="C46" t="inlineStr">
        <is>
          <t>Föryngringsavverkning</t>
        </is>
      </c>
      <c r="D46" s="1" t="n">
        <v>44417</v>
      </c>
      <c r="E46" s="1" t="n">
        <v>46216</v>
      </c>
      <c r="F46" t="inlineStr">
        <is>
          <t>DALARNAS LÄN</t>
        </is>
      </c>
      <c r="G46" t="inlineStr">
        <is>
          <t>SMEDJEBACKEN</t>
        </is>
      </c>
      <c r="I46" t="n">
        <v>3.1</v>
      </c>
      <c r="J46" t="n">
        <v>1</v>
      </c>
      <c r="K46" t="n">
        <v>0</v>
      </c>
      <c r="L46" t="n">
        <v>0</v>
      </c>
      <c r="M46" t="n">
        <v>0</v>
      </c>
      <c r="N46" t="n">
        <v>0</v>
      </c>
      <c r="O46" t="n">
        <v>0</v>
      </c>
      <c r="P46" t="n">
        <v>0</v>
      </c>
      <c r="Q46" t="n">
        <v>0</v>
      </c>
      <c r="R46" t="n">
        <v>0</v>
      </c>
      <c r="S46" t="n">
        <v>1</v>
      </c>
      <c r="T46" t="n">
        <v>1</v>
      </c>
      <c r="U46" s="2" t="inlineStr">
        <is>
          <t>Fläcknycklar</t>
        </is>
      </c>
      <c r="V46">
        <f>HYPERLINK("https://klasma.github.io/Logging_2061/artfynd/A 39816-2021 artfynd.xlsx", "A 39816-2021")</f>
        <v/>
      </c>
      <c r="W46">
        <f>HYPERLINK("https://klasma.github.io/Logging_2061/kartor/A 39816-2021 karta.png", "A 39816-2021")</f>
        <v/>
      </c>
      <c r="Y46">
        <f>HYPERLINK("https://klasma.github.io/Logging_2061/klagomål/A 39816-2021 FSC-klagomål.docx", "A 39816-2021")</f>
        <v/>
      </c>
      <c r="Z46">
        <f>HYPERLINK("https://klasma.github.io/Logging_2061/klagomålsmail/A 39816-2021 FSC-klagomål mail.docx", "A 39816-2021")</f>
        <v/>
      </c>
      <c r="AA46">
        <f>HYPERLINK("https://klasma.github.io/Logging_2061/tillsyn/A 39816-2021 tillsynsbegäran.docx", "A 39816-2021")</f>
        <v/>
      </c>
      <c r="AB46">
        <f>HYPERLINK("https://klasma.github.io/Logging_2061/tillsynsmail/A 39816-2021 tillsynsbegäran mail.docx", "A 39816-2021")</f>
        <v/>
      </c>
    </row>
    <row r="47" ht="15" customHeight="1">
      <c r="A47" t="inlineStr">
        <is>
          <t>A 36385-2021</t>
        </is>
      </c>
      <c r="B47" t="inlineStr">
        <is>
          <t>avverkningsanmälan</t>
        </is>
      </c>
      <c r="C47" t="inlineStr">
        <is>
          <t>Föryngringsavverkning</t>
        </is>
      </c>
      <c r="D47" s="1" t="n">
        <v>44390</v>
      </c>
      <c r="E47" s="1" t="n">
        <v>46216</v>
      </c>
      <c r="F47" t="inlineStr">
        <is>
          <t>DALARNAS LÄN</t>
        </is>
      </c>
      <c r="G47" t="inlineStr">
        <is>
          <t>SMEDJEBACKEN</t>
        </is>
      </c>
      <c r="I47" t="n">
        <v>4.2</v>
      </c>
      <c r="J47" t="n">
        <v>1</v>
      </c>
      <c r="K47" t="n">
        <v>0</v>
      </c>
      <c r="L47" t="n">
        <v>1</v>
      </c>
      <c r="M47" t="n">
        <v>0</v>
      </c>
      <c r="N47" t="n">
        <v>0</v>
      </c>
      <c r="O47" t="n">
        <v>0</v>
      </c>
      <c r="P47" t="n">
        <v>0</v>
      </c>
      <c r="Q47" t="n">
        <v>1</v>
      </c>
      <c r="R47" t="n">
        <v>0</v>
      </c>
      <c r="S47" t="n">
        <v>1</v>
      </c>
      <c r="T47" t="n">
        <v>1</v>
      </c>
      <c r="U47" s="2" t="inlineStr">
        <is>
          <t>Nordfladdermus</t>
        </is>
      </c>
      <c r="V47">
        <f>HYPERLINK("https://klasma.github.io/Logging_2061/artfynd/A 36385-2021 artfynd.xlsx", "A 36385-2021")</f>
        <v/>
      </c>
      <c r="W47">
        <f>HYPERLINK("https://klasma.github.io/Logging_2061/kartor/A 36385-2021 karta.png", "A 36385-2021")</f>
        <v/>
      </c>
      <c r="Y47">
        <f>HYPERLINK("https://klasma.github.io/Logging_2061/klagomål/A 36385-2021 FSC-klagomål.docx", "A 36385-2021")</f>
        <v/>
      </c>
      <c r="Z47">
        <f>HYPERLINK("https://klasma.github.io/Logging_2061/klagomålsmail/A 36385-2021 FSC-klagomål mail.docx", "A 36385-2021")</f>
        <v/>
      </c>
      <c r="AA47">
        <f>HYPERLINK("https://klasma.github.io/Logging_2061/tillsyn/A 36385-2021 tillsynsbegäran.docx", "A 36385-2021")</f>
        <v/>
      </c>
      <c r="AB47">
        <f>HYPERLINK("https://klasma.github.io/Logging_2061/tillsynsmail/A 36385-2021 tillsynsbegäran mail.docx", "A 36385-2021")</f>
        <v/>
      </c>
    </row>
    <row r="48" ht="15" customHeight="1">
      <c r="A48" t="inlineStr">
        <is>
          <t>A 34382-2022</t>
        </is>
      </c>
      <c r="B48" t="inlineStr">
        <is>
          <t>avverkningsanmälan</t>
        </is>
      </c>
      <c r="C48" t="inlineStr">
        <is>
          <t>Föryngringsavverkning</t>
        </is>
      </c>
      <c r="D48" s="1" t="n">
        <v>44792</v>
      </c>
      <c r="E48" s="1" t="n">
        <v>46216</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s="2" t="inlineStr">
        <is>
          <t>Sparvuggla</t>
        </is>
      </c>
      <c r="V48">
        <f>HYPERLINK("https://klasma.github.io/Logging_2061/artfynd/A 34382-2022 artfynd.xlsx", "A 34382-2022")</f>
        <v/>
      </c>
      <c r="W48">
        <f>HYPERLINK("https://klasma.github.io/Logging_2061/kartor/A 34382-2022 karta.png", "A 34382-2022")</f>
        <v/>
      </c>
      <c r="Y48">
        <f>HYPERLINK("https://klasma.github.io/Logging_2061/klagomål/A 34382-2022 FSC-klagomål.docx", "A 34382-2022")</f>
        <v/>
      </c>
      <c r="Z48">
        <f>HYPERLINK("https://klasma.github.io/Logging_2061/klagomålsmail/A 34382-2022 FSC-klagomål mail.docx", "A 34382-2022")</f>
        <v/>
      </c>
      <c r="AA48">
        <f>HYPERLINK("https://klasma.github.io/Logging_2061/tillsyn/A 34382-2022 tillsynsbegäran.docx", "A 34382-2022")</f>
        <v/>
      </c>
      <c r="AB48">
        <f>HYPERLINK("https://klasma.github.io/Logging_2061/tillsynsmail/A 34382-2022 tillsynsbegäran mail.docx", "A 34382-2022")</f>
        <v/>
      </c>
      <c r="AC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46216</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s="2" t="inlineStr">
        <is>
          <t>Älg</t>
        </is>
      </c>
      <c r="V49">
        <f>HYPERLINK("https://klasma.github.io/Logging_2061/artfynd/A 21703-2023 artfynd.xlsx", "A 21703-2023")</f>
        <v/>
      </c>
      <c r="W49">
        <f>HYPERLINK("https://klasma.github.io/Logging_2061/kartor/A 21703-2023 karta.png", "A 21703-2023")</f>
        <v/>
      </c>
      <c r="Y49">
        <f>HYPERLINK("https://klasma.github.io/Logging_2061/klagomål/A 21703-2023 FSC-klagomål.docx", "A 21703-2023")</f>
        <v/>
      </c>
      <c r="Z49">
        <f>HYPERLINK("https://klasma.github.io/Logging_2061/klagomålsmail/A 21703-2023 FSC-klagomål mail.docx", "A 21703-2023")</f>
        <v/>
      </c>
      <c r="AA49">
        <f>HYPERLINK("https://klasma.github.io/Logging_2061/tillsyn/A 21703-2023 tillsynsbegäran.docx", "A 21703-2023")</f>
        <v/>
      </c>
      <c r="AB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46216</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s="2" t="inlineStr">
        <is>
          <t>Fjällig taggsvamp s.str.</t>
        </is>
      </c>
      <c r="V50">
        <f>HYPERLINK("https://klasma.github.io/Logging_2061/artfynd/A 37313-2024 artfynd.xlsx", "A 37313-2024")</f>
        <v/>
      </c>
      <c r="W50">
        <f>HYPERLINK("https://klasma.github.io/Logging_2061/kartor/A 37313-2024 karta.png", "A 37313-2024")</f>
        <v/>
      </c>
      <c r="Y50">
        <f>HYPERLINK("https://klasma.github.io/Logging_2061/klagomål/A 37313-2024 FSC-klagomål.docx", "A 37313-2024")</f>
        <v/>
      </c>
      <c r="Z50">
        <f>HYPERLINK("https://klasma.github.io/Logging_2061/klagomålsmail/A 37313-2024 FSC-klagomål mail.docx", "A 37313-2024")</f>
        <v/>
      </c>
      <c r="AA50">
        <f>HYPERLINK("https://klasma.github.io/Logging_2061/tillsyn/A 37313-2024 tillsynsbegäran.docx", "A 37313-2024")</f>
        <v/>
      </c>
      <c r="AB50">
        <f>HYPERLINK("https://klasma.github.io/Logging_2061/tillsynsmail/A 37313-2024 tillsynsbegäran mail.docx", "A 37313-2024")</f>
        <v/>
      </c>
    </row>
    <row r="51" ht="15" customHeight="1">
      <c r="A51" t="inlineStr">
        <is>
          <t>A 53977-2023</t>
        </is>
      </c>
      <c r="B51" t="inlineStr">
        <is>
          <t>avverkningsanmälan</t>
        </is>
      </c>
      <c r="C51" t="inlineStr">
        <is>
          <t>Föryngringsavverkning</t>
        </is>
      </c>
      <c r="D51" s="1" t="n">
        <v>45225</v>
      </c>
      <c r="E51" s="1" t="n">
        <v>46216</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s="2" t="inlineStr">
        <is>
          <t>Nattskärra</t>
        </is>
      </c>
      <c r="V51">
        <f>HYPERLINK("https://klasma.github.io/Logging_2061/artfynd/A 53977-2023 artfynd.xlsx", "A 53977-2023")</f>
        <v/>
      </c>
      <c r="W51">
        <f>HYPERLINK("https://klasma.github.io/Logging_2061/kartor/A 53977-2023 karta.png", "A 53977-2023")</f>
        <v/>
      </c>
      <c r="Y51">
        <f>HYPERLINK("https://klasma.github.io/Logging_2061/klagomål/A 53977-2023 FSC-klagomål.docx", "A 53977-2023")</f>
        <v/>
      </c>
      <c r="Z51">
        <f>HYPERLINK("https://klasma.github.io/Logging_2061/klagomålsmail/A 53977-2023 FSC-klagomål mail.docx", "A 53977-2023")</f>
        <v/>
      </c>
      <c r="AA51">
        <f>HYPERLINK("https://klasma.github.io/Logging_2061/tillsyn/A 53977-2023 tillsynsbegäran.docx", "A 53977-2023")</f>
        <v/>
      </c>
      <c r="AB51">
        <f>HYPERLINK("https://klasma.github.io/Logging_2061/tillsynsmail/A 53977-2023 tillsynsbegäran mail.docx", "A 53977-2023")</f>
        <v/>
      </c>
      <c r="AC51">
        <f>HYPERLINK("https://klasma.github.io/Logging_2061/fåglar/A 53977-2023 prioriterade fågelarter.docx", "A 53977-2023")</f>
        <v/>
      </c>
    </row>
    <row r="52" ht="15" customHeight="1">
      <c r="A52" t="inlineStr">
        <is>
          <t>A 6280-2025</t>
        </is>
      </c>
      <c r="B52" t="inlineStr">
        <is>
          <t>avverkningsanmälan</t>
        </is>
      </c>
      <c r="C52" t="inlineStr">
        <is>
          <t>Föryngringsavverkning</t>
        </is>
      </c>
      <c r="D52" s="1" t="n">
        <v>45698</v>
      </c>
      <c r="E52" s="1" t="n">
        <v>46216</v>
      </c>
      <c r="F52" t="inlineStr">
        <is>
          <t>DALARNAS LÄN</t>
        </is>
      </c>
      <c r="G52" t="inlineStr">
        <is>
          <t>SMEDJEBACKEN</t>
        </is>
      </c>
      <c r="I52" t="n">
        <v>3.3</v>
      </c>
      <c r="J52" t="n">
        <v>0</v>
      </c>
      <c r="K52" t="n">
        <v>1</v>
      </c>
      <c r="L52" t="n">
        <v>0</v>
      </c>
      <c r="M52" t="n">
        <v>0</v>
      </c>
      <c r="N52" t="n">
        <v>0</v>
      </c>
      <c r="O52" t="n">
        <v>0</v>
      </c>
      <c r="P52" t="n">
        <v>0</v>
      </c>
      <c r="Q52" t="n">
        <v>0</v>
      </c>
      <c r="R52" t="n">
        <v>0</v>
      </c>
      <c r="S52" t="n">
        <v>1</v>
      </c>
      <c r="T52" t="n">
        <v>3</v>
      </c>
      <c r="U52" s="2" t="inlineStr">
        <is>
          <t>Tibast</t>
        </is>
      </c>
      <c r="V52">
        <f>HYPERLINK("https://klasma.github.io/Logging_2061/artfynd/A 6280-2025 artfynd.xlsx", "A 6280-2025")</f>
        <v/>
      </c>
      <c r="W52">
        <f>HYPERLINK("https://klasma.github.io/Logging_2061/kartor/A 6280-2025 karta.png", "A 6280-2025")</f>
        <v/>
      </c>
      <c r="Y52">
        <f>HYPERLINK("https://klasma.github.io/Logging_2061/klagomål/A 6280-2025 FSC-klagomål.docx", "A 6280-2025")</f>
        <v/>
      </c>
      <c r="Z52">
        <f>HYPERLINK("https://klasma.github.io/Logging_2061/klagomålsmail/A 6280-2025 FSC-klagomål mail.docx", "A 6280-2025")</f>
        <v/>
      </c>
      <c r="AA52">
        <f>HYPERLINK("https://klasma.github.io/Logging_2061/tillsyn/A 6280-2025 tillsynsbegäran.docx", "A 6280-2025")</f>
        <v/>
      </c>
      <c r="AB52">
        <f>HYPERLINK("https://klasma.github.io/Logging_2061/tillsynsmail/A 6280-2025 tillsynsbegäran mail.docx", "A 6280-2025")</f>
        <v/>
      </c>
    </row>
    <row r="53" ht="15" customHeight="1">
      <c r="A53" t="inlineStr">
        <is>
          <t>A 54156-2023</t>
        </is>
      </c>
      <c r="B53" t="inlineStr">
        <is>
          <t>avverkningsanmälan</t>
        </is>
      </c>
      <c r="C53" t="inlineStr">
        <is>
          <t>Föryngringsavverkning</t>
        </is>
      </c>
      <c r="D53" s="1" t="n">
        <v>45225</v>
      </c>
      <c r="E53" s="1" t="n">
        <v>46216</v>
      </c>
      <c r="F53" t="inlineStr">
        <is>
          <t>DALARNAS LÄN</t>
        </is>
      </c>
      <c r="G53" t="inlineStr">
        <is>
          <t>SMEDJEBACKEN</t>
        </is>
      </c>
      <c r="H53" t="inlineStr">
        <is>
          <t>Bergvik skog väst AB</t>
        </is>
      </c>
      <c r="I53" t="n">
        <v>26.3</v>
      </c>
      <c r="J53" t="n">
        <v>1</v>
      </c>
      <c r="K53" t="n">
        <v>0</v>
      </c>
      <c r="L53" t="n">
        <v>0</v>
      </c>
      <c r="M53" t="n">
        <v>0</v>
      </c>
      <c r="N53" t="n">
        <v>0</v>
      </c>
      <c r="O53" t="n">
        <v>0</v>
      </c>
      <c r="P53" t="n">
        <v>0</v>
      </c>
      <c r="Q53" t="n">
        <v>0</v>
      </c>
      <c r="R53" t="n">
        <v>0</v>
      </c>
      <c r="S53" t="n">
        <v>1</v>
      </c>
      <c r="T53" t="n">
        <v>1</v>
      </c>
      <c r="U53" s="2" t="inlineStr">
        <is>
          <t>Revlummer</t>
        </is>
      </c>
      <c r="V53">
        <f>HYPERLINK("https://klasma.github.io/Logging_2061/artfynd/A 54156-2023 artfynd.xlsx", "A 54156-2023")</f>
        <v/>
      </c>
      <c r="W53">
        <f>HYPERLINK("https://klasma.github.io/Logging_2061/kartor/A 54156-2023 karta.png", "A 54156-2023")</f>
        <v/>
      </c>
      <c r="Y53">
        <f>HYPERLINK("https://klasma.github.io/Logging_2061/klagomål/A 54156-2023 FSC-klagomål.docx", "A 54156-2023")</f>
        <v/>
      </c>
      <c r="Z53">
        <f>HYPERLINK("https://klasma.github.io/Logging_2061/klagomålsmail/A 54156-2023 FSC-klagomål mail.docx", "A 54156-2023")</f>
        <v/>
      </c>
      <c r="AA53">
        <f>HYPERLINK("https://klasma.github.io/Logging_2061/tillsyn/A 54156-2023 tillsynsbegäran.docx", "A 54156-2023")</f>
        <v/>
      </c>
      <c r="AB53">
        <f>HYPERLINK("https://klasma.github.io/Logging_2061/tillsynsmail/A 54156-2023 tillsynsbegäran mail.docx", "A 54156-2023")</f>
        <v/>
      </c>
    </row>
    <row r="54" ht="15" customHeight="1">
      <c r="A54" t="inlineStr">
        <is>
          <t>A 41336-2022</t>
        </is>
      </c>
      <c r="B54" t="inlineStr">
        <is>
          <t>avverkningsanmälan</t>
        </is>
      </c>
      <c r="C54" t="inlineStr">
        <is>
          <t>Föryngringsavverkning</t>
        </is>
      </c>
      <c r="D54" s="1" t="n">
        <v>44826</v>
      </c>
      <c r="E54" s="1" t="n">
        <v>46216</v>
      </c>
      <c r="F54" t="inlineStr">
        <is>
          <t>DALARNAS LÄN</t>
        </is>
      </c>
      <c r="G54" t="inlineStr">
        <is>
          <t>SMEDJEBACKEN</t>
        </is>
      </c>
      <c r="I54" t="n">
        <v>2.3</v>
      </c>
      <c r="J54" t="n">
        <v>1</v>
      </c>
      <c r="K54" t="n">
        <v>0</v>
      </c>
      <c r="L54" t="n">
        <v>0</v>
      </c>
      <c r="M54" t="n">
        <v>0</v>
      </c>
      <c r="N54" t="n">
        <v>0</v>
      </c>
      <c r="O54" t="n">
        <v>0</v>
      </c>
      <c r="P54" t="n">
        <v>0</v>
      </c>
      <c r="Q54" t="n">
        <v>0</v>
      </c>
      <c r="R54" t="n">
        <v>0</v>
      </c>
      <c r="S54" t="n">
        <v>1</v>
      </c>
      <c r="T54" t="n">
        <v>1</v>
      </c>
      <c r="U54" s="2" t="inlineStr">
        <is>
          <t>Spillkråka</t>
        </is>
      </c>
      <c r="V54">
        <f>HYPERLINK("https://klasma.github.io/Logging_2061/artfynd/A 41336-2022 artfynd.xlsx", "A 41336-2022")</f>
        <v/>
      </c>
      <c r="W54">
        <f>HYPERLINK("https://klasma.github.io/Logging_2061/kartor/A 41336-2022 karta.png", "A 41336-2022")</f>
        <v/>
      </c>
      <c r="Y54">
        <f>HYPERLINK("https://klasma.github.io/Logging_2061/klagomål/A 41336-2022 FSC-klagomål.docx", "A 41336-2022")</f>
        <v/>
      </c>
      <c r="Z54">
        <f>HYPERLINK("https://klasma.github.io/Logging_2061/klagomålsmail/A 41336-2022 FSC-klagomål mail.docx", "A 41336-2022")</f>
        <v/>
      </c>
      <c r="AA54">
        <f>HYPERLINK("https://klasma.github.io/Logging_2061/tillsyn/A 41336-2022 tillsynsbegäran.docx", "A 41336-2022")</f>
        <v/>
      </c>
      <c r="AB54">
        <f>HYPERLINK("https://klasma.github.io/Logging_2061/tillsynsmail/A 41336-2022 tillsynsbegäran mail.docx", "A 41336-2022")</f>
        <v/>
      </c>
      <c r="AC54">
        <f>HYPERLINK("https://klasma.github.io/Logging_2061/fåglar/A 41336-2022 prioriterade fågelarter.docx", "A 41336-2022")</f>
        <v/>
      </c>
    </row>
    <row r="55" ht="15" customHeight="1">
      <c r="A55" t="inlineStr">
        <is>
          <t>A 56659-2025</t>
        </is>
      </c>
      <c r="B55" t="inlineStr">
        <is>
          <t>avverkningsanmälan</t>
        </is>
      </c>
      <c r="C55" t="inlineStr">
        <is>
          <t>Föryngringsavverkning</t>
        </is>
      </c>
      <c r="D55" s="1" t="n">
        <v>45975</v>
      </c>
      <c r="E55" s="1" t="n">
        <v>46216</v>
      </c>
      <c r="F55" t="inlineStr">
        <is>
          <t>DALARNAS LÄN</t>
        </is>
      </c>
      <c r="G55" t="inlineStr">
        <is>
          <t>SMEDJEBACKEN</t>
        </is>
      </c>
      <c r="I55" t="n">
        <v>1.7</v>
      </c>
      <c r="J55" t="n">
        <v>0</v>
      </c>
      <c r="K55" t="n">
        <v>0</v>
      </c>
      <c r="L55" t="n">
        <v>1</v>
      </c>
      <c r="M55" t="n">
        <v>0</v>
      </c>
      <c r="N55" t="n">
        <v>0</v>
      </c>
      <c r="O55" t="n">
        <v>0</v>
      </c>
      <c r="P55" t="n">
        <v>0</v>
      </c>
      <c r="Q55" t="n">
        <v>1</v>
      </c>
      <c r="R55" t="n">
        <v>0</v>
      </c>
      <c r="S55" t="n">
        <v>1</v>
      </c>
      <c r="T55" t="n">
        <v>1</v>
      </c>
      <c r="U55" s="2" t="inlineStr">
        <is>
          <t>Grentaggsvamp</t>
        </is>
      </c>
      <c r="V55">
        <f>HYPERLINK("https://klasma.github.io/Logging_2061/artfynd/A 56659-2025 artfynd.xlsx", "A 56659-2025")</f>
        <v/>
      </c>
      <c r="W55">
        <f>HYPERLINK("https://klasma.github.io/Logging_2061/kartor/A 56659-2025 karta.png", "A 56659-2025")</f>
        <v/>
      </c>
      <c r="Y55">
        <f>HYPERLINK("https://klasma.github.io/Logging_2061/klagomål/A 56659-2025 FSC-klagomål.docx", "A 56659-2025")</f>
        <v/>
      </c>
      <c r="Z55">
        <f>HYPERLINK("https://klasma.github.io/Logging_2061/klagomålsmail/A 56659-2025 FSC-klagomål mail.docx", "A 56659-2025")</f>
        <v/>
      </c>
      <c r="AA55">
        <f>HYPERLINK("https://klasma.github.io/Logging_2061/tillsyn/A 56659-2025 tillsynsbegäran.docx", "A 56659-2025")</f>
        <v/>
      </c>
      <c r="AB55">
        <f>HYPERLINK("https://klasma.github.io/Logging_2061/tillsynsmail/A 56659-2025 tillsynsbegäran mail.docx", "A 56659-2025")</f>
        <v/>
      </c>
    </row>
    <row r="56" ht="15" customHeight="1">
      <c r="A56" t="inlineStr">
        <is>
          <t>A 60816-2025</t>
        </is>
      </c>
      <c r="B56" t="inlineStr">
        <is>
          <t>avverkningsanmälan</t>
        </is>
      </c>
      <c r="C56" t="inlineStr">
        <is>
          <t>Föryngringsavverkning</t>
        </is>
      </c>
      <c r="D56" s="1" t="n">
        <v>45999</v>
      </c>
      <c r="E56" s="1" t="n">
        <v>46216</v>
      </c>
      <c r="F56" t="inlineStr">
        <is>
          <t>DALARNAS LÄN</t>
        </is>
      </c>
      <c r="G56" t="inlineStr">
        <is>
          <t>SMEDJEBACKEN</t>
        </is>
      </c>
      <c r="I56" t="n">
        <v>2.3</v>
      </c>
      <c r="J56" t="n">
        <v>0</v>
      </c>
      <c r="K56" t="n">
        <v>1</v>
      </c>
      <c r="L56" t="n">
        <v>0</v>
      </c>
      <c r="M56" t="n">
        <v>0</v>
      </c>
      <c r="N56" t="n">
        <v>0</v>
      </c>
      <c r="O56" t="n">
        <v>0</v>
      </c>
      <c r="P56" t="n">
        <v>0</v>
      </c>
      <c r="Q56" t="n">
        <v>0</v>
      </c>
      <c r="R56" t="n">
        <v>0</v>
      </c>
      <c r="S56" t="n">
        <v>1</v>
      </c>
      <c r="T56" t="n">
        <v>1</v>
      </c>
      <c r="U56" s="2" t="inlineStr">
        <is>
          <t>Jättesvampmal</t>
        </is>
      </c>
      <c r="V56">
        <f>HYPERLINK("https://klasma.github.io/Logging_2061/artfynd/A 60816-2025 artfynd.xlsx", "A 60816-2025")</f>
        <v/>
      </c>
      <c r="W56">
        <f>HYPERLINK("https://klasma.github.io/Logging_2061/kartor/A 60816-2025 karta.png", "A 60816-2025")</f>
        <v/>
      </c>
      <c r="Y56">
        <f>HYPERLINK("https://klasma.github.io/Logging_2061/klagomål/A 60816-2025 FSC-klagomål.docx", "A 60816-2025")</f>
        <v/>
      </c>
      <c r="Z56">
        <f>HYPERLINK("https://klasma.github.io/Logging_2061/klagomålsmail/A 60816-2025 FSC-klagomål mail.docx", "A 60816-2025")</f>
        <v/>
      </c>
      <c r="AA56">
        <f>HYPERLINK("https://klasma.github.io/Logging_2061/tillsyn/A 60816-2025 tillsynsbegäran.docx", "A 60816-2025")</f>
        <v/>
      </c>
      <c r="AB56">
        <f>HYPERLINK("https://klasma.github.io/Logging_2061/tillsynsmail/A 60816-2025 tillsynsbegäran mail.docx", "A 60816-2025")</f>
        <v/>
      </c>
    </row>
    <row r="57" ht="15" customHeight="1">
      <c r="A57" t="inlineStr">
        <is>
          <t>A 11364-2025</t>
        </is>
      </c>
      <c r="B57" t="inlineStr">
        <is>
          <t>avverkningsanmälan</t>
        </is>
      </c>
      <c r="C57" t="inlineStr">
        <is>
          <t>Föryngringsavverkning</t>
        </is>
      </c>
      <c r="D57" s="1" t="n">
        <v>45726</v>
      </c>
      <c r="E57" s="1" t="n">
        <v>46216</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s="2" t="inlineStr">
        <is>
          <t>Blåsippa</t>
        </is>
      </c>
      <c r="V57">
        <f>HYPERLINK("https://klasma.github.io/Logging_2061/artfynd/A 11364-2025 artfynd.xlsx", "A 11364-2025")</f>
        <v/>
      </c>
      <c r="W57">
        <f>HYPERLINK("https://klasma.github.io/Logging_2061/kartor/A 11364-2025 karta.png", "A 11364-2025")</f>
        <v/>
      </c>
      <c r="Y57">
        <f>HYPERLINK("https://klasma.github.io/Logging_2061/klagomål/A 11364-2025 FSC-klagomål.docx", "A 11364-2025")</f>
        <v/>
      </c>
      <c r="Z57">
        <f>HYPERLINK("https://klasma.github.io/Logging_2061/klagomålsmail/A 11364-2025 FSC-klagomål mail.docx", "A 11364-2025")</f>
        <v/>
      </c>
      <c r="AA57">
        <f>HYPERLINK("https://klasma.github.io/Logging_2061/tillsyn/A 11364-2025 tillsynsbegäran.docx", "A 11364-2025")</f>
        <v/>
      </c>
      <c r="AB57">
        <f>HYPERLINK("https://klasma.github.io/Logging_2061/tillsynsmail/A 11364-2025 tillsynsbegäran mail.docx", "A 11364-2025")</f>
        <v/>
      </c>
    </row>
    <row r="58" ht="15" customHeight="1">
      <c r="A58" t="inlineStr">
        <is>
          <t>A 24549-2022</t>
        </is>
      </c>
      <c r="B58" t="inlineStr">
        <is>
          <t>avverkningsanmälan</t>
        </is>
      </c>
      <c r="C58" t="inlineStr">
        <is>
          <t>Föryngringsavverkning</t>
        </is>
      </c>
      <c r="D58" s="1" t="n">
        <v>44727</v>
      </c>
      <c r="E58" s="1" t="n">
        <v>46216</v>
      </c>
      <c r="F58" t="inlineStr">
        <is>
          <t>DALARNAS LÄN</t>
        </is>
      </c>
      <c r="G58" t="inlineStr">
        <is>
          <t>SMEDJEBACKEN</t>
        </is>
      </c>
      <c r="H58" t="inlineStr">
        <is>
          <t>Bergvik skog väst AB</t>
        </is>
      </c>
      <c r="I58" t="n">
        <v>3.3</v>
      </c>
      <c r="J58" t="n">
        <v>1</v>
      </c>
      <c r="K58" t="n">
        <v>0</v>
      </c>
      <c r="L58" t="n">
        <v>0</v>
      </c>
      <c r="M58" t="n">
        <v>0</v>
      </c>
      <c r="N58" t="n">
        <v>0</v>
      </c>
      <c r="O58" t="n">
        <v>0</v>
      </c>
      <c r="P58" t="n">
        <v>0</v>
      </c>
      <c r="Q58" t="n">
        <v>0</v>
      </c>
      <c r="R58" t="n">
        <v>0</v>
      </c>
      <c r="S58" t="n">
        <v>1</v>
      </c>
      <c r="T58" t="n">
        <v>1</v>
      </c>
      <c r="U58" s="2" t="inlineStr">
        <is>
          <t>Blåsippa</t>
        </is>
      </c>
      <c r="V58">
        <f>HYPERLINK("https://klasma.github.io/Logging_2061/artfynd/A 24549-2022 artfynd.xlsx", "A 24549-2022")</f>
        <v/>
      </c>
      <c r="W58">
        <f>HYPERLINK("https://klasma.github.io/Logging_2061/kartor/A 24549-2022 karta.png", "A 24549-2022")</f>
        <v/>
      </c>
      <c r="Y58">
        <f>HYPERLINK("https://klasma.github.io/Logging_2061/klagomål/A 24549-2022 FSC-klagomål.docx", "A 24549-2022")</f>
        <v/>
      </c>
      <c r="Z58">
        <f>HYPERLINK("https://klasma.github.io/Logging_2061/klagomålsmail/A 24549-2022 FSC-klagomål mail.docx", "A 24549-2022")</f>
        <v/>
      </c>
      <c r="AA58">
        <f>HYPERLINK("https://klasma.github.io/Logging_2061/tillsyn/A 24549-2022 tillsynsbegäran.docx", "A 24549-2022")</f>
        <v/>
      </c>
      <c r="AB58">
        <f>HYPERLINK("https://klasma.github.io/Logging_2061/tillsynsmail/A 24549-2022 tillsynsbegäran mail.docx", "A 24549-2022")</f>
        <v/>
      </c>
    </row>
    <row r="59" ht="15" customHeight="1">
      <c r="A59" t="inlineStr">
        <is>
          <t>A 10340-2022</t>
        </is>
      </c>
      <c r="B59" t="inlineStr">
        <is>
          <t>avverkningsanmälan</t>
        </is>
      </c>
      <c r="C59" t="inlineStr">
        <is>
          <t>Föryngringsavverkning</t>
        </is>
      </c>
      <c r="D59" s="1" t="n">
        <v>44623</v>
      </c>
      <c r="E59" s="1" t="n">
        <v>46216</v>
      </c>
      <c r="F59" t="inlineStr">
        <is>
          <t>DALARNAS LÄN</t>
        </is>
      </c>
      <c r="G59" t="inlineStr">
        <is>
          <t>SMEDJEBACKEN</t>
        </is>
      </c>
      <c r="I59" t="n">
        <v>2.5</v>
      </c>
      <c r="J59" t="n">
        <v>1</v>
      </c>
      <c r="K59" t="n">
        <v>0</v>
      </c>
      <c r="L59" t="n">
        <v>0</v>
      </c>
      <c r="M59" t="n">
        <v>0</v>
      </c>
      <c r="N59" t="n">
        <v>0</v>
      </c>
      <c r="O59" t="n">
        <v>0</v>
      </c>
      <c r="P59" t="n">
        <v>0</v>
      </c>
      <c r="Q59" t="n">
        <v>0</v>
      </c>
      <c r="R59" t="n">
        <v>0</v>
      </c>
      <c r="S59" t="n">
        <v>1</v>
      </c>
      <c r="T59" t="n">
        <v>2</v>
      </c>
      <c r="U59" s="2" t="inlineStr">
        <is>
          <t>Smålom</t>
        </is>
      </c>
      <c r="V59">
        <f>HYPERLINK("https://klasma.github.io/Logging_2061/artfynd/A 10340-2022 artfynd.xlsx", "A 10340-2022")</f>
        <v/>
      </c>
      <c r="W59">
        <f>HYPERLINK("https://klasma.github.io/Logging_2061/kartor/A 10340-2022 karta.png", "A 10340-2022")</f>
        <v/>
      </c>
      <c r="Y59">
        <f>HYPERLINK("https://klasma.github.io/Logging_2061/klagomål/A 10340-2022 FSC-klagomål.docx", "A 10340-2022")</f>
        <v/>
      </c>
      <c r="Z59">
        <f>HYPERLINK("https://klasma.github.io/Logging_2061/klagomålsmail/A 10340-2022 FSC-klagomål mail.docx", "A 10340-2022")</f>
        <v/>
      </c>
      <c r="AA59">
        <f>HYPERLINK("https://klasma.github.io/Logging_2061/tillsyn/A 10340-2022 tillsynsbegäran.docx", "A 10340-2022")</f>
        <v/>
      </c>
      <c r="AB59">
        <f>HYPERLINK("https://klasma.github.io/Logging_2061/tillsynsmail/A 10340-2022 tillsynsbegäran mail.docx", "A 10340-2022")</f>
        <v/>
      </c>
      <c r="AC59">
        <f>HYPERLINK("https://klasma.github.io/Logging_2061/fåglar/A 10340-2022 prioriterade fågelarter.docx", "A 10340-2022")</f>
        <v/>
      </c>
    </row>
    <row r="60" ht="15" customHeight="1">
      <c r="A60" t="inlineStr">
        <is>
          <t>A 18878-2026</t>
        </is>
      </c>
      <c r="B60" t="inlineStr">
        <is>
          <t>avverkningsanmälan</t>
        </is>
      </c>
      <c r="C60" t="inlineStr">
        <is>
          <t>Föryngringsavverkning</t>
        </is>
      </c>
      <c r="D60" s="1" t="n">
        <v>46129</v>
      </c>
      <c r="E60" s="1" t="n">
        <v>46216</v>
      </c>
      <c r="F60" t="inlineStr">
        <is>
          <t>DALARNAS LÄN</t>
        </is>
      </c>
      <c r="G60" t="inlineStr">
        <is>
          <t>SMEDJEBACKEN</t>
        </is>
      </c>
      <c r="H60" t="inlineStr">
        <is>
          <t>Sveaskog</t>
        </is>
      </c>
      <c r="I60" t="n">
        <v>8.6</v>
      </c>
      <c r="J60" t="n">
        <v>0</v>
      </c>
      <c r="K60" t="n">
        <v>0</v>
      </c>
      <c r="L60" t="n">
        <v>1</v>
      </c>
      <c r="M60" t="n">
        <v>0</v>
      </c>
      <c r="N60" t="n">
        <v>0</v>
      </c>
      <c r="O60" t="n">
        <v>0</v>
      </c>
      <c r="P60" t="n">
        <v>0</v>
      </c>
      <c r="Q60" t="n">
        <v>1</v>
      </c>
      <c r="R60" t="n">
        <v>0</v>
      </c>
      <c r="S60" t="n">
        <v>1</v>
      </c>
      <c r="T60" t="n">
        <v>1</v>
      </c>
      <c r="U60" s="2" t="inlineStr">
        <is>
          <t>Motaggsvamp</t>
        </is>
      </c>
      <c r="V60">
        <f>HYPERLINK("https://klasma.github.io/Logging_2061/artfynd/A 18878-2026 artfynd.xlsx", "A 18878-2026")</f>
        <v/>
      </c>
      <c r="W60">
        <f>HYPERLINK("https://klasma.github.io/Logging_2061/kartor/A 18878-2026 karta.png", "A 18878-2026")</f>
        <v/>
      </c>
      <c r="Y60">
        <f>HYPERLINK("https://klasma.github.io/Logging_2061/klagomål/A 18878-2026 FSC-klagomål.docx", "A 18878-2026")</f>
        <v/>
      </c>
      <c r="Z60">
        <f>HYPERLINK("https://klasma.github.io/Logging_2061/klagomålsmail/A 18878-2026 FSC-klagomål mail.docx", "A 18878-2026")</f>
        <v/>
      </c>
      <c r="AA60">
        <f>HYPERLINK("https://klasma.github.io/Logging_2061/tillsyn/A 18878-2026 tillsynsbegäran.docx", "A 18878-2026")</f>
        <v/>
      </c>
      <c r="AB60">
        <f>HYPERLINK("https://klasma.github.io/Logging_2061/tillsynsmail/A 18878-2026 tillsynsbegäran mail.docx", "A 18878-2026")</f>
        <v/>
      </c>
    </row>
    <row r="61" ht="15" customHeight="1">
      <c r="A61" t="inlineStr">
        <is>
          <t>A 20019-2024</t>
        </is>
      </c>
      <c r="B61" t="inlineStr">
        <is>
          <t>avverkningsanmälan</t>
        </is>
      </c>
      <c r="C61" t="inlineStr">
        <is>
          <t>Föryngringsavverkning</t>
        </is>
      </c>
      <c r="D61" s="1" t="n">
        <v>45433</v>
      </c>
      <c r="E61" s="1" t="n">
        <v>46216</v>
      </c>
      <c r="F61" t="inlineStr">
        <is>
          <t>DALARNAS LÄN</t>
        </is>
      </c>
      <c r="G61" t="inlineStr">
        <is>
          <t>SMEDJEBACKEN</t>
        </is>
      </c>
      <c r="H61" t="inlineStr">
        <is>
          <t>Övriga Aktiebolag</t>
        </is>
      </c>
      <c r="I61" t="n">
        <v>3.3</v>
      </c>
      <c r="J61" t="n">
        <v>0</v>
      </c>
      <c r="K61" t="n">
        <v>0</v>
      </c>
      <c r="L61" t="n">
        <v>0</v>
      </c>
      <c r="M61" t="n">
        <v>1</v>
      </c>
      <c r="N61" t="n">
        <v>0</v>
      </c>
      <c r="O61" t="n">
        <v>0</v>
      </c>
      <c r="P61" t="n">
        <v>0</v>
      </c>
      <c r="Q61" t="n">
        <v>1</v>
      </c>
      <c r="R61" t="n">
        <v>1</v>
      </c>
      <c r="S61" t="n">
        <v>1</v>
      </c>
      <c r="T61" t="n">
        <v>1</v>
      </c>
      <c r="U61" s="2" t="inlineStr">
        <is>
          <t>Violettkantad guldvinge</t>
        </is>
      </c>
      <c r="V61">
        <f>HYPERLINK("https://klasma.github.io/Logging_2061/artfynd/A 20019-2024 artfynd.xlsx", "A 20019-2024")</f>
        <v/>
      </c>
      <c r="W61">
        <f>HYPERLINK("https://klasma.github.io/Logging_2061/kartor/A 20019-2024 karta.png", "A 20019-2024")</f>
        <v/>
      </c>
      <c r="Y61">
        <f>HYPERLINK("https://klasma.github.io/Logging_2061/klagomål/A 20019-2024 FSC-klagomål.docx", "A 20019-2024")</f>
        <v/>
      </c>
      <c r="Z61">
        <f>HYPERLINK("https://klasma.github.io/Logging_2061/klagomålsmail/A 20019-2024 FSC-klagomål mail.docx", "A 20019-2024")</f>
        <v/>
      </c>
      <c r="AA61">
        <f>HYPERLINK("https://klasma.github.io/Logging_2061/tillsyn/A 20019-2024 tillsynsbegäran.docx", "A 20019-2024")</f>
        <v/>
      </c>
      <c r="AB61">
        <f>HYPERLINK("https://klasma.github.io/Logging_2061/tillsynsmail/A 20019-2024 tillsynsbegäran mail.docx", "A 20019-2024")</f>
        <v/>
      </c>
    </row>
    <row r="62" ht="15" customHeight="1">
      <c r="A62" t="inlineStr">
        <is>
          <t>A 15389-2024</t>
        </is>
      </c>
      <c r="B62" t="inlineStr">
        <is>
          <t>avverkningsanmälan</t>
        </is>
      </c>
      <c r="C62" t="inlineStr">
        <is>
          <t>Föryngringsavverkning</t>
        </is>
      </c>
      <c r="D62" s="1" t="n">
        <v>45401</v>
      </c>
      <c r="E62" s="1" t="n">
        <v>46216</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s="2" t="inlineStr">
        <is>
          <t>Svavelriska</t>
        </is>
      </c>
      <c r="V62">
        <f>HYPERLINK("https://klasma.github.io/Logging_2061/artfynd/A 15389-2024 artfynd.xlsx", "A 15389-2024")</f>
        <v/>
      </c>
      <c r="W62">
        <f>HYPERLINK("https://klasma.github.io/Logging_2061/kartor/A 15389-2024 karta.png", "A 15389-2024")</f>
        <v/>
      </c>
      <c r="Y62">
        <f>HYPERLINK("https://klasma.github.io/Logging_2061/klagomål/A 15389-2024 FSC-klagomål.docx", "A 15389-2024")</f>
        <v/>
      </c>
      <c r="Z62">
        <f>HYPERLINK("https://klasma.github.io/Logging_2061/klagomålsmail/A 15389-2024 FSC-klagomål mail.docx", "A 15389-2024")</f>
        <v/>
      </c>
      <c r="AA62">
        <f>HYPERLINK("https://klasma.github.io/Logging_2061/tillsyn/A 15389-2024 tillsynsbegäran.docx", "A 15389-2024")</f>
        <v/>
      </c>
      <c r="AB62">
        <f>HYPERLINK("https://klasma.github.io/Logging_2061/tillsynsmail/A 15389-2024 tillsynsbegäran mail.docx", "A 15389-2024")</f>
        <v/>
      </c>
    </row>
    <row r="63" ht="15" customHeight="1">
      <c r="A63" t="inlineStr">
        <is>
          <t>A 11154-2025</t>
        </is>
      </c>
      <c r="B63" t="inlineStr">
        <is>
          <t>avverkningsanmälan</t>
        </is>
      </c>
      <c r="C63" t="inlineStr">
        <is>
          <t>Föryngringsavverkning</t>
        </is>
      </c>
      <c r="D63" s="1" t="n">
        <v>45723</v>
      </c>
      <c r="E63" s="1" t="n">
        <v>46216</v>
      </c>
      <c r="F63" t="inlineStr">
        <is>
          <t>DALARNAS LÄN</t>
        </is>
      </c>
      <c r="G63" t="inlineStr">
        <is>
          <t>SMEDJEBACKEN</t>
        </is>
      </c>
      <c r="H63" t="inlineStr">
        <is>
          <t>Bergvik skog väst AB</t>
        </is>
      </c>
      <c r="I63" t="n">
        <v>0.7</v>
      </c>
      <c r="J63" t="n">
        <v>0</v>
      </c>
      <c r="K63" t="n">
        <v>1</v>
      </c>
      <c r="L63" t="n">
        <v>0</v>
      </c>
      <c r="M63" t="n">
        <v>0</v>
      </c>
      <c r="N63" t="n">
        <v>0</v>
      </c>
      <c r="O63" t="n">
        <v>0</v>
      </c>
      <c r="P63" t="n">
        <v>0</v>
      </c>
      <c r="Q63" t="n">
        <v>0</v>
      </c>
      <c r="R63" t="n">
        <v>0</v>
      </c>
      <c r="S63" t="n">
        <v>1</v>
      </c>
      <c r="T63" t="n">
        <v>1</v>
      </c>
      <c r="U63" s="2" t="inlineStr">
        <is>
          <t>Tibast</t>
        </is>
      </c>
      <c r="V63">
        <f>HYPERLINK("https://klasma.github.io/Logging_2061/artfynd/A 11154-2025 artfynd.xlsx", "A 11154-2025")</f>
        <v/>
      </c>
      <c r="W63">
        <f>HYPERLINK("https://klasma.github.io/Logging_2061/kartor/A 11154-2025 karta.png", "A 11154-2025")</f>
        <v/>
      </c>
      <c r="Y63">
        <f>HYPERLINK("https://klasma.github.io/Logging_2061/klagomål/A 11154-2025 FSC-klagomål.docx", "A 11154-2025")</f>
        <v/>
      </c>
      <c r="Z63">
        <f>HYPERLINK("https://klasma.github.io/Logging_2061/klagomålsmail/A 11154-2025 FSC-klagomål mail.docx", "A 11154-2025")</f>
        <v/>
      </c>
      <c r="AA63">
        <f>HYPERLINK("https://klasma.github.io/Logging_2061/tillsyn/A 11154-2025 tillsynsbegäran.docx", "A 11154-2025")</f>
        <v/>
      </c>
      <c r="AB63">
        <f>HYPERLINK("https://klasma.github.io/Logging_2061/tillsynsmail/A 11154-2025 tillsynsbegäran mail.docx", "A 11154-2025")</f>
        <v/>
      </c>
    </row>
    <row r="64" ht="15" customHeight="1">
      <c r="A64" t="inlineStr">
        <is>
          <t>A 55851-2021</t>
        </is>
      </c>
      <c r="B64" t="inlineStr">
        <is>
          <t>avverkningsanmälan</t>
        </is>
      </c>
      <c r="C64" t="inlineStr">
        <is>
          <t>Föryngringsavverkning</t>
        </is>
      </c>
      <c r="D64" s="1" t="n">
        <v>44476</v>
      </c>
      <c r="E64" s="1" t="n">
        <v>46216</v>
      </c>
      <c r="F64" t="inlineStr">
        <is>
          <t>DALARNAS LÄN</t>
        </is>
      </c>
      <c r="G64" t="inlineStr">
        <is>
          <t>SMEDJEBACKEN</t>
        </is>
      </c>
      <c r="H64" t="inlineStr">
        <is>
          <t>Övriga Aktiebolag</t>
        </is>
      </c>
      <c r="I64" t="n">
        <v>2.6</v>
      </c>
      <c r="J64" t="n">
        <v>1</v>
      </c>
      <c r="K64" t="n">
        <v>0</v>
      </c>
      <c r="L64" t="n">
        <v>1</v>
      </c>
      <c r="M64" t="n">
        <v>0</v>
      </c>
      <c r="N64" t="n">
        <v>0</v>
      </c>
      <c r="O64" t="n">
        <v>0</v>
      </c>
      <c r="P64" t="n">
        <v>0</v>
      </c>
      <c r="Q64" t="n">
        <v>1</v>
      </c>
      <c r="R64" t="n">
        <v>0</v>
      </c>
      <c r="S64" t="n">
        <v>1</v>
      </c>
      <c r="T64" t="n">
        <v>1</v>
      </c>
      <c r="U64" s="2" t="inlineStr">
        <is>
          <t>Talltita</t>
        </is>
      </c>
      <c r="V64">
        <f>HYPERLINK("https://klasma.github.io/Logging_2061/artfynd/A 55851-2021 artfynd.xlsx", "A 55851-2021")</f>
        <v/>
      </c>
      <c r="W64">
        <f>HYPERLINK("https://klasma.github.io/Logging_2061/kartor/A 55851-2021 karta.png", "A 55851-2021")</f>
        <v/>
      </c>
      <c r="Y64">
        <f>HYPERLINK("https://klasma.github.io/Logging_2061/klagomål/A 55851-2021 FSC-klagomål.docx", "A 55851-2021")</f>
        <v/>
      </c>
      <c r="Z64">
        <f>HYPERLINK("https://klasma.github.io/Logging_2061/klagomålsmail/A 55851-2021 FSC-klagomål mail.docx", "A 55851-2021")</f>
        <v/>
      </c>
      <c r="AA64">
        <f>HYPERLINK("https://klasma.github.io/Logging_2061/tillsyn/A 55851-2021 tillsynsbegäran.docx", "A 55851-2021")</f>
        <v/>
      </c>
      <c r="AB64">
        <f>HYPERLINK("https://klasma.github.io/Logging_2061/tillsynsmail/A 55851-2021 tillsynsbegäran mail.docx", "A 55851-2021")</f>
        <v/>
      </c>
      <c r="AC64">
        <f>HYPERLINK("https://klasma.github.io/Logging_2061/fåglar/A 55851-2021 prioriterade fågelarter.docx", "A 55851-2021")</f>
        <v/>
      </c>
    </row>
    <row r="65" ht="15" customHeight="1">
      <c r="A65" t="inlineStr">
        <is>
          <t>A 42523-2024</t>
        </is>
      </c>
      <c r="B65" t="inlineStr">
        <is>
          <t>avverkningsanmälan</t>
        </is>
      </c>
      <c r="C65" t="inlineStr">
        <is>
          <t>Avverkning för annat ändamål</t>
        </is>
      </c>
      <c r="D65" s="1" t="n">
        <v>45565</v>
      </c>
      <c r="E65" s="1" t="n">
        <v>46216</v>
      </c>
      <c r="F65" t="inlineStr">
        <is>
          <t>DALARNAS LÄN</t>
        </is>
      </c>
      <c r="G65" t="inlineStr">
        <is>
          <t>SMEDJEBACKEN</t>
        </is>
      </c>
      <c r="I65" t="n">
        <v>3.5</v>
      </c>
      <c r="J65" t="n">
        <v>0</v>
      </c>
      <c r="K65" t="n">
        <v>0</v>
      </c>
      <c r="L65" t="n">
        <v>1</v>
      </c>
      <c r="M65" t="n">
        <v>0</v>
      </c>
      <c r="N65" t="n">
        <v>0</v>
      </c>
      <c r="O65" t="n">
        <v>0</v>
      </c>
      <c r="P65" t="n">
        <v>0</v>
      </c>
      <c r="Q65" t="n">
        <v>1</v>
      </c>
      <c r="R65" t="n">
        <v>0</v>
      </c>
      <c r="S65" t="n">
        <v>1</v>
      </c>
      <c r="T65" t="n">
        <v>1</v>
      </c>
      <c r="U65" s="2" t="inlineStr">
        <is>
          <t>Vedskivlav</t>
        </is>
      </c>
      <c r="V65">
        <f>HYPERLINK("https://klasma.github.io/Logging_2061/artfynd/A 42523-2024 artfynd.xlsx", "A 42523-2024")</f>
        <v/>
      </c>
      <c r="W65">
        <f>HYPERLINK("https://klasma.github.io/Logging_2061/kartor/A 42523-2024 karta.png", "A 42523-2024")</f>
        <v/>
      </c>
      <c r="Y65">
        <f>HYPERLINK("https://klasma.github.io/Logging_2061/klagomål/A 42523-2024 FSC-klagomål.docx", "A 42523-2024")</f>
        <v/>
      </c>
      <c r="Z65">
        <f>HYPERLINK("https://klasma.github.io/Logging_2061/klagomålsmail/A 42523-2024 FSC-klagomål mail.docx", "A 42523-2024")</f>
        <v/>
      </c>
      <c r="AA65">
        <f>HYPERLINK("https://klasma.github.io/Logging_2061/tillsyn/A 42523-2024 tillsynsbegäran.docx", "A 42523-2024")</f>
        <v/>
      </c>
      <c r="AB65">
        <f>HYPERLINK("https://klasma.github.io/Logging_2061/tillsynsmail/A 42523-2024 tillsynsbegäran mail.docx", "A 42523-2024")</f>
        <v/>
      </c>
    </row>
    <row r="66" ht="15" customHeight="1">
      <c r="A66" t="inlineStr">
        <is>
          <t>A 52953-2023</t>
        </is>
      </c>
      <c r="B66" t="inlineStr">
        <is>
          <t>avverkningsanmälan</t>
        </is>
      </c>
      <c r="C66" t="inlineStr">
        <is>
          <t>Föryngringsavverkning</t>
        </is>
      </c>
      <c r="D66" s="1" t="n">
        <v>45226</v>
      </c>
      <c r="E66" s="1" t="n">
        <v>46216</v>
      </c>
      <c r="F66" t="inlineStr">
        <is>
          <t>DALARNAS LÄN</t>
        </is>
      </c>
      <c r="G66" t="inlineStr">
        <is>
          <t>SMEDJEBACKEN</t>
        </is>
      </c>
      <c r="H66" t="inlineStr">
        <is>
          <t>Sveaskog</t>
        </is>
      </c>
      <c r="I66" t="n">
        <v>0.9</v>
      </c>
      <c r="J66" t="n">
        <v>0</v>
      </c>
      <c r="K66" t="n">
        <v>0</v>
      </c>
      <c r="L66" t="n">
        <v>1</v>
      </c>
      <c r="M66" t="n">
        <v>0</v>
      </c>
      <c r="N66" t="n">
        <v>0</v>
      </c>
      <c r="O66" t="n">
        <v>0</v>
      </c>
      <c r="P66" t="n">
        <v>0</v>
      </c>
      <c r="Q66" t="n">
        <v>1</v>
      </c>
      <c r="R66" t="n">
        <v>0</v>
      </c>
      <c r="S66" t="n">
        <v>1</v>
      </c>
      <c r="T66" t="n">
        <v>1</v>
      </c>
      <c r="U66" s="2" t="inlineStr">
        <is>
          <t>Motaggsvamp</t>
        </is>
      </c>
      <c r="V66">
        <f>HYPERLINK("https://klasma.github.io/Logging_2061/artfynd/A 52953-2023 artfynd.xlsx", "A 52953-2023")</f>
        <v/>
      </c>
      <c r="W66">
        <f>HYPERLINK("https://klasma.github.io/Logging_2061/kartor/A 52953-2023 karta.png", "A 52953-2023")</f>
        <v/>
      </c>
      <c r="Y66">
        <f>HYPERLINK("https://klasma.github.io/Logging_2061/klagomål/A 52953-2023 FSC-klagomål.docx", "A 52953-2023")</f>
        <v/>
      </c>
      <c r="Z66">
        <f>HYPERLINK("https://klasma.github.io/Logging_2061/klagomålsmail/A 52953-2023 FSC-klagomål mail.docx", "A 52953-2023")</f>
        <v/>
      </c>
      <c r="AA66">
        <f>HYPERLINK("https://klasma.github.io/Logging_2061/tillsyn/A 52953-2023 tillsynsbegäran.docx", "A 52953-2023")</f>
        <v/>
      </c>
      <c r="AB66">
        <f>HYPERLINK("https://klasma.github.io/Logging_2061/tillsynsmail/A 52953-2023 tillsynsbegäran mail.docx", "A 52953-2023")</f>
        <v/>
      </c>
    </row>
    <row r="67" ht="15" customHeight="1">
      <c r="A67" t="inlineStr">
        <is>
          <t>A 21507-2024</t>
        </is>
      </c>
      <c r="B67" t="inlineStr">
        <is>
          <t>avverkningsanmälan</t>
        </is>
      </c>
      <c r="C67" t="inlineStr">
        <is>
          <t>Föryngringsavverkning</t>
        </is>
      </c>
      <c r="D67" s="1" t="n">
        <v>45441</v>
      </c>
      <c r="E67" s="1" t="n">
        <v>46216</v>
      </c>
      <c r="F67" t="inlineStr">
        <is>
          <t>DALARNAS LÄN</t>
        </is>
      </c>
      <c r="G67" t="inlineStr">
        <is>
          <t>SMEDJEBACKEN</t>
        </is>
      </c>
      <c r="H67" t="inlineStr">
        <is>
          <t>Sveaskog</t>
        </is>
      </c>
      <c r="I67" t="n">
        <v>16</v>
      </c>
      <c r="J67" t="n">
        <v>0</v>
      </c>
      <c r="K67" t="n">
        <v>0</v>
      </c>
      <c r="L67" t="n">
        <v>1</v>
      </c>
      <c r="M67" t="n">
        <v>0</v>
      </c>
      <c r="N67" t="n">
        <v>0</v>
      </c>
      <c r="O67" t="n">
        <v>0</v>
      </c>
      <c r="P67" t="n">
        <v>0</v>
      </c>
      <c r="Q67" t="n">
        <v>1</v>
      </c>
      <c r="R67" t="n">
        <v>0</v>
      </c>
      <c r="S67" t="n">
        <v>1</v>
      </c>
      <c r="T67" t="n">
        <v>1</v>
      </c>
      <c r="U67" s="2" t="inlineStr">
        <is>
          <t>Ullticka</t>
        </is>
      </c>
      <c r="V67">
        <f>HYPERLINK("https://klasma.github.io/Logging_2061/artfynd/A 21507-2024 artfynd.xlsx", "A 21507-2024")</f>
        <v/>
      </c>
      <c r="W67">
        <f>HYPERLINK("https://klasma.github.io/Logging_2061/kartor/A 21507-2024 karta.png", "A 21507-2024")</f>
        <v/>
      </c>
      <c r="Y67">
        <f>HYPERLINK("https://klasma.github.io/Logging_2061/klagomål/A 21507-2024 FSC-klagomål.docx", "A 21507-2024")</f>
        <v/>
      </c>
      <c r="Z67">
        <f>HYPERLINK("https://klasma.github.io/Logging_2061/klagomålsmail/A 21507-2024 FSC-klagomål mail.docx", "A 21507-2024")</f>
        <v/>
      </c>
      <c r="AA67">
        <f>HYPERLINK("https://klasma.github.io/Logging_2061/tillsyn/A 21507-2024 tillsynsbegäran.docx", "A 21507-2024")</f>
        <v/>
      </c>
      <c r="AB67">
        <f>HYPERLINK("https://klasma.github.io/Logging_2061/tillsynsmail/A 21507-2024 tillsynsbegäran mail.docx", "A 21507-2024")</f>
        <v/>
      </c>
    </row>
    <row r="68" ht="15" customHeight="1">
      <c r="A68" t="inlineStr">
        <is>
          <t>A 30003-2023</t>
        </is>
      </c>
      <c r="B68" t="inlineStr">
        <is>
          <t>avverkningsanmälan</t>
        </is>
      </c>
      <c r="C68" t="inlineStr">
        <is>
          <t>Föryngringsavverkning</t>
        </is>
      </c>
      <c r="D68" s="1" t="n">
        <v>45109</v>
      </c>
      <c r="E68" s="1" t="n">
        <v>46216</v>
      </c>
      <c r="F68" t="inlineStr">
        <is>
          <t>DALARNAS LÄN</t>
        </is>
      </c>
      <c r="G68" t="inlineStr">
        <is>
          <t>SMEDJEBACKEN</t>
        </is>
      </c>
      <c r="I68" t="n">
        <v>1.6</v>
      </c>
      <c r="J68" t="n">
        <v>1</v>
      </c>
      <c r="K68" t="n">
        <v>0</v>
      </c>
      <c r="L68" t="n">
        <v>0</v>
      </c>
      <c r="M68" t="n">
        <v>0</v>
      </c>
      <c r="N68" t="n">
        <v>0</v>
      </c>
      <c r="O68" t="n">
        <v>0</v>
      </c>
      <c r="P68" t="n">
        <v>0</v>
      </c>
      <c r="Q68" t="n">
        <v>0</v>
      </c>
      <c r="R68" t="n">
        <v>0</v>
      </c>
      <c r="S68" t="n">
        <v>1</v>
      </c>
      <c r="T68" t="n">
        <v>1</v>
      </c>
      <c r="U68" s="2" t="inlineStr">
        <is>
          <t>Fläcknycklar</t>
        </is>
      </c>
      <c r="V68">
        <f>HYPERLINK("https://klasma.github.io/Logging_2061/artfynd/A 30003-2023 artfynd.xlsx", "A 30003-2023")</f>
        <v/>
      </c>
      <c r="W68">
        <f>HYPERLINK("https://klasma.github.io/Logging_2061/kartor/A 30003-2023 karta.png", "A 30003-2023")</f>
        <v/>
      </c>
      <c r="Y68">
        <f>HYPERLINK("https://klasma.github.io/Logging_2061/klagomål/A 30003-2023 FSC-klagomål.docx", "A 30003-2023")</f>
        <v/>
      </c>
      <c r="Z68">
        <f>HYPERLINK("https://klasma.github.io/Logging_2061/klagomålsmail/A 30003-2023 FSC-klagomål mail.docx", "A 30003-2023")</f>
        <v/>
      </c>
      <c r="AA68">
        <f>HYPERLINK("https://klasma.github.io/Logging_2061/tillsyn/A 30003-2023 tillsynsbegäran.docx", "A 30003-2023")</f>
        <v/>
      </c>
      <c r="AB68">
        <f>HYPERLINK("https://klasma.github.io/Logging_2061/tillsynsmail/A 30003-2023 tillsynsbegäran mail.docx", "A 30003-2023")</f>
        <v/>
      </c>
    </row>
    <row r="69" ht="15" customHeight="1">
      <c r="A69" t="inlineStr">
        <is>
          <t>A 45577-2024</t>
        </is>
      </c>
      <c r="B69" t="inlineStr">
        <is>
          <t>avverkningsanmälan</t>
        </is>
      </c>
      <c r="C69" t="inlineStr">
        <is>
          <t>Föryngringsavverkning</t>
        </is>
      </c>
      <c r="D69" s="1" t="n">
        <v>45579</v>
      </c>
      <c r="E69" s="1" t="n">
        <v>46216</v>
      </c>
      <c r="F69" t="inlineStr">
        <is>
          <t>DALARNAS LÄN</t>
        </is>
      </c>
      <c r="G69" t="inlineStr">
        <is>
          <t>SMEDJEBACKEN</t>
        </is>
      </c>
      <c r="H69" t="inlineStr">
        <is>
          <t>Sveaskog</t>
        </is>
      </c>
      <c r="I69" t="n">
        <v>18.6</v>
      </c>
      <c r="J69" t="n">
        <v>1</v>
      </c>
      <c r="K69" t="n">
        <v>0</v>
      </c>
      <c r="L69" t="n">
        <v>0</v>
      </c>
      <c r="M69" t="n">
        <v>0</v>
      </c>
      <c r="N69" t="n">
        <v>0</v>
      </c>
      <c r="O69" t="n">
        <v>0</v>
      </c>
      <c r="P69" t="n">
        <v>0</v>
      </c>
      <c r="Q69" t="n">
        <v>0</v>
      </c>
      <c r="R69" t="n">
        <v>0</v>
      </c>
      <c r="S69" t="n">
        <v>1</v>
      </c>
      <c r="T69" t="n">
        <v>1</v>
      </c>
      <c r="U69" s="2" t="inlineStr">
        <is>
          <t>Tjäder</t>
        </is>
      </c>
      <c r="V69">
        <f>HYPERLINK("https://klasma.github.io/Logging_2061/artfynd/A 45577-2024 artfynd.xlsx", "A 45577-2024")</f>
        <v/>
      </c>
      <c r="W69">
        <f>HYPERLINK("https://klasma.github.io/Logging_2061/kartor/A 45577-2024 karta.png", "A 45577-2024")</f>
        <v/>
      </c>
      <c r="Y69">
        <f>HYPERLINK("https://klasma.github.io/Logging_2061/klagomål/A 45577-2024 FSC-klagomål.docx", "A 45577-2024")</f>
        <v/>
      </c>
      <c r="Z69">
        <f>HYPERLINK("https://klasma.github.io/Logging_2061/klagomålsmail/A 45577-2024 FSC-klagomål mail.docx", "A 45577-2024")</f>
        <v/>
      </c>
      <c r="AA69">
        <f>HYPERLINK("https://klasma.github.io/Logging_2061/tillsyn/A 45577-2024 tillsynsbegäran.docx", "A 45577-2024")</f>
        <v/>
      </c>
      <c r="AB69">
        <f>HYPERLINK("https://klasma.github.io/Logging_2061/tillsynsmail/A 45577-2024 tillsynsbegäran mail.docx", "A 45577-2024")</f>
        <v/>
      </c>
      <c r="AC69">
        <f>HYPERLINK("https://klasma.github.io/Logging_2061/fåglar/A 45577-2024 prioriterade fågelarter.docx", "A 45577-2024")</f>
        <v/>
      </c>
    </row>
    <row r="70" ht="15" customHeight="1">
      <c r="A70" t="inlineStr">
        <is>
          <t>A 29065-2026</t>
        </is>
      </c>
      <c r="B70" t="inlineStr">
        <is>
          <t>avverkningsanmälan</t>
        </is>
      </c>
      <c r="C70" t="inlineStr">
        <is>
          <t>Föryngringsavverkning</t>
        </is>
      </c>
      <c r="D70" s="1" t="n">
        <v>46199</v>
      </c>
      <c r="E70" s="1" t="n">
        <v>46216</v>
      </c>
      <c r="F70" t="inlineStr">
        <is>
          <t>DALARNAS LÄN</t>
        </is>
      </c>
      <c r="G70" t="inlineStr">
        <is>
          <t>SMEDJEBACKEN</t>
        </is>
      </c>
      <c r="H70" t="inlineStr">
        <is>
          <t>Sveaskog</t>
        </is>
      </c>
      <c r="I70" t="n">
        <v>3.4</v>
      </c>
      <c r="J70" t="n">
        <v>0</v>
      </c>
      <c r="K70" t="n">
        <v>0</v>
      </c>
      <c r="L70" t="n">
        <v>1</v>
      </c>
      <c r="M70" t="n">
        <v>0</v>
      </c>
      <c r="N70" t="n">
        <v>0</v>
      </c>
      <c r="O70" t="n">
        <v>0</v>
      </c>
      <c r="P70" t="n">
        <v>0</v>
      </c>
      <c r="Q70" t="n">
        <v>1</v>
      </c>
      <c r="R70" t="n">
        <v>0</v>
      </c>
      <c r="S70" t="n">
        <v>1</v>
      </c>
      <c r="T70" t="n">
        <v>1</v>
      </c>
      <c r="U70" s="2" t="inlineStr">
        <is>
          <t>Kandelabersvamp</t>
        </is>
      </c>
      <c r="V70">
        <f>HYPERLINK("https://klasma.github.io/Logging_2061/artfynd/A 29065-2026 artfynd.xlsx", "A 29065-2026")</f>
        <v/>
      </c>
      <c r="W70">
        <f>HYPERLINK("https://klasma.github.io/Logging_2061/kartor/A 29065-2026 karta.png", "A 29065-2026")</f>
        <v/>
      </c>
      <c r="Y70">
        <f>HYPERLINK("https://klasma.github.io/Logging_2061/klagomål/A 29065-2026 FSC-klagomål.docx", "A 29065-2026")</f>
        <v/>
      </c>
      <c r="Z70">
        <f>HYPERLINK("https://klasma.github.io/Logging_2061/klagomålsmail/A 29065-2026 FSC-klagomål mail.docx", "A 29065-2026")</f>
        <v/>
      </c>
      <c r="AA70">
        <f>HYPERLINK("https://klasma.github.io/Logging_2061/tillsyn/A 29065-2026 tillsynsbegäran.docx", "A 29065-2026")</f>
        <v/>
      </c>
      <c r="AB70">
        <f>HYPERLINK("https://klasma.github.io/Logging_2061/tillsynsmail/A 29065-2026 tillsynsbegäran mail.docx", "A 29065-2026")</f>
        <v/>
      </c>
    </row>
    <row r="71" ht="15" customHeight="1">
      <c r="A71" t="inlineStr">
        <is>
          <t>A 29070-2026</t>
        </is>
      </c>
      <c r="B71" t="inlineStr">
        <is>
          <t>avverkningsanmälan</t>
        </is>
      </c>
      <c r="C71" t="inlineStr">
        <is>
          <t>Föryngringsavverkning</t>
        </is>
      </c>
      <c r="D71" s="1" t="n">
        <v>46199</v>
      </c>
      <c r="E71" s="1" t="n">
        <v>46216</v>
      </c>
      <c r="F71" t="inlineStr">
        <is>
          <t>DALARNAS LÄN</t>
        </is>
      </c>
      <c r="G71" t="inlineStr">
        <is>
          <t>SMEDJEBACKEN</t>
        </is>
      </c>
      <c r="H71" t="inlineStr">
        <is>
          <t>Sveaskog</t>
        </is>
      </c>
      <c r="I71" t="n">
        <v>1.6</v>
      </c>
      <c r="J71" t="n">
        <v>0</v>
      </c>
      <c r="K71" t="n">
        <v>0</v>
      </c>
      <c r="L71" t="n">
        <v>1</v>
      </c>
      <c r="M71" t="n">
        <v>0</v>
      </c>
      <c r="N71" t="n">
        <v>0</v>
      </c>
      <c r="O71" t="n">
        <v>0</v>
      </c>
      <c r="P71" t="n">
        <v>0</v>
      </c>
      <c r="Q71" t="n">
        <v>1</v>
      </c>
      <c r="R71" t="n">
        <v>0</v>
      </c>
      <c r="S71" t="n">
        <v>1</v>
      </c>
      <c r="T71" t="n">
        <v>1</v>
      </c>
      <c r="U71" s="2" t="inlineStr">
        <is>
          <t>Vit vedfingersvamp</t>
        </is>
      </c>
      <c r="V71">
        <f>HYPERLINK("https://klasma.github.io/Logging_2061/artfynd/A 29070-2026 artfynd.xlsx", "A 29070-2026")</f>
        <v/>
      </c>
      <c r="W71">
        <f>HYPERLINK("https://klasma.github.io/Logging_2061/kartor/A 29070-2026 karta.png", "A 29070-2026")</f>
        <v/>
      </c>
      <c r="Y71">
        <f>HYPERLINK("https://klasma.github.io/Logging_2061/klagomål/A 29070-2026 FSC-klagomål.docx", "A 29070-2026")</f>
        <v/>
      </c>
      <c r="Z71">
        <f>HYPERLINK("https://klasma.github.io/Logging_2061/klagomålsmail/A 29070-2026 FSC-klagomål mail.docx", "A 29070-2026")</f>
        <v/>
      </c>
      <c r="AA71">
        <f>HYPERLINK("https://klasma.github.io/Logging_2061/tillsyn/A 29070-2026 tillsynsbegäran.docx", "A 29070-2026")</f>
        <v/>
      </c>
      <c r="AB71">
        <f>HYPERLINK("https://klasma.github.io/Logging_2061/tillsynsmail/A 29070-2026 tillsynsbegäran mail.docx", "A 29070-2026")</f>
        <v/>
      </c>
    </row>
    <row r="72" ht="15" customHeight="1">
      <c r="A72" t="inlineStr">
        <is>
          <t>A 19529-2026</t>
        </is>
      </c>
      <c r="B72" t="inlineStr">
        <is>
          <t>avverkningsanmälan</t>
        </is>
      </c>
      <c r="C72" t="inlineStr">
        <is>
          <t>Föryngringsavverkning</t>
        </is>
      </c>
      <c r="D72" s="1" t="n">
        <v>46134</v>
      </c>
      <c r="E72" s="1" t="n">
        <v>46216</v>
      </c>
      <c r="F72" t="inlineStr">
        <is>
          <t>DALARNAS LÄN</t>
        </is>
      </c>
      <c r="G72" t="inlineStr">
        <is>
          <t>SMEDJEBACKEN</t>
        </is>
      </c>
      <c r="H72" t="inlineStr">
        <is>
          <t>Sveaskog</t>
        </is>
      </c>
      <c r="I72" t="n">
        <v>3.1</v>
      </c>
      <c r="J72" t="n">
        <v>1</v>
      </c>
      <c r="K72" t="n">
        <v>0</v>
      </c>
      <c r="L72" t="n">
        <v>0</v>
      </c>
      <c r="M72" t="n">
        <v>0</v>
      </c>
      <c r="N72" t="n">
        <v>0</v>
      </c>
      <c r="O72" t="n">
        <v>0</v>
      </c>
      <c r="P72" t="n">
        <v>0</v>
      </c>
      <c r="Q72" t="n">
        <v>0</v>
      </c>
      <c r="R72" t="n">
        <v>0</v>
      </c>
      <c r="S72" t="n">
        <v>1</v>
      </c>
      <c r="T72" t="n">
        <v>1</v>
      </c>
      <c r="U72" s="2" t="inlineStr">
        <is>
          <t>Mattlummer</t>
        </is>
      </c>
      <c r="V72">
        <f>HYPERLINK("https://klasma.github.io/Logging_2061/artfynd/A 19529-2026 artfynd.xlsx", "A 19529-2026")</f>
        <v/>
      </c>
      <c r="W72">
        <f>HYPERLINK("https://klasma.github.io/Logging_2061/kartor/A 19529-2026 karta.png", "A 19529-2026")</f>
        <v/>
      </c>
      <c r="Y72">
        <f>HYPERLINK("https://klasma.github.io/Logging_2061/klagomål/A 19529-2026 FSC-klagomål.docx", "A 19529-2026")</f>
        <v/>
      </c>
      <c r="Z72">
        <f>HYPERLINK("https://klasma.github.io/Logging_2061/klagomålsmail/A 19529-2026 FSC-klagomål mail.docx", "A 19529-2026")</f>
        <v/>
      </c>
      <c r="AA72">
        <f>HYPERLINK("https://klasma.github.io/Logging_2061/tillsyn/A 19529-2026 tillsynsbegäran.docx", "A 19529-2026")</f>
        <v/>
      </c>
      <c r="AB72">
        <f>HYPERLINK("https://klasma.github.io/Logging_2061/tillsynsmail/A 19529-2026 tillsynsbegäran mail.docx", "A 19529-2026")</f>
        <v/>
      </c>
    </row>
    <row r="73" ht="15" customHeight="1">
      <c r="A73" t="inlineStr">
        <is>
          <t>A 23370-2026</t>
        </is>
      </c>
      <c r="B73" t="inlineStr">
        <is>
          <t>avverkningsanmälan</t>
        </is>
      </c>
      <c r="C73" t="inlineStr">
        <is>
          <t>Föryngringsavverkning</t>
        </is>
      </c>
      <c r="D73" s="1" t="n">
        <v>46162</v>
      </c>
      <c r="E73" s="1" t="n">
        <v>46216</v>
      </c>
      <c r="F73" t="inlineStr">
        <is>
          <t>DALARNAS LÄN</t>
        </is>
      </c>
      <c r="G73" t="inlineStr">
        <is>
          <t>SMEDJEBACKEN</t>
        </is>
      </c>
      <c r="H73" t="inlineStr">
        <is>
          <t>Sveaskog</t>
        </is>
      </c>
      <c r="I73" t="n">
        <v>2.3</v>
      </c>
      <c r="J73" t="n">
        <v>1</v>
      </c>
      <c r="K73" t="n">
        <v>0</v>
      </c>
      <c r="L73" t="n">
        <v>0</v>
      </c>
      <c r="M73" t="n">
        <v>0</v>
      </c>
      <c r="N73" t="n">
        <v>1</v>
      </c>
      <c r="O73" t="n">
        <v>0</v>
      </c>
      <c r="P73" t="n">
        <v>0</v>
      </c>
      <c r="Q73" t="n">
        <v>1</v>
      </c>
      <c r="R73" t="n">
        <v>1</v>
      </c>
      <c r="S73" t="n">
        <v>1</v>
      </c>
      <c r="T73" t="n">
        <v>1</v>
      </c>
      <c r="U73" s="2" t="inlineStr">
        <is>
          <t>Pärluggla</t>
        </is>
      </c>
      <c r="V73">
        <f>HYPERLINK("https://klasma.github.io/Logging_2061/artfynd/A 23370-2026 artfynd.xlsx", "A 23370-2026")</f>
        <v/>
      </c>
      <c r="W73">
        <f>HYPERLINK("https://klasma.github.io/Logging_2061/kartor/A 23370-2026 karta.png", "A 23370-2026")</f>
        <v/>
      </c>
      <c r="Y73">
        <f>HYPERLINK("https://klasma.github.io/Logging_2061/klagomål/A 23370-2026 FSC-klagomål.docx", "A 23370-2026")</f>
        <v/>
      </c>
      <c r="Z73">
        <f>HYPERLINK("https://klasma.github.io/Logging_2061/klagomålsmail/A 23370-2026 FSC-klagomål mail.docx", "A 23370-2026")</f>
        <v/>
      </c>
      <c r="AA73">
        <f>HYPERLINK("https://klasma.github.io/Logging_2061/tillsyn/A 23370-2026 tillsynsbegäran.docx", "A 23370-2026")</f>
        <v/>
      </c>
      <c r="AB73">
        <f>HYPERLINK("https://klasma.github.io/Logging_2061/tillsynsmail/A 23370-2026 tillsynsbegäran mail.docx", "A 23370-2026")</f>
        <v/>
      </c>
      <c r="AC73">
        <f>HYPERLINK("https://klasma.github.io/Logging_2061/fåglar/A 23370-2026 prioriterade fågelarter.docx", "A 23370-2026")</f>
        <v/>
      </c>
    </row>
    <row r="74" ht="15" customHeight="1">
      <c r="A74" t="inlineStr">
        <is>
          <t>A 32954-2024</t>
        </is>
      </c>
      <c r="B74" t="inlineStr">
        <is>
          <t>avverkningsanmälan</t>
        </is>
      </c>
      <c r="C74" t="inlineStr">
        <is>
          <t>Föryngringsavverkning</t>
        </is>
      </c>
      <c r="D74" s="1" t="n">
        <v>45517</v>
      </c>
      <c r="E74" s="1" t="n">
        <v>46216</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s="2" t="inlineStr">
        <is>
          <t>Fläcknycklar</t>
        </is>
      </c>
      <c r="V74">
        <f>HYPERLINK("https://klasma.github.io/Logging_2061/artfynd/A 32954-2024 artfynd.xlsx", "A 32954-2024")</f>
        <v/>
      </c>
      <c r="W74">
        <f>HYPERLINK("https://klasma.github.io/Logging_2061/kartor/A 32954-2024 karta.png", "A 32954-2024")</f>
        <v/>
      </c>
      <c r="Y74">
        <f>HYPERLINK("https://klasma.github.io/Logging_2061/klagomål/A 32954-2024 FSC-klagomål.docx", "A 32954-2024")</f>
        <v/>
      </c>
      <c r="Z74">
        <f>HYPERLINK("https://klasma.github.io/Logging_2061/klagomålsmail/A 32954-2024 FSC-klagomål mail.docx", "A 32954-2024")</f>
        <v/>
      </c>
      <c r="AA74">
        <f>HYPERLINK("https://klasma.github.io/Logging_2061/tillsyn/A 32954-2024 tillsynsbegäran.docx", "A 32954-2024")</f>
        <v/>
      </c>
      <c r="AB74">
        <f>HYPERLINK("https://klasma.github.io/Logging_2061/tillsynsmail/A 32954-2024 tillsynsbegäran mail.docx", "A 32954-2024")</f>
        <v/>
      </c>
    </row>
    <row r="75" ht="15" customHeight="1">
      <c r="A75" t="inlineStr">
        <is>
          <t>A 11145-2025</t>
        </is>
      </c>
      <c r="B75" t="inlineStr">
        <is>
          <t>avverkningsanmälan</t>
        </is>
      </c>
      <c r="C75" t="inlineStr">
        <is>
          <t>Föryngringsavverkning</t>
        </is>
      </c>
      <c r="D75" s="1" t="n">
        <v>45723</v>
      </c>
      <c r="E75" s="1" t="n">
        <v>46216</v>
      </c>
      <c r="F75" t="inlineStr">
        <is>
          <t>DALARNAS LÄN</t>
        </is>
      </c>
      <c r="G75" t="inlineStr">
        <is>
          <t>SMEDJEBACKEN</t>
        </is>
      </c>
      <c r="H75" t="inlineStr">
        <is>
          <t>Bergvik skog väst AB</t>
        </is>
      </c>
      <c r="I75" t="n">
        <v>0.5</v>
      </c>
      <c r="J75" t="n">
        <v>1</v>
      </c>
      <c r="K75" t="n">
        <v>0</v>
      </c>
      <c r="L75" t="n">
        <v>0</v>
      </c>
      <c r="M75" t="n">
        <v>0</v>
      </c>
      <c r="N75" t="n">
        <v>0</v>
      </c>
      <c r="O75" t="n">
        <v>0</v>
      </c>
      <c r="P75" t="n">
        <v>0</v>
      </c>
      <c r="Q75" t="n">
        <v>0</v>
      </c>
      <c r="R75" t="n">
        <v>0</v>
      </c>
      <c r="S75" t="n">
        <v>1</v>
      </c>
      <c r="T75" t="n">
        <v>1</v>
      </c>
      <c r="U75" s="2" t="inlineStr">
        <is>
          <t>Kopparödla</t>
        </is>
      </c>
      <c r="V75">
        <f>HYPERLINK("https://klasma.github.io/Logging_2061/artfynd/A 11145-2025 artfynd.xlsx", "A 11145-2025")</f>
        <v/>
      </c>
      <c r="W75">
        <f>HYPERLINK("https://klasma.github.io/Logging_2061/kartor/A 11145-2025 karta.png", "A 11145-2025")</f>
        <v/>
      </c>
      <c r="Y75">
        <f>HYPERLINK("https://klasma.github.io/Logging_2061/klagomål/A 11145-2025 FSC-klagomål.docx", "A 11145-2025")</f>
        <v/>
      </c>
      <c r="Z75">
        <f>HYPERLINK("https://klasma.github.io/Logging_2061/klagomålsmail/A 11145-2025 FSC-klagomål mail.docx", "A 11145-2025")</f>
        <v/>
      </c>
      <c r="AA75">
        <f>HYPERLINK("https://klasma.github.io/Logging_2061/tillsyn/A 11145-2025 tillsynsbegäran.docx", "A 11145-2025")</f>
        <v/>
      </c>
      <c r="AB75">
        <f>HYPERLINK("https://klasma.github.io/Logging_2061/tillsynsmail/A 11145-2025 tillsynsbegäran mail.docx", "A 11145-2025")</f>
        <v/>
      </c>
    </row>
    <row r="76" ht="15" customHeight="1">
      <c r="A76" t="inlineStr">
        <is>
          <t>A 34942-2024</t>
        </is>
      </c>
      <c r="B76" t="inlineStr">
        <is>
          <t>avverkningsanmälan</t>
        </is>
      </c>
      <c r="C76" t="inlineStr">
        <is>
          <t>Föryngringsavverkning</t>
        </is>
      </c>
      <c r="D76" s="1" t="n">
        <v>45527</v>
      </c>
      <c r="E76" s="1" t="n">
        <v>46216</v>
      </c>
      <c r="F76" t="inlineStr">
        <is>
          <t>DALARNAS LÄN</t>
        </is>
      </c>
      <c r="G76" t="inlineStr">
        <is>
          <t>SMEDJEBACKEN</t>
        </is>
      </c>
      <c r="I76" t="n">
        <v>11</v>
      </c>
      <c r="J76" t="n">
        <v>0</v>
      </c>
      <c r="K76" t="n">
        <v>0</v>
      </c>
      <c r="L76" t="n">
        <v>1</v>
      </c>
      <c r="M76" t="n">
        <v>0</v>
      </c>
      <c r="N76" t="n">
        <v>0</v>
      </c>
      <c r="O76" t="n">
        <v>0</v>
      </c>
      <c r="P76" t="n">
        <v>0</v>
      </c>
      <c r="Q76" t="n">
        <v>1</v>
      </c>
      <c r="R76" t="n">
        <v>0</v>
      </c>
      <c r="S76" t="n">
        <v>1</v>
      </c>
      <c r="T76" t="n">
        <v>1</v>
      </c>
      <c r="U76" s="2" t="inlineStr">
        <is>
          <t>Skogsklocka</t>
        </is>
      </c>
      <c r="V76">
        <f>HYPERLINK("https://klasma.github.io/Logging_2061/artfynd/A 34942-2024 artfynd.xlsx", "A 34942-2024")</f>
        <v/>
      </c>
      <c r="W76">
        <f>HYPERLINK("https://klasma.github.io/Logging_2061/kartor/A 34942-2024 karta.png", "A 34942-2024")</f>
        <v/>
      </c>
      <c r="Y76">
        <f>HYPERLINK("https://klasma.github.io/Logging_2061/klagomål/A 34942-2024 FSC-klagomål.docx", "A 34942-2024")</f>
        <v/>
      </c>
      <c r="Z76">
        <f>HYPERLINK("https://klasma.github.io/Logging_2061/klagomålsmail/A 34942-2024 FSC-klagomål mail.docx", "A 34942-2024")</f>
        <v/>
      </c>
      <c r="AA76">
        <f>HYPERLINK("https://klasma.github.io/Logging_2061/tillsyn/A 34942-2024 tillsynsbegäran.docx", "A 34942-2024")</f>
        <v/>
      </c>
      <c r="AB76">
        <f>HYPERLINK("https://klasma.github.io/Logging_2061/tillsynsmail/A 34942-2024 tillsynsbegäran mail.docx", "A 34942-2024")</f>
        <v/>
      </c>
    </row>
    <row r="77" ht="15" customHeight="1">
      <c r="A77" t="inlineStr">
        <is>
          <t>A 22462-2025</t>
        </is>
      </c>
      <c r="B77" t="inlineStr">
        <is>
          <t>avverkningsanmälan</t>
        </is>
      </c>
      <c r="C77" t="inlineStr">
        <is>
          <t>Föryngringsavverkning</t>
        </is>
      </c>
      <c r="D77" s="1" t="n">
        <v>45786</v>
      </c>
      <c r="E77" s="1" t="n">
        <v>46216</v>
      </c>
      <c r="F77" t="inlineStr">
        <is>
          <t>DALARNAS LÄN</t>
        </is>
      </c>
      <c r="G77" t="inlineStr">
        <is>
          <t>SMEDJEBACKEN</t>
        </is>
      </c>
      <c r="H77" t="inlineStr">
        <is>
          <t>Sveaskog</t>
        </is>
      </c>
      <c r="I77" t="n">
        <v>8.800000000000001</v>
      </c>
      <c r="J77" t="n">
        <v>0</v>
      </c>
      <c r="K77" t="n">
        <v>0</v>
      </c>
      <c r="L77" t="n">
        <v>0</v>
      </c>
      <c r="M77" t="n">
        <v>1</v>
      </c>
      <c r="N77" t="n">
        <v>0</v>
      </c>
      <c r="O77" t="n">
        <v>0</v>
      </c>
      <c r="P77" t="n">
        <v>0</v>
      </c>
      <c r="Q77" t="n">
        <v>1</v>
      </c>
      <c r="R77" t="n">
        <v>1</v>
      </c>
      <c r="S77" t="n">
        <v>1</v>
      </c>
      <c r="T77" t="n">
        <v>1</v>
      </c>
      <c r="U77" s="2" t="inlineStr">
        <is>
          <t>Garnlav</t>
        </is>
      </c>
      <c r="V77">
        <f>HYPERLINK("https://klasma.github.io/Logging_2061/artfynd/A 22462-2025 artfynd.xlsx", "A 22462-2025")</f>
        <v/>
      </c>
      <c r="W77">
        <f>HYPERLINK("https://klasma.github.io/Logging_2061/kartor/A 22462-2025 karta.png", "A 22462-2025")</f>
        <v/>
      </c>
      <c r="Y77">
        <f>HYPERLINK("https://klasma.github.io/Logging_2061/klagomål/A 22462-2025 FSC-klagomål.docx", "A 22462-2025")</f>
        <v/>
      </c>
      <c r="Z77">
        <f>HYPERLINK("https://klasma.github.io/Logging_2061/klagomålsmail/A 22462-2025 FSC-klagomål mail.docx", "A 22462-2025")</f>
        <v/>
      </c>
      <c r="AA77">
        <f>HYPERLINK("https://klasma.github.io/Logging_2061/tillsyn/A 22462-2025 tillsynsbegäran.docx", "A 22462-2025")</f>
        <v/>
      </c>
      <c r="AB77">
        <f>HYPERLINK("https://klasma.github.io/Logging_2061/tillsynsmail/A 22462-2025 tillsynsbegäran mail.docx", "A 22462-2025")</f>
        <v/>
      </c>
    </row>
    <row r="78" ht="15" customHeight="1">
      <c r="A78" t="inlineStr">
        <is>
          <t>A 32934-2024</t>
        </is>
      </c>
      <c r="B78" t="inlineStr">
        <is>
          <t>avverkningsanmälan</t>
        </is>
      </c>
      <c r="C78" t="inlineStr">
        <is>
          <t>Föryngringsavverkning</t>
        </is>
      </c>
      <c r="D78" s="1" t="n">
        <v>45517</v>
      </c>
      <c r="E78" s="1" t="n">
        <v>46216</v>
      </c>
      <c r="F78" t="inlineStr">
        <is>
          <t>DALARNAS LÄN</t>
        </is>
      </c>
      <c r="G78" t="inlineStr">
        <is>
          <t>SMEDJEBACKEN</t>
        </is>
      </c>
      <c r="H78" t="inlineStr">
        <is>
          <t>Sveaskog</t>
        </is>
      </c>
      <c r="I78" t="n">
        <v>4.8</v>
      </c>
      <c r="J78" t="n">
        <v>1</v>
      </c>
      <c r="K78" t="n">
        <v>0</v>
      </c>
      <c r="L78" t="n">
        <v>1</v>
      </c>
      <c r="M78" t="n">
        <v>0</v>
      </c>
      <c r="N78" t="n">
        <v>0</v>
      </c>
      <c r="O78" t="n">
        <v>0</v>
      </c>
      <c r="P78" t="n">
        <v>0</v>
      </c>
      <c r="Q78" t="n">
        <v>1</v>
      </c>
      <c r="R78" t="n">
        <v>0</v>
      </c>
      <c r="S78" t="n">
        <v>1</v>
      </c>
      <c r="T78" t="n">
        <v>1</v>
      </c>
      <c r="U78" s="2" t="inlineStr">
        <is>
          <t>Talltita</t>
        </is>
      </c>
      <c r="V78">
        <f>HYPERLINK("https://klasma.github.io/Logging_2061/artfynd/A 32934-2024 artfynd.xlsx", "A 32934-2024")</f>
        <v/>
      </c>
      <c r="W78">
        <f>HYPERLINK("https://klasma.github.io/Logging_2061/kartor/A 32934-2024 karta.png", "A 32934-2024")</f>
        <v/>
      </c>
      <c r="Y78">
        <f>HYPERLINK("https://klasma.github.io/Logging_2061/klagomål/A 32934-2024 FSC-klagomål.docx", "A 32934-2024")</f>
        <v/>
      </c>
      <c r="Z78">
        <f>HYPERLINK("https://klasma.github.io/Logging_2061/klagomålsmail/A 32934-2024 FSC-klagomål mail.docx", "A 32934-2024")</f>
        <v/>
      </c>
      <c r="AA78">
        <f>HYPERLINK("https://klasma.github.io/Logging_2061/tillsyn/A 32934-2024 tillsynsbegäran.docx", "A 32934-2024")</f>
        <v/>
      </c>
      <c r="AB78">
        <f>HYPERLINK("https://klasma.github.io/Logging_2061/tillsynsmail/A 32934-2024 tillsynsbegäran mail.docx", "A 32934-2024")</f>
        <v/>
      </c>
      <c r="AC78">
        <f>HYPERLINK("https://klasma.github.io/Logging_2061/fåglar/A 32934-2024 prioriterade fågelarter.docx", "A 32934-2024")</f>
        <v/>
      </c>
    </row>
    <row r="79" ht="15" customHeight="1">
      <c r="A79" t="inlineStr">
        <is>
          <t>A 22459-2025</t>
        </is>
      </c>
      <c r="B79" t="inlineStr">
        <is>
          <t>avverkningsanmälan</t>
        </is>
      </c>
      <c r="C79" t="inlineStr">
        <is>
          <t>Föryngringsavverkning</t>
        </is>
      </c>
      <c r="D79" s="1" t="n">
        <v>45786</v>
      </c>
      <c r="E79" s="1" t="n">
        <v>46216</v>
      </c>
      <c r="F79" t="inlineStr">
        <is>
          <t>DALARNAS LÄN</t>
        </is>
      </c>
      <c r="G79" t="inlineStr">
        <is>
          <t>SMEDJEBACKEN</t>
        </is>
      </c>
      <c r="H79" t="inlineStr">
        <is>
          <t>Sveaskog</t>
        </is>
      </c>
      <c r="I79" t="n">
        <v>8.800000000000001</v>
      </c>
      <c r="J79" t="n">
        <v>0</v>
      </c>
      <c r="K79" t="n">
        <v>0</v>
      </c>
      <c r="L79" t="n">
        <v>0</v>
      </c>
      <c r="M79" t="n">
        <v>1</v>
      </c>
      <c r="N79" t="n">
        <v>0</v>
      </c>
      <c r="O79" t="n">
        <v>0</v>
      </c>
      <c r="P79" t="n">
        <v>0</v>
      </c>
      <c r="Q79" t="n">
        <v>1</v>
      </c>
      <c r="R79" t="n">
        <v>1</v>
      </c>
      <c r="S79" t="n">
        <v>1</v>
      </c>
      <c r="T79" t="n">
        <v>1</v>
      </c>
      <c r="U79" s="2" t="inlineStr">
        <is>
          <t>Garnlav</t>
        </is>
      </c>
      <c r="V79">
        <f>HYPERLINK("https://klasma.github.io/Logging_2061/artfynd/A 22459-2025 artfynd.xlsx", "A 22459-2025")</f>
        <v/>
      </c>
      <c r="W79">
        <f>HYPERLINK("https://klasma.github.io/Logging_2061/kartor/A 22459-2025 karta.png", "A 22459-2025")</f>
        <v/>
      </c>
      <c r="Y79">
        <f>HYPERLINK("https://klasma.github.io/Logging_2061/klagomål/A 22459-2025 FSC-klagomål.docx", "A 22459-2025")</f>
        <v/>
      </c>
      <c r="Z79">
        <f>HYPERLINK("https://klasma.github.io/Logging_2061/klagomålsmail/A 22459-2025 FSC-klagomål mail.docx", "A 22459-2025")</f>
        <v/>
      </c>
      <c r="AA79">
        <f>HYPERLINK("https://klasma.github.io/Logging_2061/tillsyn/A 22459-2025 tillsynsbegäran.docx", "A 22459-2025")</f>
        <v/>
      </c>
      <c r="AB79">
        <f>HYPERLINK("https://klasma.github.io/Logging_2061/tillsynsmail/A 22459-2025 tillsynsbegäran mail.docx", "A 22459-2025")</f>
        <v/>
      </c>
    </row>
    <row r="80" ht="15" customHeight="1">
      <c r="A80" t="inlineStr">
        <is>
          <t>A 39536-2021</t>
        </is>
      </c>
      <c r="B80" t="inlineStr">
        <is>
          <t>avverkningsanmälan</t>
        </is>
      </c>
      <c r="C80" t="inlineStr">
        <is>
          <t>Föryngringsavverkning</t>
        </is>
      </c>
      <c r="D80" s="1" t="n">
        <v>44415</v>
      </c>
      <c r="E80" s="1" t="n">
        <v>46216</v>
      </c>
      <c r="F80" t="inlineStr">
        <is>
          <t>DALARNAS LÄN</t>
        </is>
      </c>
      <c r="G80" t="inlineStr">
        <is>
          <t>SMEDJEBACKEN</t>
        </is>
      </c>
      <c r="I80" t="n">
        <v>5.1</v>
      </c>
      <c r="J80" t="n">
        <v>1</v>
      </c>
      <c r="K80" t="n">
        <v>0</v>
      </c>
      <c r="L80" t="n">
        <v>0</v>
      </c>
      <c r="M80" t="n">
        <v>0</v>
      </c>
      <c r="N80" t="n">
        <v>0</v>
      </c>
      <c r="O80" t="n">
        <v>0</v>
      </c>
      <c r="P80" t="n">
        <v>0</v>
      </c>
      <c r="Q80" t="n">
        <v>0</v>
      </c>
      <c r="R80" t="n">
        <v>0</v>
      </c>
      <c r="S80" t="n">
        <v>1</v>
      </c>
      <c r="T80" t="n">
        <v>1</v>
      </c>
      <c r="U80" s="2" t="inlineStr">
        <is>
          <t>Fläcknycklar</t>
        </is>
      </c>
      <c r="V80">
        <f>HYPERLINK("https://klasma.github.io/Logging_2061/artfynd/A 39536-2021 artfynd.xlsx", "A 39536-2021")</f>
        <v/>
      </c>
      <c r="W80">
        <f>HYPERLINK("https://klasma.github.io/Logging_2061/kartor/A 39536-2021 karta.png", "A 39536-2021")</f>
        <v/>
      </c>
      <c r="Y80">
        <f>HYPERLINK("https://klasma.github.io/Logging_2061/klagomål/A 39536-2021 FSC-klagomål.docx", "A 39536-2021")</f>
        <v/>
      </c>
      <c r="Z80">
        <f>HYPERLINK("https://klasma.github.io/Logging_2061/klagomålsmail/A 39536-2021 FSC-klagomål mail.docx", "A 39536-2021")</f>
        <v/>
      </c>
      <c r="AA80">
        <f>HYPERLINK("https://klasma.github.io/Logging_2061/tillsyn/A 39536-2021 tillsynsbegäran.docx", "A 39536-2021")</f>
        <v/>
      </c>
      <c r="AB80">
        <f>HYPERLINK("https://klasma.github.io/Logging_2061/tillsynsmail/A 39536-2021 tillsynsbegäran mail.docx", "A 39536-2021")</f>
        <v/>
      </c>
    </row>
    <row r="81" ht="15" customHeight="1">
      <c r="A81" t="inlineStr">
        <is>
          <t>A 23547-2025</t>
        </is>
      </c>
      <c r="B81" t="inlineStr">
        <is>
          <t>avverkningsanmälan</t>
        </is>
      </c>
      <c r="C81" t="inlineStr">
        <is>
          <t>Föryngringsavverkning</t>
        </is>
      </c>
      <c r="D81" s="1" t="n">
        <v>45792</v>
      </c>
      <c r="E81" s="1" t="n">
        <v>46216</v>
      </c>
      <c r="F81" t="inlineStr">
        <is>
          <t>DALARNAS LÄN</t>
        </is>
      </c>
      <c r="G81" t="inlineStr">
        <is>
          <t>SMEDJEBACKEN</t>
        </is>
      </c>
      <c r="I81" t="n">
        <v>3.8</v>
      </c>
      <c r="J81" t="n">
        <v>0</v>
      </c>
      <c r="K81" t="n">
        <v>1</v>
      </c>
      <c r="L81" t="n">
        <v>0</v>
      </c>
      <c r="M81" t="n">
        <v>0</v>
      </c>
      <c r="N81" t="n">
        <v>0</v>
      </c>
      <c r="O81" t="n">
        <v>0</v>
      </c>
      <c r="P81" t="n">
        <v>0</v>
      </c>
      <c r="Q81" t="n">
        <v>0</v>
      </c>
      <c r="R81" t="n">
        <v>0</v>
      </c>
      <c r="S81" t="n">
        <v>1</v>
      </c>
      <c r="T81" t="n">
        <v>1</v>
      </c>
      <c r="U81" s="2" t="inlineStr">
        <is>
          <t>Tibast</t>
        </is>
      </c>
      <c r="V81">
        <f>HYPERLINK("https://klasma.github.io/Logging_2061/artfynd/A 23547-2025 artfynd.xlsx", "A 23547-2025")</f>
        <v/>
      </c>
      <c r="W81">
        <f>HYPERLINK("https://klasma.github.io/Logging_2061/kartor/A 23547-2025 karta.png", "A 23547-2025")</f>
        <v/>
      </c>
      <c r="Y81">
        <f>HYPERLINK("https://klasma.github.io/Logging_2061/klagomål/A 23547-2025 FSC-klagomål.docx", "A 23547-2025")</f>
        <v/>
      </c>
      <c r="Z81">
        <f>HYPERLINK("https://klasma.github.io/Logging_2061/klagomålsmail/A 23547-2025 FSC-klagomål mail.docx", "A 23547-2025")</f>
        <v/>
      </c>
      <c r="AA81">
        <f>HYPERLINK("https://klasma.github.io/Logging_2061/tillsyn/A 23547-2025 tillsynsbegäran.docx", "A 23547-2025")</f>
        <v/>
      </c>
      <c r="AB81">
        <f>HYPERLINK("https://klasma.github.io/Logging_2061/tillsynsmail/A 23547-2025 tillsynsbegäran mail.docx", "A 23547-2025")</f>
        <v/>
      </c>
    </row>
    <row r="82" ht="15" customHeight="1">
      <c r="A82" t="inlineStr">
        <is>
          <t>S 5113-2024</t>
        </is>
      </c>
      <c r="B82" t="inlineStr">
        <is>
          <t>samrådsanmälan</t>
        </is>
      </c>
      <c r="C82" t="inlineStr">
        <is>
          <t>Skogsgödsling</t>
        </is>
      </c>
      <c r="D82" s="1" t="n">
        <v>45642</v>
      </c>
      <c r="E82" s="1" t="n">
        <v>46216</v>
      </c>
      <c r="F82" t="inlineStr">
        <is>
          <t>DALARNAS LÄN</t>
        </is>
      </c>
      <c r="G82" t="inlineStr">
        <is>
          <t>SMEDJEBACKEN</t>
        </is>
      </c>
      <c r="H82" t="inlineStr">
        <is>
          <t>Sveaskog</t>
        </is>
      </c>
      <c r="I82" t="n">
        <v>627.5</v>
      </c>
      <c r="J82" t="n">
        <v>0</v>
      </c>
      <c r="K82" t="n">
        <v>1</v>
      </c>
      <c r="L82" t="n">
        <v>0</v>
      </c>
      <c r="M82" t="n">
        <v>0</v>
      </c>
      <c r="N82" t="n">
        <v>0</v>
      </c>
      <c r="O82" t="n">
        <v>0</v>
      </c>
      <c r="P82" t="n">
        <v>0</v>
      </c>
      <c r="Q82" t="n">
        <v>0</v>
      </c>
      <c r="R82" t="n">
        <v>0</v>
      </c>
      <c r="S82" t="n">
        <v>1</v>
      </c>
      <c r="T82" t="n">
        <v>1</v>
      </c>
      <c r="U82" s="2" t="inlineStr">
        <is>
          <t>Brandticka</t>
        </is>
      </c>
      <c r="V82">
        <f>HYPERLINK("https://klasma.github.io/Logging_2061/artfynd/S 5113-2024 artfynd.xlsx", "S 5113-2024")</f>
        <v/>
      </c>
      <c r="W82">
        <f>HYPERLINK("https://klasma.github.io/Logging_2061/kartor/S 5113-2024 karta.png", "S 5113-2024")</f>
        <v/>
      </c>
      <c r="Y82">
        <f>HYPERLINK("https://klasma.github.io/Logging_2061/klagomål/S 5113-2024 FSC-klagomål.docx", "S 5113-2024")</f>
        <v/>
      </c>
      <c r="Z82">
        <f>HYPERLINK("https://klasma.github.io/Logging_2061/klagomålsmail/S 5113-2024 FSC-klagomål mail.docx", "S 5113-2024")</f>
        <v/>
      </c>
      <c r="AA82">
        <f>HYPERLINK("https://klasma.github.io/Logging_2061/tillsyn/S 5113-2024 tillsynsbegäran.docx", "S 5113-2024")</f>
        <v/>
      </c>
      <c r="AB82">
        <f>HYPERLINK("https://klasma.github.io/Logging_2061/tillsynsmail/S 5113-2024 tillsynsbegäran mail.docx", "S 5113-2024")</f>
        <v/>
      </c>
    </row>
    <row r="83" ht="15" customHeight="1">
      <c r="A83" t="inlineStr">
        <is>
          <t>S 4205-2023</t>
        </is>
      </c>
      <c r="B83" t="inlineStr">
        <is>
          <t>samrådsanmälan</t>
        </is>
      </c>
      <c r="C83" t="inlineStr">
        <is>
          <t>Annan skogsbruksåtgärd</t>
        </is>
      </c>
      <c r="D83" s="1" t="n">
        <v>45251</v>
      </c>
      <c r="E83" s="1" t="n">
        <v>46216</v>
      </c>
      <c r="F83" t="inlineStr">
        <is>
          <t>DALARNAS LÄN</t>
        </is>
      </c>
      <c r="G83" t="inlineStr">
        <is>
          <t>SMEDJEBACKEN</t>
        </is>
      </c>
      <c r="H83" t="inlineStr">
        <is>
          <t>Bergvik skog väst AB</t>
        </is>
      </c>
      <c r="I83" t="n">
        <v>1</v>
      </c>
      <c r="J83" t="n">
        <v>0</v>
      </c>
      <c r="K83" t="n">
        <v>0</v>
      </c>
      <c r="L83" t="n">
        <v>1</v>
      </c>
      <c r="M83" t="n">
        <v>0</v>
      </c>
      <c r="N83" t="n">
        <v>0</v>
      </c>
      <c r="O83" t="n">
        <v>0</v>
      </c>
      <c r="P83" t="n">
        <v>0</v>
      </c>
      <c r="Q83" t="n">
        <v>1</v>
      </c>
      <c r="R83" t="n">
        <v>0</v>
      </c>
      <c r="S83" t="n">
        <v>1</v>
      </c>
      <c r="T83" t="n">
        <v>1</v>
      </c>
      <c r="U83" s="2" t="inlineStr">
        <is>
          <t>Skogshare</t>
        </is>
      </c>
      <c r="V83">
        <f>HYPERLINK("https://klasma.github.io/Logging_2061/artfynd/S 4205-2023 artfynd.xlsx", "S 4205-2023")</f>
        <v/>
      </c>
      <c r="W83">
        <f>HYPERLINK("https://klasma.github.io/Logging_2061/kartor/S 4205-2023 karta.png", "S 4205-2023")</f>
        <v/>
      </c>
      <c r="Y83">
        <f>HYPERLINK("https://klasma.github.io/Logging_2061/klagomål/S 4205-2023 FSC-klagomål.docx", "S 4205-2023")</f>
        <v/>
      </c>
      <c r="Z83">
        <f>HYPERLINK("https://klasma.github.io/Logging_2061/klagomålsmail/S 4205-2023 FSC-klagomål mail.docx", "S 4205-2023")</f>
        <v/>
      </c>
      <c r="AA83">
        <f>HYPERLINK("https://klasma.github.io/Logging_2061/tillsyn/S 4205-2023 tillsynsbegäran.docx", "S 4205-2023")</f>
        <v/>
      </c>
      <c r="AB83">
        <f>HYPERLINK("https://klasma.github.io/Logging_2061/tillsynsmail/S 4205-2023 tillsynsbegäran mail.docx", "S 4205-2023")</f>
        <v/>
      </c>
    </row>
    <row r="84" ht="15" customHeight="1">
      <c r="A84" t="inlineStr">
        <is>
          <t>S 408-2022</t>
        </is>
      </c>
      <c r="B84" t="inlineStr">
        <is>
          <t>samrådsanmälan</t>
        </is>
      </c>
      <c r="C84" t="inlineStr">
        <is>
          <t>Skogsgödsling</t>
        </is>
      </c>
      <c r="D84" s="1" t="n">
        <v>44585</v>
      </c>
      <c r="E84" s="1" t="n">
        <v>46216</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s="2" t="inlineStr">
        <is>
          <t>Kungsörn</t>
        </is>
      </c>
      <c r="V84">
        <f>HYPERLINK("https://klasma.github.io/Logging_2061/artfynd/S 408-2022 artfynd.xlsx", "S 408-2022")</f>
        <v/>
      </c>
      <c r="W84">
        <f>HYPERLINK("https://klasma.github.io/Logging_2061/kartor/S 408-2022 karta.png", "S 408-2022")</f>
        <v/>
      </c>
      <c r="Y84">
        <f>HYPERLINK("https://klasma.github.io/Logging_2061/klagomål/S 408-2022 FSC-klagomål.docx", "S 408-2022")</f>
        <v/>
      </c>
      <c r="Z84">
        <f>HYPERLINK("https://klasma.github.io/Logging_2061/klagomålsmail/S 408-2022 FSC-klagomål mail.docx", "S 408-2022")</f>
        <v/>
      </c>
      <c r="AA84">
        <f>HYPERLINK("https://klasma.github.io/Logging_2061/tillsyn/S 408-2022 tillsynsbegäran.docx", "S 408-2022")</f>
        <v/>
      </c>
      <c r="AB84">
        <f>HYPERLINK("https://klasma.github.io/Logging_2061/tillsynsmail/S 408-2022 tillsynsbegäran mail.docx", "S 408-2022")</f>
        <v/>
      </c>
      <c r="AC84">
        <f>HYPERLINK("https://klasma.github.io/Logging_2061/fåglar/S 408-2022 prioriterade fågelarter.docx", "S 408-2022")</f>
        <v/>
      </c>
    </row>
    <row r="85" ht="15" customHeight="1">
      <c r="A85" t="inlineStr">
        <is>
          <t>S 15-2026</t>
        </is>
      </c>
      <c r="B85" t="inlineStr">
        <is>
          <t>samrådsanmälan</t>
        </is>
      </c>
      <c r="C85" t="inlineStr">
        <is>
          <t>Annan skogsbruksåtgärd</t>
        </is>
      </c>
      <c r="D85" s="1" t="n">
        <v>46029</v>
      </c>
      <c r="E85" s="1" t="n">
        <v>46216</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s="2" t="inlineStr">
        <is>
          <t>Ullticka</t>
        </is>
      </c>
      <c r="V85">
        <f>HYPERLINK("https://klasma.github.io/Logging_2061/artfynd/S 15-2026 artfynd.xlsx", "S 15-2026")</f>
        <v/>
      </c>
      <c r="W85">
        <f>HYPERLINK("https://klasma.github.io/Logging_2061/kartor/S 15-2026 karta.png", "S 15-2026")</f>
        <v/>
      </c>
      <c r="Y85">
        <f>HYPERLINK("https://klasma.github.io/Logging_2061/klagomål/S 15-2026 FSC-klagomål.docx", "S 15-2026")</f>
        <v/>
      </c>
      <c r="Z85">
        <f>HYPERLINK("https://klasma.github.io/Logging_2061/klagomålsmail/S 15-2026 FSC-klagomål mail.docx", "S 15-2026")</f>
        <v/>
      </c>
      <c r="AA85">
        <f>HYPERLINK("https://klasma.github.io/Logging_2061/tillsyn/S 15-2026 tillsynsbegäran.docx", "S 15-2026")</f>
        <v/>
      </c>
      <c r="AB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46216</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s="2" t="inlineStr"/>
    </row>
    <row r="87" ht="15" customHeight="1">
      <c r="A87" t="inlineStr">
        <is>
          <t>A 8675-2022</t>
        </is>
      </c>
      <c r="B87" t="inlineStr">
        <is>
          <t>avverkningsanmälan</t>
        </is>
      </c>
      <c r="C87" t="inlineStr">
        <is>
          <t>Föryngringsavverkning</t>
        </is>
      </c>
      <c r="D87" s="1" t="n">
        <v>44613</v>
      </c>
      <c r="E87" s="1" t="n">
        <v>46216</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s="2" t="inlineStr"/>
    </row>
    <row r="88" ht="15" customHeight="1">
      <c r="A88" t="inlineStr">
        <is>
          <t>A 39719-2021</t>
        </is>
      </c>
      <c r="B88" t="inlineStr">
        <is>
          <t>avverkningsanmälan</t>
        </is>
      </c>
      <c r="C88" t="inlineStr">
        <is>
          <t>Föryngringsavverkning</t>
        </is>
      </c>
      <c r="D88" s="1" t="n">
        <v>44414</v>
      </c>
      <c r="E88" s="1" t="n">
        <v>46216</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s="2" t="inlineStr"/>
    </row>
    <row r="89" ht="15" customHeight="1">
      <c r="A89" t="inlineStr">
        <is>
          <t>A 33253-2022</t>
        </is>
      </c>
      <c r="B89" t="inlineStr">
        <is>
          <t>avverkningsanmälan</t>
        </is>
      </c>
      <c r="C89" t="inlineStr">
        <is>
          <t>Föryngringsavverkning</t>
        </is>
      </c>
      <c r="D89" s="1" t="n">
        <v>44787</v>
      </c>
      <c r="E89" s="1" t="n">
        <v>46216</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s="2" t="inlineStr"/>
    </row>
    <row r="90" ht="15" customHeight="1">
      <c r="A90" t="inlineStr">
        <is>
          <t>A 43375-2021</t>
        </is>
      </c>
      <c r="B90" t="inlineStr">
        <is>
          <t>avverkningsanmälan</t>
        </is>
      </c>
      <c r="C90" t="inlineStr">
        <is>
          <t>Föryngringsavverkning</t>
        </is>
      </c>
      <c r="D90" s="1" t="n">
        <v>44432</v>
      </c>
      <c r="E90" s="1" t="n">
        <v>46216</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s="2" t="inlineStr"/>
    </row>
    <row r="91" ht="15" customHeight="1">
      <c r="A91" t="inlineStr">
        <is>
          <t>A 39726-2021</t>
        </is>
      </c>
      <c r="B91" t="inlineStr">
        <is>
          <t>avverkningsanmälan</t>
        </is>
      </c>
      <c r="C91" t="inlineStr">
        <is>
          <t>Föryngringsavverkning</t>
        </is>
      </c>
      <c r="D91" s="1" t="n">
        <v>44414</v>
      </c>
      <c r="E91" s="1" t="n">
        <v>46216</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s="2" t="inlineStr"/>
    </row>
    <row r="92" ht="15" customHeight="1">
      <c r="A92" t="inlineStr">
        <is>
          <t>A 49097-2021</t>
        </is>
      </c>
      <c r="B92" t="inlineStr">
        <is>
          <t>avverkningsanmälan</t>
        </is>
      </c>
      <c r="C92" t="inlineStr">
        <is>
          <t>Föryngringsavverkning</t>
        </is>
      </c>
      <c r="D92" s="1" t="n">
        <v>44453</v>
      </c>
      <c r="E92" s="1" t="n">
        <v>46216</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s="2" t="inlineStr"/>
    </row>
    <row r="93" ht="15" customHeight="1">
      <c r="A93" t="inlineStr">
        <is>
          <t>A 907-2022</t>
        </is>
      </c>
      <c r="B93" t="inlineStr">
        <is>
          <t>avverkningsanmälan</t>
        </is>
      </c>
      <c r="C93" t="inlineStr">
        <is>
          <t>Föryngringsavverkning</t>
        </is>
      </c>
      <c r="D93" s="1" t="n">
        <v>44571</v>
      </c>
      <c r="E93" s="1" t="n">
        <v>46216</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s="2" t="inlineStr"/>
    </row>
    <row r="94" ht="15" customHeight="1">
      <c r="A94" t="inlineStr">
        <is>
          <t>A 26305-2022</t>
        </is>
      </c>
      <c r="B94" t="inlineStr">
        <is>
          <t>avverkningsanmälan</t>
        </is>
      </c>
      <c r="C94" t="inlineStr">
        <is>
          <t>Föryngringsavverkning</t>
        </is>
      </c>
      <c r="D94" s="1" t="n">
        <v>44735</v>
      </c>
      <c r="E94" s="1" t="n">
        <v>46216</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s="2" t="inlineStr"/>
    </row>
    <row r="95" ht="15" customHeight="1">
      <c r="A95" t="inlineStr">
        <is>
          <t>A 37370-2022</t>
        </is>
      </c>
      <c r="B95" t="inlineStr">
        <is>
          <t>avverkningsanmälan</t>
        </is>
      </c>
      <c r="C95" t="inlineStr">
        <is>
          <t>Föryngringsavverkning</t>
        </is>
      </c>
      <c r="D95" s="1" t="n">
        <v>44809</v>
      </c>
      <c r="E95" s="1" t="n">
        <v>46216</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s="2" t="inlineStr"/>
    </row>
    <row r="96" ht="15" customHeight="1">
      <c r="A96" t="inlineStr">
        <is>
          <t>A 19019-2022</t>
        </is>
      </c>
      <c r="B96" t="inlineStr">
        <is>
          <t>avverkningsanmälan</t>
        </is>
      </c>
      <c r="C96" t="inlineStr">
        <is>
          <t>Föryngringsavverkning</t>
        </is>
      </c>
      <c r="D96" s="1" t="n">
        <v>44691</v>
      </c>
      <c r="E96" s="1" t="n">
        <v>46216</v>
      </c>
      <c r="F96" t="inlineStr">
        <is>
          <t>DALARNAS LÄN</t>
        </is>
      </c>
      <c r="G96" t="inlineStr">
        <is>
          <t>SMEDJEBACKEN</t>
        </is>
      </c>
      <c r="H96" t="inlineStr">
        <is>
          <t>Övriga Aktiebolag</t>
        </is>
      </c>
      <c r="I96" t="n">
        <v>2.7</v>
      </c>
      <c r="J96" t="n">
        <v>0</v>
      </c>
      <c r="K96" t="n">
        <v>0</v>
      </c>
      <c r="L96" t="n">
        <v>0</v>
      </c>
      <c r="M96" t="n">
        <v>0</v>
      </c>
      <c r="N96" t="n">
        <v>0</v>
      </c>
      <c r="O96" t="n">
        <v>0</v>
      </c>
      <c r="P96" t="n">
        <v>0</v>
      </c>
      <c r="Q96" t="n">
        <v>0</v>
      </c>
      <c r="R96" t="n">
        <v>0</v>
      </c>
      <c r="S96" t="n">
        <v>0</v>
      </c>
      <c r="T96" t="n">
        <v>0</v>
      </c>
      <c r="U96" s="2" t="inlineStr"/>
    </row>
    <row r="97" ht="15" customHeight="1">
      <c r="A97" t="inlineStr">
        <is>
          <t>A 51731-2021</t>
        </is>
      </c>
      <c r="B97" t="inlineStr">
        <is>
          <t>avverkningsanmälan</t>
        </is>
      </c>
      <c r="C97" t="inlineStr">
        <is>
          <t>Avverkning för att bevara och utveckla /försöksver</t>
        </is>
      </c>
      <c r="D97" s="1" t="n">
        <v>44462</v>
      </c>
      <c r="E97" s="1" t="n">
        <v>46216</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s="2" t="inlineStr"/>
    </row>
    <row r="98" ht="15" customHeight="1">
      <c r="A98" t="inlineStr">
        <is>
          <t>A 60697-2021</t>
        </is>
      </c>
      <c r="B98" t="inlineStr">
        <is>
          <t>avverkningsanmälan</t>
        </is>
      </c>
      <c r="C98" t="inlineStr">
        <is>
          <t>Föryngringsavverkning</t>
        </is>
      </c>
      <c r="D98" s="1" t="n">
        <v>44496</v>
      </c>
      <c r="E98" s="1" t="n">
        <v>46216</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s="2" t="inlineStr"/>
    </row>
    <row r="99" ht="15" customHeight="1">
      <c r="A99" t="inlineStr">
        <is>
          <t>A 12606-2022</t>
        </is>
      </c>
      <c r="B99" t="inlineStr">
        <is>
          <t>avverkningsanmälan</t>
        </is>
      </c>
      <c r="C99" t="inlineStr">
        <is>
          <t>Föryngringsavverkning</t>
        </is>
      </c>
      <c r="D99" s="1" t="n">
        <v>44641</v>
      </c>
      <c r="E99" s="1" t="n">
        <v>46216</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s="2" t="inlineStr"/>
    </row>
    <row r="100" ht="15" customHeight="1">
      <c r="A100" t="inlineStr">
        <is>
          <t>A 49278-2022</t>
        </is>
      </c>
      <c r="B100" t="inlineStr">
        <is>
          <t>avverkningsanmälan</t>
        </is>
      </c>
      <c r="C100" t="inlineStr">
        <is>
          <t>Avverkning för annat ändamål</t>
        </is>
      </c>
      <c r="D100" s="1" t="n">
        <v>44861</v>
      </c>
      <c r="E100" s="1" t="n">
        <v>46216</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22351-2022</t>
        </is>
      </c>
      <c r="B101" t="inlineStr">
        <is>
          <t>avverkningsanmälan</t>
        </is>
      </c>
      <c r="C101" t="inlineStr">
        <is>
          <t>Föryngringsavverkning</t>
        </is>
      </c>
      <c r="D101" s="1" t="n">
        <v>44713</v>
      </c>
      <c r="E101" s="1" t="n">
        <v>46216</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s="2" t="inlineStr"/>
    </row>
    <row r="102" ht="15" customHeight="1">
      <c r="A102" t="inlineStr">
        <is>
          <t>A 12331-2022</t>
        </is>
      </c>
      <c r="B102" t="inlineStr">
        <is>
          <t>avverkningsanmälan</t>
        </is>
      </c>
      <c r="C102" t="inlineStr">
        <is>
          <t>Föryngringsavverkning</t>
        </is>
      </c>
      <c r="D102" s="1" t="n">
        <v>44637</v>
      </c>
      <c r="E102" s="1" t="n">
        <v>46216</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37375-2022</t>
        </is>
      </c>
      <c r="B103" t="inlineStr">
        <is>
          <t>avverkningsanmälan</t>
        </is>
      </c>
      <c r="C103" t="inlineStr">
        <is>
          <t>Föryngringsavverkning</t>
        </is>
      </c>
      <c r="D103" s="1" t="n">
        <v>44809</v>
      </c>
      <c r="E103" s="1" t="n">
        <v>46216</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21631-2022</t>
        </is>
      </c>
      <c r="B104" t="inlineStr">
        <is>
          <t>avverkningsanmälan</t>
        </is>
      </c>
      <c r="C104" t="inlineStr">
        <is>
          <t>Föryngringsavverkning</t>
        </is>
      </c>
      <c r="D104" s="1" t="n">
        <v>44706</v>
      </c>
      <c r="E104" s="1" t="n">
        <v>46216</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26298-2022</t>
        </is>
      </c>
      <c r="B105" t="inlineStr">
        <is>
          <t>avverkningsanmälan</t>
        </is>
      </c>
      <c r="C105" t="inlineStr">
        <is>
          <t>Föryngringsavverkning</t>
        </is>
      </c>
      <c r="D105" s="1" t="n">
        <v>44735</v>
      </c>
      <c r="E105" s="1" t="n">
        <v>46216</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38797-2021</t>
        </is>
      </c>
      <c r="B106" t="inlineStr">
        <is>
          <t>avverkningsanmälan</t>
        </is>
      </c>
      <c r="C106" t="inlineStr">
        <is>
          <t>Föryngringsavverkning</t>
        </is>
      </c>
      <c r="D106" s="1" t="n">
        <v>44410</v>
      </c>
      <c r="E106" s="1" t="n">
        <v>46216</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38800-2021</t>
        </is>
      </c>
      <c r="B107" t="inlineStr">
        <is>
          <t>avverkningsanmälan</t>
        </is>
      </c>
      <c r="C107" t="inlineStr">
        <is>
          <t>Föryngringsavverkning</t>
        </is>
      </c>
      <c r="D107" s="1" t="n">
        <v>44410</v>
      </c>
      <c r="E107" s="1" t="n">
        <v>46216</v>
      </c>
      <c r="F107" t="inlineStr">
        <is>
          <t>DALARNAS LÄN</t>
        </is>
      </c>
      <c r="G107" t="inlineStr">
        <is>
          <t>SMEDJEBACKEN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53210-2022</t>
        </is>
      </c>
      <c r="B108" t="inlineStr">
        <is>
          <t>avverkningsanmälan</t>
        </is>
      </c>
      <c r="C108" t="inlineStr">
        <is>
          <t>Föryngringsavverkning</t>
        </is>
      </c>
      <c r="D108" s="1" t="n">
        <v>44876</v>
      </c>
      <c r="E108" s="1" t="n">
        <v>46216</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60451-2021</t>
        </is>
      </c>
      <c r="B109" t="inlineStr">
        <is>
          <t>avverkningsanmälan</t>
        </is>
      </c>
      <c r="C109" t="inlineStr">
        <is>
          <t>Avverkning för att bevara och utveckla /försöksver</t>
        </is>
      </c>
      <c r="D109" s="1" t="n">
        <v>44496</v>
      </c>
      <c r="E109" s="1" t="n">
        <v>46216</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42744-2022</t>
        </is>
      </c>
      <c r="B110" t="inlineStr">
        <is>
          <t>avverkningsanmälan</t>
        </is>
      </c>
      <c r="C110" t="inlineStr">
        <is>
          <t>Föryngringsavverkning</t>
        </is>
      </c>
      <c r="D110" s="1" t="n">
        <v>44832</v>
      </c>
      <c r="E110" s="1" t="n">
        <v>46216</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s="2" t="inlineStr"/>
    </row>
    <row r="111" ht="15" customHeight="1">
      <c r="A111" t="inlineStr">
        <is>
          <t>A 55362-2021</t>
        </is>
      </c>
      <c r="B111" t="inlineStr">
        <is>
          <t>avverkningsanmälan</t>
        </is>
      </c>
      <c r="C111" t="inlineStr">
        <is>
          <t>Föryngringsavverkning</t>
        </is>
      </c>
      <c r="D111" s="1" t="n">
        <v>44475</v>
      </c>
      <c r="E111" s="1" t="n">
        <v>46216</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39731-2021</t>
        </is>
      </c>
      <c r="B112" t="inlineStr">
        <is>
          <t>avverkningsanmälan</t>
        </is>
      </c>
      <c r="C112" t="inlineStr">
        <is>
          <t>Föryngringsavverkning</t>
        </is>
      </c>
      <c r="D112" s="1" t="n">
        <v>44414</v>
      </c>
      <c r="E112" s="1" t="n">
        <v>46216</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s="2" t="inlineStr"/>
    </row>
    <row r="113" ht="15" customHeight="1">
      <c r="A113" t="inlineStr">
        <is>
          <t>A 51422-2021</t>
        </is>
      </c>
      <c r="B113" t="inlineStr">
        <is>
          <t>avverkningsanmälan</t>
        </is>
      </c>
      <c r="C113" t="inlineStr">
        <is>
          <t>Föryngringsavverkning</t>
        </is>
      </c>
      <c r="D113" s="1" t="n">
        <v>44461</v>
      </c>
      <c r="E113" s="1" t="n">
        <v>46216</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s="2" t="inlineStr"/>
    </row>
    <row r="114" ht="15" customHeight="1">
      <c r="A114" t="inlineStr">
        <is>
          <t>A 41337-2022</t>
        </is>
      </c>
      <c r="B114" t="inlineStr">
        <is>
          <t>avverkningsanmälan</t>
        </is>
      </c>
      <c r="C114" t="inlineStr">
        <is>
          <t>Föryngringsavverkning</t>
        </is>
      </c>
      <c r="D114" s="1" t="n">
        <v>44826</v>
      </c>
      <c r="E114" s="1" t="n">
        <v>46216</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44126-2021</t>
        </is>
      </c>
      <c r="B115" t="inlineStr">
        <is>
          <t>avverkningsanmälan</t>
        </is>
      </c>
      <c r="C115" t="inlineStr">
        <is>
          <t>Föryngringsavverkning</t>
        </is>
      </c>
      <c r="D115" s="1" t="n">
        <v>44434</v>
      </c>
      <c r="E115" s="1" t="n">
        <v>46216</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45382-2021</t>
        </is>
      </c>
      <c r="B116" t="inlineStr">
        <is>
          <t>avverkningsanmälan</t>
        </is>
      </c>
      <c r="C116" t="inlineStr">
        <is>
          <t>Föryngringsavverkning</t>
        </is>
      </c>
      <c r="D116" s="1" t="n">
        <v>44440</v>
      </c>
      <c r="E116" s="1" t="n">
        <v>46216</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43137-2021</t>
        </is>
      </c>
      <c r="B117" t="inlineStr">
        <is>
          <t>avverkningsanmälan</t>
        </is>
      </c>
      <c r="C117" t="inlineStr">
        <is>
          <t>Föryngringsavverkning</t>
        </is>
      </c>
      <c r="D117" s="1" t="n">
        <v>44431</v>
      </c>
      <c r="E117" s="1" t="n">
        <v>46216</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70780-2021</t>
        </is>
      </c>
      <c r="B118" t="inlineStr">
        <is>
          <t>avverkningsanmälan</t>
        </is>
      </c>
      <c r="C118" t="inlineStr">
        <is>
          <t>Föryngringsavverkning</t>
        </is>
      </c>
      <c r="D118" s="1" t="n">
        <v>44537</v>
      </c>
      <c r="E118" s="1" t="n">
        <v>46216</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63691-2021</t>
        </is>
      </c>
      <c r="B119" t="inlineStr">
        <is>
          <t>avverkningsanmälan</t>
        </is>
      </c>
      <c r="C119" t="inlineStr">
        <is>
          <t>Föryngringsavverkning</t>
        </is>
      </c>
      <c r="D119" s="1" t="n">
        <v>44509</v>
      </c>
      <c r="E119" s="1" t="n">
        <v>46216</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14-2022</t>
        </is>
      </c>
      <c r="B120" t="inlineStr">
        <is>
          <t>avverkningsanmälan</t>
        </is>
      </c>
      <c r="C120" t="inlineStr">
        <is>
          <t>Föryngringsavverkning</t>
        </is>
      </c>
      <c r="D120" s="1" t="n">
        <v>44563</v>
      </c>
      <c r="E120" s="1" t="n">
        <v>46216</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16-2022</t>
        </is>
      </c>
      <c r="B121" t="inlineStr">
        <is>
          <t>avverkningsanmälan</t>
        </is>
      </c>
      <c r="C121" t="inlineStr">
        <is>
          <t>Föryngringsavverkning</t>
        </is>
      </c>
      <c r="D121" s="1" t="n">
        <v>44563</v>
      </c>
      <c r="E121" s="1" t="n">
        <v>46216</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34235-2022</t>
        </is>
      </c>
      <c r="B122" t="inlineStr">
        <is>
          <t>avverkningsanmälan</t>
        </is>
      </c>
      <c r="C122" t="inlineStr">
        <is>
          <t>Föryngringsavverkning</t>
        </is>
      </c>
      <c r="D122" s="1" t="n">
        <v>44791</v>
      </c>
      <c r="E122" s="1" t="n">
        <v>46216</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52958-2021</t>
        </is>
      </c>
      <c r="B123" t="inlineStr">
        <is>
          <t>avverkningsanmälan</t>
        </is>
      </c>
      <c r="C123" t="inlineStr">
        <is>
          <t>Föryngringsavverkning</t>
        </is>
      </c>
      <c r="D123" s="1" t="n">
        <v>44467</v>
      </c>
      <c r="E123" s="1" t="n">
        <v>46216</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60910-2021</t>
        </is>
      </c>
      <c r="B124" t="inlineStr">
        <is>
          <t>avverkningsanmälan</t>
        </is>
      </c>
      <c r="C124" t="inlineStr">
        <is>
          <t>Föryngringsavverkning</t>
        </is>
      </c>
      <c r="D124" s="1" t="n">
        <v>44496</v>
      </c>
      <c r="E124" s="1" t="n">
        <v>46216</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41303-2021</t>
        </is>
      </c>
      <c r="B125" t="inlineStr">
        <is>
          <t>avverkningsanmälan</t>
        </is>
      </c>
      <c r="C125" t="inlineStr">
        <is>
          <t>Föryngringsavverkning</t>
        </is>
      </c>
      <c r="D125" s="1" t="n">
        <v>44424</v>
      </c>
      <c r="E125" s="1" t="n">
        <v>46216</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s="2" t="inlineStr"/>
    </row>
    <row r="126" ht="15" customHeight="1">
      <c r="A126" t="inlineStr">
        <is>
          <t>A 63693-2021</t>
        </is>
      </c>
      <c r="B126" t="inlineStr">
        <is>
          <t>avverkningsanmälan</t>
        </is>
      </c>
      <c r="C126" t="inlineStr">
        <is>
          <t>Föryngringsavverkning</t>
        </is>
      </c>
      <c r="D126" s="1" t="n">
        <v>44509</v>
      </c>
      <c r="E126" s="1" t="n">
        <v>46216</v>
      </c>
      <c r="F126" t="inlineStr">
        <is>
          <t>DALARNAS LÄN</t>
        </is>
      </c>
      <c r="G126" t="inlineStr">
        <is>
          <t>SMEDJEBACKEN</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14868-2022</t>
        </is>
      </c>
      <c r="B127" t="inlineStr">
        <is>
          <t>avverkningsanmälan</t>
        </is>
      </c>
      <c r="C127" t="inlineStr">
        <is>
          <t>Föryngringsavverkning</t>
        </is>
      </c>
      <c r="D127" s="1" t="n">
        <v>44656</v>
      </c>
      <c r="E127" s="1" t="n">
        <v>46216</v>
      </c>
      <c r="F127" t="inlineStr">
        <is>
          <t>DALARNAS LÄN</t>
        </is>
      </c>
      <c r="G127" t="inlineStr">
        <is>
          <t>SMEDJEBACKEN</t>
        </is>
      </c>
      <c r="H127" t="inlineStr">
        <is>
          <t>Bergvik skog väst AB</t>
        </is>
      </c>
      <c r="I127" t="n">
        <v>2.3</v>
      </c>
      <c r="J127" t="n">
        <v>0</v>
      </c>
      <c r="K127" t="n">
        <v>0</v>
      </c>
      <c r="L127" t="n">
        <v>0</v>
      </c>
      <c r="M127" t="n">
        <v>0</v>
      </c>
      <c r="N127" t="n">
        <v>0</v>
      </c>
      <c r="O127" t="n">
        <v>0</v>
      </c>
      <c r="P127" t="n">
        <v>0</v>
      </c>
      <c r="Q127" t="n">
        <v>0</v>
      </c>
      <c r="R127" t="n">
        <v>0</v>
      </c>
      <c r="S127" t="n">
        <v>0</v>
      </c>
      <c r="T127" t="n">
        <v>0</v>
      </c>
      <c r="U127" s="2" t="inlineStr"/>
    </row>
    <row r="128" ht="15" customHeight="1">
      <c r="A128" t="inlineStr">
        <is>
          <t>A 67977-2021</t>
        </is>
      </c>
      <c r="B128" t="inlineStr">
        <is>
          <t>avverkningsanmälan</t>
        </is>
      </c>
      <c r="C128" t="inlineStr">
        <is>
          <t>Föryngringsavverkning</t>
        </is>
      </c>
      <c r="D128" s="1" t="n">
        <v>44525</v>
      </c>
      <c r="E128" s="1" t="n">
        <v>46216</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26005-2022</t>
        </is>
      </c>
      <c r="B129" t="inlineStr">
        <is>
          <t>avverkningsanmälan</t>
        </is>
      </c>
      <c r="C129" t="inlineStr">
        <is>
          <t>Avverkning för att bevara och utveckla /försöksver</t>
        </is>
      </c>
      <c r="D129" s="1" t="n">
        <v>44734</v>
      </c>
      <c r="E129" s="1" t="n">
        <v>46216</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7759-2022</t>
        </is>
      </c>
      <c r="B130" t="inlineStr">
        <is>
          <t>avverkningsanmälan</t>
        </is>
      </c>
      <c r="C130" t="inlineStr">
        <is>
          <t>Föryngringsavverkning</t>
        </is>
      </c>
      <c r="D130" s="1" t="n">
        <v>44608</v>
      </c>
      <c r="E130" s="1" t="n">
        <v>46216</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33843-2022</t>
        </is>
      </c>
      <c r="B131" t="inlineStr">
        <is>
          <t>avverkningsanmälan</t>
        </is>
      </c>
      <c r="C131" t="inlineStr">
        <is>
          <t>Föryngringsavverkning</t>
        </is>
      </c>
      <c r="D131" s="1" t="n">
        <v>44790</v>
      </c>
      <c r="E131" s="1" t="n">
        <v>46216</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35666-2022</t>
        </is>
      </c>
      <c r="B132" t="inlineStr">
        <is>
          <t>avverkningsanmälan</t>
        </is>
      </c>
      <c r="C132" t="inlineStr">
        <is>
          <t>Föryngringsavverkning</t>
        </is>
      </c>
      <c r="D132" s="1" t="n">
        <v>44799</v>
      </c>
      <c r="E132" s="1" t="n">
        <v>46216</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44250-2021</t>
        </is>
      </c>
      <c r="B133" t="inlineStr">
        <is>
          <t>avverkningsanmälan</t>
        </is>
      </c>
      <c r="C133" t="inlineStr">
        <is>
          <t>Föryngringsavverkning</t>
        </is>
      </c>
      <c r="D133" s="1" t="n">
        <v>44434</v>
      </c>
      <c r="E133" s="1" t="n">
        <v>46216</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60414-2021</t>
        </is>
      </c>
      <c r="B134" t="inlineStr">
        <is>
          <t>avverkningsanmälan</t>
        </is>
      </c>
      <c r="C134" t="inlineStr">
        <is>
          <t>Avverkning för att bevara och utveckla /försöksver</t>
        </is>
      </c>
      <c r="D134" s="1" t="n">
        <v>44496</v>
      </c>
      <c r="E134" s="1" t="n">
        <v>46216</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60912-2021</t>
        </is>
      </c>
      <c r="B135" t="inlineStr">
        <is>
          <t>avverkningsanmälan</t>
        </is>
      </c>
      <c r="C135" t="inlineStr">
        <is>
          <t>Föryngringsavverkning</t>
        </is>
      </c>
      <c r="D135" s="1" t="n">
        <v>44496</v>
      </c>
      <c r="E135" s="1" t="n">
        <v>46216</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36663-2022</t>
        </is>
      </c>
      <c r="B136" t="inlineStr">
        <is>
          <t>avverkningsanmälan</t>
        </is>
      </c>
      <c r="C136" t="inlineStr">
        <is>
          <t>Föryngringsavverkning</t>
        </is>
      </c>
      <c r="D136" s="1" t="n">
        <v>44804</v>
      </c>
      <c r="E136" s="1" t="n">
        <v>46216</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46137-2021</t>
        </is>
      </c>
      <c r="B137" t="inlineStr">
        <is>
          <t>avverkningsanmälan</t>
        </is>
      </c>
      <c r="C137" t="inlineStr">
        <is>
          <t>Föryngringsavverkning</t>
        </is>
      </c>
      <c r="D137" s="1" t="n">
        <v>44442</v>
      </c>
      <c r="E137" s="1" t="n">
        <v>46216</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32013-2022</t>
        </is>
      </c>
      <c r="B138" t="inlineStr">
        <is>
          <t>avverkningsanmälan</t>
        </is>
      </c>
      <c r="C138" t="inlineStr">
        <is>
          <t>Föryngringsavverkning</t>
        </is>
      </c>
      <c r="D138" s="1" t="n">
        <v>44778</v>
      </c>
      <c r="E138" s="1" t="n">
        <v>46216</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32945-2022</t>
        </is>
      </c>
      <c r="B139" t="inlineStr">
        <is>
          <t>avverkningsanmälan</t>
        </is>
      </c>
      <c r="C139" t="inlineStr">
        <is>
          <t>Föryngringsavverkning</t>
        </is>
      </c>
      <c r="D139" s="1" t="n">
        <v>44784</v>
      </c>
      <c r="E139" s="1" t="n">
        <v>46216</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11410-2022</t>
        </is>
      </c>
      <c r="B140" t="inlineStr">
        <is>
          <t>avverkningsanmälan</t>
        </is>
      </c>
      <c r="C140" t="inlineStr">
        <is>
          <t>Avverkning för annat ändamål</t>
        </is>
      </c>
      <c r="D140" s="1" t="n">
        <v>44630</v>
      </c>
      <c r="E140" s="1" t="n">
        <v>46216</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36243-2022</t>
        </is>
      </c>
      <c r="B141" t="inlineStr">
        <is>
          <t>avverkningsanmälan</t>
        </is>
      </c>
      <c r="C141" t="inlineStr">
        <is>
          <t>Föryngringsavverkning</t>
        </is>
      </c>
      <c r="D141" s="1" t="n">
        <v>44803</v>
      </c>
      <c r="E141" s="1" t="n">
        <v>46216</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22640-2022</t>
        </is>
      </c>
      <c r="B142" t="inlineStr">
        <is>
          <t>avverkningsanmälan</t>
        </is>
      </c>
      <c r="C142" t="inlineStr">
        <is>
          <t>Föryngringsavverkning</t>
        </is>
      </c>
      <c r="D142" s="1" t="n">
        <v>44714</v>
      </c>
      <c r="E142" s="1" t="n">
        <v>46216</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s="2" t="inlineStr"/>
    </row>
    <row r="143" ht="15" customHeight="1">
      <c r="A143" t="inlineStr">
        <is>
          <t>A 37851-2021</t>
        </is>
      </c>
      <c r="B143" t="inlineStr">
        <is>
          <t>avverkningsanmälan</t>
        </is>
      </c>
      <c r="C143" t="inlineStr">
        <is>
          <t>Föryngringsavverkning</t>
        </is>
      </c>
      <c r="D143" s="1" t="n">
        <v>44403</v>
      </c>
      <c r="E143" s="1" t="n">
        <v>46216</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60927-2021</t>
        </is>
      </c>
      <c r="B144" t="inlineStr">
        <is>
          <t>avverkningsanmälan</t>
        </is>
      </c>
      <c r="C144" t="inlineStr">
        <is>
          <t>Föryngringsavverkning</t>
        </is>
      </c>
      <c r="D144" s="1" t="n">
        <v>44496</v>
      </c>
      <c r="E144" s="1" t="n">
        <v>46216</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49275-2022</t>
        </is>
      </c>
      <c r="B145" t="inlineStr">
        <is>
          <t>avverkningsanmälan</t>
        </is>
      </c>
      <c r="C145" t="inlineStr">
        <is>
          <t>Avverkning för annat ändamål</t>
        </is>
      </c>
      <c r="D145" s="1" t="n">
        <v>44861</v>
      </c>
      <c r="E145" s="1" t="n">
        <v>46216</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37881-2022</t>
        </is>
      </c>
      <c r="B146" t="inlineStr">
        <is>
          <t>avverkningsanmälan</t>
        </is>
      </c>
      <c r="C146" t="inlineStr">
        <is>
          <t>Föryngringsavverkning</t>
        </is>
      </c>
      <c r="D146" s="1" t="n">
        <v>44811</v>
      </c>
      <c r="E146" s="1" t="n">
        <v>46216</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53290-2022</t>
        </is>
      </c>
      <c r="B147" t="inlineStr">
        <is>
          <t>avverkningsanmälan</t>
        </is>
      </c>
      <c r="C147" t="inlineStr">
        <is>
          <t>Föryngringsavverkning</t>
        </is>
      </c>
      <c r="D147" s="1" t="n">
        <v>44876</v>
      </c>
      <c r="E147" s="1" t="n">
        <v>46216</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53583-2021</t>
        </is>
      </c>
      <c r="B148" t="inlineStr">
        <is>
          <t>avverkningsanmälan</t>
        </is>
      </c>
      <c r="C148" t="inlineStr">
        <is>
          <t>Föryngringsavverkning</t>
        </is>
      </c>
      <c r="D148" s="1" t="n">
        <v>44469</v>
      </c>
      <c r="E148" s="1" t="n">
        <v>46216</v>
      </c>
      <c r="F148" t="inlineStr">
        <is>
          <t>DALARNAS LÄN</t>
        </is>
      </c>
      <c r="G148" t="inlineStr">
        <is>
          <t>SMEDJEBACKEN</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72384-2021</t>
        </is>
      </c>
      <c r="B149" t="inlineStr">
        <is>
          <t>avverkningsanmälan</t>
        </is>
      </c>
      <c r="C149" t="inlineStr">
        <is>
          <t>Föryngringsavverkning</t>
        </is>
      </c>
      <c r="D149" s="1" t="n">
        <v>44545</v>
      </c>
      <c r="E149" s="1" t="n">
        <v>46216</v>
      </c>
      <c r="F149" t="inlineStr">
        <is>
          <t>DALARNAS LÄN</t>
        </is>
      </c>
      <c r="G149" t="inlineStr">
        <is>
          <t>SMEDJEBACKEN</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1700-2022</t>
        </is>
      </c>
      <c r="B150" t="inlineStr">
        <is>
          <t>avverkningsanmälan</t>
        </is>
      </c>
      <c r="C150" t="inlineStr">
        <is>
          <t>Föryngringsavverkning</t>
        </is>
      </c>
      <c r="D150" s="1" t="n">
        <v>44574</v>
      </c>
      <c r="E150" s="1" t="n">
        <v>46216</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s="2" t="inlineStr"/>
    </row>
    <row r="151" ht="15" customHeight="1">
      <c r="A151" t="inlineStr">
        <is>
          <t>A 44141-2021</t>
        </is>
      </c>
      <c r="B151" t="inlineStr">
        <is>
          <t>avverkningsanmälan</t>
        </is>
      </c>
      <c r="C151" t="inlineStr">
        <is>
          <t>Föryngringsavverkning</t>
        </is>
      </c>
      <c r="D151" s="1" t="n">
        <v>44434</v>
      </c>
      <c r="E151" s="1" t="n">
        <v>46216</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31143-2022</t>
        </is>
      </c>
      <c r="B152" t="inlineStr">
        <is>
          <t>avverkningsanmälan</t>
        </is>
      </c>
      <c r="C152" t="inlineStr">
        <is>
          <t>Föryngringsavverkning</t>
        </is>
      </c>
      <c r="D152" s="1" t="n">
        <v>44770</v>
      </c>
      <c r="E152" s="1" t="n">
        <v>46216</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33256-2022</t>
        </is>
      </c>
      <c r="B153" t="inlineStr">
        <is>
          <t>avverkningsanmälan</t>
        </is>
      </c>
      <c r="C153" t="inlineStr">
        <is>
          <t>Föryngringsavverkning</t>
        </is>
      </c>
      <c r="D153" s="1" t="n">
        <v>44787</v>
      </c>
      <c r="E153" s="1" t="n">
        <v>46216</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33257-2022</t>
        </is>
      </c>
      <c r="B154" t="inlineStr">
        <is>
          <t>avverkningsanmälan</t>
        </is>
      </c>
      <c r="C154" t="inlineStr">
        <is>
          <t>Föryngringsavverkning</t>
        </is>
      </c>
      <c r="D154" s="1" t="n">
        <v>44787</v>
      </c>
      <c r="E154" s="1" t="n">
        <v>46216</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s="2" t="inlineStr"/>
    </row>
    <row r="155" ht="15" customHeight="1">
      <c r="A155" t="inlineStr">
        <is>
          <t>A 69512-2021</t>
        </is>
      </c>
      <c r="B155" t="inlineStr">
        <is>
          <t>avverkningsanmälan</t>
        </is>
      </c>
      <c r="C155" t="inlineStr">
        <is>
          <t>Föryngringsavverkning</t>
        </is>
      </c>
      <c r="D155" s="1" t="n">
        <v>44531</v>
      </c>
      <c r="E155" s="1" t="n">
        <v>46216</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2836-2022</t>
        </is>
      </c>
      <c r="B156" t="inlineStr">
        <is>
          <t>avverkningsanmälan</t>
        </is>
      </c>
      <c r="C156" t="inlineStr">
        <is>
          <t>Föryngringsavverkning</t>
        </is>
      </c>
      <c r="D156" s="1" t="n">
        <v>44581</v>
      </c>
      <c r="E156" s="1" t="n">
        <v>46216</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34216-2022</t>
        </is>
      </c>
      <c r="B157" t="inlineStr">
        <is>
          <t>avverkningsanmälan</t>
        </is>
      </c>
      <c r="C157" t="inlineStr">
        <is>
          <t>Föryngringsavverkning</t>
        </is>
      </c>
      <c r="D157" s="1" t="n">
        <v>44791</v>
      </c>
      <c r="E157" s="1" t="n">
        <v>46216</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42496-2022</t>
        </is>
      </c>
      <c r="B158" t="inlineStr">
        <is>
          <t>avverkningsanmälan</t>
        </is>
      </c>
      <c r="C158" t="inlineStr">
        <is>
          <t>Avverkning för att bevara och utveckla /försöksver</t>
        </is>
      </c>
      <c r="D158" s="1" t="n">
        <v>44831</v>
      </c>
      <c r="E158" s="1" t="n">
        <v>46216</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19411-2024</t>
        </is>
      </c>
      <c r="B159" t="inlineStr">
        <is>
          <t>avverkningsanmälan</t>
        </is>
      </c>
      <c r="C159" t="inlineStr">
        <is>
          <t>Avverkning för att bevara och utveckla /försöksver</t>
        </is>
      </c>
      <c r="D159" s="1" t="n">
        <v>45429</v>
      </c>
      <c r="E159" s="1" t="n">
        <v>46216</v>
      </c>
      <c r="F159" t="inlineStr">
        <is>
          <t>DALARNAS LÄN</t>
        </is>
      </c>
      <c r="G159" t="inlineStr">
        <is>
          <t>SMEDJEBACKEN</t>
        </is>
      </c>
      <c r="H159" t="inlineStr">
        <is>
          <t>Sveaskog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25125-2024</t>
        </is>
      </c>
      <c r="B160" t="inlineStr">
        <is>
          <t>avverkningsanmälan</t>
        </is>
      </c>
      <c r="C160" t="inlineStr">
        <is>
          <t>Föryngringsavverkning</t>
        </is>
      </c>
      <c r="D160" s="1" t="n">
        <v>45462</v>
      </c>
      <c r="E160" s="1" t="n">
        <v>46216</v>
      </c>
      <c r="F160" t="inlineStr">
        <is>
          <t>DALARNAS LÄN</t>
        </is>
      </c>
      <c r="G160" t="inlineStr">
        <is>
          <t>SMEDJEBACKEN</t>
        </is>
      </c>
      <c r="I160" t="n">
        <v>4.4</v>
      </c>
      <c r="J160" t="n">
        <v>0</v>
      </c>
      <c r="K160" t="n">
        <v>0</v>
      </c>
      <c r="L160" t="n">
        <v>0</v>
      </c>
      <c r="M160" t="n">
        <v>0</v>
      </c>
      <c r="N160" t="n">
        <v>0</v>
      </c>
      <c r="O160" t="n">
        <v>0</v>
      </c>
      <c r="P160" t="n">
        <v>0</v>
      </c>
      <c r="Q160" t="n">
        <v>0</v>
      </c>
      <c r="R160" t="n">
        <v>0</v>
      </c>
      <c r="S160" t="n">
        <v>0</v>
      </c>
      <c r="T160" t="n">
        <v>0</v>
      </c>
      <c r="U160" s="2" t="inlineStr"/>
    </row>
    <row r="161" ht="15" customHeight="1">
      <c r="A161" t="inlineStr">
        <is>
          <t>A 36667-2023</t>
        </is>
      </c>
      <c r="B161" t="inlineStr">
        <is>
          <t>avverkningsanmälan</t>
        </is>
      </c>
      <c r="C161" t="inlineStr">
        <is>
          <t>Avverkning för att bevara och utveckla /försöksver</t>
        </is>
      </c>
      <c r="D161" s="1" t="n">
        <v>45153</v>
      </c>
      <c r="E161" s="1" t="n">
        <v>46216</v>
      </c>
      <c r="F161" t="inlineStr">
        <is>
          <t>DALARNAS LÄN</t>
        </is>
      </c>
      <c r="G161" t="inlineStr">
        <is>
          <t>SMEDJEBACKEN</t>
        </is>
      </c>
      <c r="H161" t="inlineStr">
        <is>
          <t>Sveaskog</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53273-2022</t>
        </is>
      </c>
      <c r="B162" t="inlineStr">
        <is>
          <t>avverkningsanmälan</t>
        </is>
      </c>
      <c r="C162" t="inlineStr">
        <is>
          <t>Föryngringsavverkning</t>
        </is>
      </c>
      <c r="D162" s="1" t="n">
        <v>44876</v>
      </c>
      <c r="E162" s="1" t="n">
        <v>46216</v>
      </c>
      <c r="F162" t="inlineStr">
        <is>
          <t>DALARNAS LÄN</t>
        </is>
      </c>
      <c r="G162" t="inlineStr">
        <is>
          <t>SMEDJEBACKEN</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47839-2022</t>
        </is>
      </c>
      <c r="B163" t="inlineStr">
        <is>
          <t>avverkningsanmälan</t>
        </is>
      </c>
      <c r="C163" t="inlineStr">
        <is>
          <t>Föryngringsavverkning</t>
        </is>
      </c>
      <c r="D163" s="1" t="n">
        <v>44855</v>
      </c>
      <c r="E163" s="1" t="n">
        <v>46216</v>
      </c>
      <c r="F163" t="inlineStr">
        <is>
          <t>DALARNAS LÄN</t>
        </is>
      </c>
      <c r="G163" t="inlineStr">
        <is>
          <t>SMEDJEBACKEN</t>
        </is>
      </c>
      <c r="H163" t="inlineStr">
        <is>
          <t>Sveaskog</t>
        </is>
      </c>
      <c r="I163" t="n">
        <v>6.1</v>
      </c>
      <c r="J163" t="n">
        <v>0</v>
      </c>
      <c r="K163" t="n">
        <v>0</v>
      </c>
      <c r="L163" t="n">
        <v>0</v>
      </c>
      <c r="M163" t="n">
        <v>0</v>
      </c>
      <c r="N163" t="n">
        <v>0</v>
      </c>
      <c r="O163" t="n">
        <v>0</v>
      </c>
      <c r="P163" t="n">
        <v>0</v>
      </c>
      <c r="Q163" t="n">
        <v>0</v>
      </c>
      <c r="R163" t="n">
        <v>0</v>
      </c>
      <c r="S163" t="n">
        <v>0</v>
      </c>
      <c r="T163" t="n">
        <v>0</v>
      </c>
      <c r="U163" s="2" t="inlineStr"/>
    </row>
    <row r="164" ht="15" customHeight="1">
      <c r="A164" t="inlineStr">
        <is>
          <t>A 22984-2022</t>
        </is>
      </c>
      <c r="B164" t="inlineStr">
        <is>
          <t>avverkningsanmälan</t>
        </is>
      </c>
      <c r="C164" t="inlineStr">
        <is>
          <t>Föryngringsavverkning</t>
        </is>
      </c>
      <c r="D164" s="1" t="n">
        <v>44718</v>
      </c>
      <c r="E164" s="1" t="n">
        <v>46216</v>
      </c>
      <c r="F164" t="inlineStr">
        <is>
          <t>DALARNAS LÄN</t>
        </is>
      </c>
      <c r="G164" t="inlineStr">
        <is>
          <t>SMEDJEBACKEN</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26430-2024</t>
        </is>
      </c>
      <c r="B165" t="inlineStr">
        <is>
          <t>avverkningsanmälan</t>
        </is>
      </c>
      <c r="C165" t="inlineStr">
        <is>
          <t>Föryngringsavverkning</t>
        </is>
      </c>
      <c r="D165" s="1" t="n">
        <v>45469</v>
      </c>
      <c r="E165" s="1" t="n">
        <v>46216</v>
      </c>
      <c r="F165" t="inlineStr">
        <is>
          <t>DALARNAS LÄN</t>
        </is>
      </c>
      <c r="G165" t="inlineStr">
        <is>
          <t>SMEDJEBACKEN</t>
        </is>
      </c>
      <c r="H165" t="inlineStr">
        <is>
          <t>Bergvik skog väst AB</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35008-2024</t>
        </is>
      </c>
      <c r="B166" t="inlineStr">
        <is>
          <t>avverkningsanmälan</t>
        </is>
      </c>
      <c r="C166" t="inlineStr">
        <is>
          <t>Föryngringsavverkning</t>
        </is>
      </c>
      <c r="D166" s="1" t="n">
        <v>45527</v>
      </c>
      <c r="E166" s="1" t="n">
        <v>46216</v>
      </c>
      <c r="F166" t="inlineStr">
        <is>
          <t>DALARNAS LÄN</t>
        </is>
      </c>
      <c r="G166" t="inlineStr">
        <is>
          <t>SMEDJEBACKEN</t>
        </is>
      </c>
      <c r="H166" t="inlineStr">
        <is>
          <t>Bergvik skog väst AB</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53718-2022</t>
        </is>
      </c>
      <c r="B167" t="inlineStr">
        <is>
          <t>avverkningsanmälan</t>
        </is>
      </c>
      <c r="C167" t="inlineStr">
        <is>
          <t>Föryngringsavverkning</t>
        </is>
      </c>
      <c r="D167" s="1" t="n">
        <v>44880</v>
      </c>
      <c r="E167" s="1" t="n">
        <v>46216</v>
      </c>
      <c r="F167" t="inlineStr">
        <is>
          <t>DALARNAS LÄN</t>
        </is>
      </c>
      <c r="G167" t="inlineStr">
        <is>
          <t>SMEDJEBACKEN</t>
        </is>
      </c>
      <c r="H167" t="inlineStr">
        <is>
          <t>Sveaskog</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29820-2023</t>
        </is>
      </c>
      <c r="B168" t="inlineStr">
        <is>
          <t>avverkningsanmälan</t>
        </is>
      </c>
      <c r="C168" t="inlineStr">
        <is>
          <t>Föryngringsavverkning</t>
        </is>
      </c>
      <c r="D168" s="1" t="n">
        <v>45107</v>
      </c>
      <c r="E168" s="1" t="n">
        <v>46216</v>
      </c>
      <c r="F168" t="inlineStr">
        <is>
          <t>DALARNAS LÄN</t>
        </is>
      </c>
      <c r="G168" t="inlineStr">
        <is>
          <t>SMEDJEBACKEN</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48214-2023</t>
        </is>
      </c>
      <c r="B169" t="inlineStr">
        <is>
          <t>avverkningsanmälan</t>
        </is>
      </c>
      <c r="C169" t="inlineStr">
        <is>
          <t>Föryngringsavverkning</t>
        </is>
      </c>
      <c r="D169" s="1" t="n">
        <v>45205</v>
      </c>
      <c r="E169" s="1" t="n">
        <v>46216</v>
      </c>
      <c r="F169" t="inlineStr">
        <is>
          <t>DALARNAS LÄN</t>
        </is>
      </c>
      <c r="G169" t="inlineStr">
        <is>
          <t>SMEDJEBACKEN</t>
        </is>
      </c>
      <c r="I169" t="n">
        <v>1.5</v>
      </c>
      <c r="J169" t="n">
        <v>0</v>
      </c>
      <c r="K169" t="n">
        <v>0</v>
      </c>
      <c r="L169" t="n">
        <v>0</v>
      </c>
      <c r="M169" t="n">
        <v>0</v>
      </c>
      <c r="N169" t="n">
        <v>0</v>
      </c>
      <c r="O169" t="n">
        <v>0</v>
      </c>
      <c r="P169" t="n">
        <v>0</v>
      </c>
      <c r="Q169" t="n">
        <v>0</v>
      </c>
      <c r="R169" t="n">
        <v>0</v>
      </c>
      <c r="S169" t="n">
        <v>0</v>
      </c>
      <c r="T169" t="n">
        <v>0</v>
      </c>
      <c r="U169" s="2" t="inlineStr"/>
    </row>
    <row r="170" ht="15" customHeight="1">
      <c r="A170" t="inlineStr">
        <is>
          <t>A 65249-2021</t>
        </is>
      </c>
      <c r="B170" t="inlineStr">
        <is>
          <t>avverkningsanmälan</t>
        </is>
      </c>
      <c r="C170" t="inlineStr">
        <is>
          <t>Föryngringsavverkning</t>
        </is>
      </c>
      <c r="D170" s="1" t="n">
        <v>44515</v>
      </c>
      <c r="E170" s="1" t="n">
        <v>46216</v>
      </c>
      <c r="F170" t="inlineStr">
        <is>
          <t>DALARNAS LÄN</t>
        </is>
      </c>
      <c r="G170" t="inlineStr">
        <is>
          <t>SMEDJEBACKEN</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51164-2023</t>
        </is>
      </c>
      <c r="B171" t="inlineStr">
        <is>
          <t>avverkningsanmälan</t>
        </is>
      </c>
      <c r="C171" t="inlineStr">
        <is>
          <t>Föryngringsavverkning</t>
        </is>
      </c>
      <c r="D171" s="1" t="n">
        <v>45219</v>
      </c>
      <c r="E171" s="1" t="n">
        <v>46216</v>
      </c>
      <c r="F171" t="inlineStr">
        <is>
          <t>DALARNAS LÄN</t>
        </is>
      </c>
      <c r="G171" t="inlineStr">
        <is>
          <t>SMEDJEBACKEN</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17908-2022</t>
        </is>
      </c>
      <c r="B172" t="inlineStr">
        <is>
          <t>avverkningsanmälan</t>
        </is>
      </c>
      <c r="C172" t="inlineStr">
        <is>
          <t>Föryngringsavverkning</t>
        </is>
      </c>
      <c r="D172" s="1" t="n">
        <v>44683</v>
      </c>
      <c r="E172" s="1" t="n">
        <v>46216</v>
      </c>
      <c r="F172" t="inlineStr">
        <is>
          <t>DALARNAS LÄN</t>
        </is>
      </c>
      <c r="G172" t="inlineStr">
        <is>
          <t>SMEDJEBACKEN</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20623-2022</t>
        </is>
      </c>
      <c r="B173" t="inlineStr">
        <is>
          <t>avverkningsanmälan</t>
        </is>
      </c>
      <c r="C173" t="inlineStr">
        <is>
          <t>Föryngringsavverkning</t>
        </is>
      </c>
      <c r="D173" s="1" t="n">
        <v>44700</v>
      </c>
      <c r="E173" s="1" t="n">
        <v>46216</v>
      </c>
      <c r="F173" t="inlineStr">
        <is>
          <t>DALARNAS LÄN</t>
        </is>
      </c>
      <c r="G173" t="inlineStr">
        <is>
          <t>SMEDJEBACKEN</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15360-2023</t>
        </is>
      </c>
      <c r="B174" t="inlineStr">
        <is>
          <t>avverkningsanmälan</t>
        </is>
      </c>
      <c r="C174" t="inlineStr">
        <is>
          <t>Föryngringsavverkning</t>
        </is>
      </c>
      <c r="D174" s="1" t="n">
        <v>45019</v>
      </c>
      <c r="E174" s="1" t="n">
        <v>46216</v>
      </c>
      <c r="F174" t="inlineStr">
        <is>
          <t>DALARNAS LÄN</t>
        </is>
      </c>
      <c r="G174" t="inlineStr">
        <is>
          <t>SMEDJEBACKEN</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31788-2022</t>
        </is>
      </c>
      <c r="B175" t="inlineStr">
        <is>
          <t>avverkningsanmälan</t>
        </is>
      </c>
      <c r="C175" t="inlineStr">
        <is>
          <t>Föryngringsavverkning</t>
        </is>
      </c>
      <c r="D175" s="1" t="n">
        <v>44776</v>
      </c>
      <c r="E175" s="1" t="n">
        <v>46216</v>
      </c>
      <c r="F175" t="inlineStr">
        <is>
          <t>DALARNAS LÄN</t>
        </is>
      </c>
      <c r="G175" t="inlineStr">
        <is>
          <t>SMEDJEBACKEN</t>
        </is>
      </c>
      <c r="H175" t="inlineStr">
        <is>
          <t>Bergvik skog väst AB</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39734-2021</t>
        </is>
      </c>
      <c r="B176" t="inlineStr">
        <is>
          <t>avverkningsanmälan</t>
        </is>
      </c>
      <c r="C176" t="inlineStr">
        <is>
          <t>Föryngringsavverkning</t>
        </is>
      </c>
      <c r="D176" s="1" t="n">
        <v>44414</v>
      </c>
      <c r="E176" s="1" t="n">
        <v>46216</v>
      </c>
      <c r="F176" t="inlineStr">
        <is>
          <t>DALARNAS LÄN</t>
        </is>
      </c>
      <c r="G176" t="inlineStr">
        <is>
          <t>SMEDJEBACKEN</t>
        </is>
      </c>
      <c r="I176" t="n">
        <v>4.4</v>
      </c>
      <c r="J176" t="n">
        <v>0</v>
      </c>
      <c r="K176" t="n">
        <v>0</v>
      </c>
      <c r="L176" t="n">
        <v>0</v>
      </c>
      <c r="M176" t="n">
        <v>0</v>
      </c>
      <c r="N176" t="n">
        <v>0</v>
      </c>
      <c r="O176" t="n">
        <v>0</v>
      </c>
      <c r="P176" t="n">
        <v>0</v>
      </c>
      <c r="Q176" t="n">
        <v>0</v>
      </c>
      <c r="R176" t="n">
        <v>0</v>
      </c>
      <c r="S176" t="n">
        <v>0</v>
      </c>
      <c r="T176" t="n">
        <v>0</v>
      </c>
      <c r="U176" s="2" t="inlineStr"/>
    </row>
    <row r="177" ht="15" customHeight="1">
      <c r="A177" t="inlineStr">
        <is>
          <t>A 60922-2021</t>
        </is>
      </c>
      <c r="B177" t="inlineStr">
        <is>
          <t>avverkningsanmälan</t>
        </is>
      </c>
      <c r="C177" t="inlineStr">
        <is>
          <t>Föryngringsavverkning</t>
        </is>
      </c>
      <c r="D177" s="1" t="n">
        <v>44496</v>
      </c>
      <c r="E177" s="1" t="n">
        <v>46216</v>
      </c>
      <c r="F177" t="inlineStr">
        <is>
          <t>DALARNAS LÄN</t>
        </is>
      </c>
      <c r="G177" t="inlineStr">
        <is>
          <t>SMEDJEBACKEN</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60814-2022</t>
        </is>
      </c>
      <c r="B178" t="inlineStr">
        <is>
          <t>avverkningsanmälan</t>
        </is>
      </c>
      <c r="C178" t="inlineStr">
        <is>
          <t>Föryngringsavverkning</t>
        </is>
      </c>
      <c r="D178" s="1" t="n">
        <v>44914</v>
      </c>
      <c r="E178" s="1" t="n">
        <v>46216</v>
      </c>
      <c r="F178" t="inlineStr">
        <is>
          <t>DALARNAS LÄN</t>
        </is>
      </c>
      <c r="G178" t="inlineStr">
        <is>
          <t>SMEDJEBACKEN</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41480-2023</t>
        </is>
      </c>
      <c r="B179" t="inlineStr">
        <is>
          <t>avverkningsanmälan</t>
        </is>
      </c>
      <c r="C179" t="inlineStr">
        <is>
          <t>Föryngringsavverkning</t>
        </is>
      </c>
      <c r="D179" s="1" t="n">
        <v>45172</v>
      </c>
      <c r="E179" s="1" t="n">
        <v>46216</v>
      </c>
      <c r="F179" t="inlineStr">
        <is>
          <t>DALARNAS LÄN</t>
        </is>
      </c>
      <c r="G179" t="inlineStr">
        <is>
          <t>SMEDJEBACKEN</t>
        </is>
      </c>
      <c r="H179" t="inlineStr">
        <is>
          <t>Bergvik skog väst AB</t>
        </is>
      </c>
      <c r="I179" t="n">
        <v>9.699999999999999</v>
      </c>
      <c r="J179" t="n">
        <v>0</v>
      </c>
      <c r="K179" t="n">
        <v>0</v>
      </c>
      <c r="L179" t="n">
        <v>0</v>
      </c>
      <c r="M179" t="n">
        <v>0</v>
      </c>
      <c r="N179" t="n">
        <v>0</v>
      </c>
      <c r="O179" t="n">
        <v>0</v>
      </c>
      <c r="P179" t="n">
        <v>0</v>
      </c>
      <c r="Q179" t="n">
        <v>0</v>
      </c>
      <c r="R179" t="n">
        <v>0</v>
      </c>
      <c r="S179" t="n">
        <v>0</v>
      </c>
      <c r="T179" t="n">
        <v>0</v>
      </c>
      <c r="U179" s="2" t="inlineStr"/>
    </row>
    <row r="180" ht="15" customHeight="1">
      <c r="A180" t="inlineStr">
        <is>
          <t>A 49139-2022</t>
        </is>
      </c>
      <c r="B180" t="inlineStr">
        <is>
          <t>avverkningsanmälan</t>
        </is>
      </c>
      <c r="C180" t="inlineStr">
        <is>
          <t>Föryngringsavverkning</t>
        </is>
      </c>
      <c r="D180" s="1" t="n">
        <v>44860</v>
      </c>
      <c r="E180" s="1" t="n">
        <v>46216</v>
      </c>
      <c r="F180" t="inlineStr">
        <is>
          <t>DALARNAS LÄN</t>
        </is>
      </c>
      <c r="G180" t="inlineStr">
        <is>
          <t>SMEDJEBACKEN</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53982-2024</t>
        </is>
      </c>
      <c r="B181" t="inlineStr">
        <is>
          <t>avverkningsanmälan</t>
        </is>
      </c>
      <c r="C181" t="inlineStr">
        <is>
          <t>Föryngringsavverkning</t>
        </is>
      </c>
      <c r="D181" s="1" t="n">
        <v>45615</v>
      </c>
      <c r="E181" s="1" t="n">
        <v>46216</v>
      </c>
      <c r="F181" t="inlineStr">
        <is>
          <t>DALARNAS LÄN</t>
        </is>
      </c>
      <c r="G181" t="inlineStr">
        <is>
          <t>SMEDJEBACKEN</t>
        </is>
      </c>
      <c r="H181" t="inlineStr">
        <is>
          <t>Bergvik skog väst AB</t>
        </is>
      </c>
      <c r="I181" t="n">
        <v>10</v>
      </c>
      <c r="J181" t="n">
        <v>0</v>
      </c>
      <c r="K181" t="n">
        <v>0</v>
      </c>
      <c r="L181" t="n">
        <v>0</v>
      </c>
      <c r="M181" t="n">
        <v>0</v>
      </c>
      <c r="N181" t="n">
        <v>0</v>
      </c>
      <c r="O181" t="n">
        <v>0</v>
      </c>
      <c r="P181" t="n">
        <v>0</v>
      </c>
      <c r="Q181" t="n">
        <v>0</v>
      </c>
      <c r="R181" t="n">
        <v>0</v>
      </c>
      <c r="S181" t="n">
        <v>0</v>
      </c>
      <c r="T181" t="n">
        <v>0</v>
      </c>
      <c r="U181" s="2" t="inlineStr"/>
    </row>
    <row r="182" ht="15" customHeight="1">
      <c r="A182" t="inlineStr">
        <is>
          <t>A 2275-2024</t>
        </is>
      </c>
      <c r="B182" t="inlineStr">
        <is>
          <t>avverkningsanmälan</t>
        </is>
      </c>
      <c r="C182" t="inlineStr">
        <is>
          <t>Avverkning för annat ändamål</t>
        </is>
      </c>
      <c r="D182" s="1" t="n">
        <v>45310</v>
      </c>
      <c r="E182" s="1" t="n">
        <v>46216</v>
      </c>
      <c r="F182" t="inlineStr">
        <is>
          <t>DALARNAS LÄN</t>
        </is>
      </c>
      <c r="G182" t="inlineStr">
        <is>
          <t>SMEDJEBACKEN</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646-2022</t>
        </is>
      </c>
      <c r="B183" t="inlineStr">
        <is>
          <t>avverkningsanmälan</t>
        </is>
      </c>
      <c r="C183" t="inlineStr">
        <is>
          <t>Föryngringsavverkning</t>
        </is>
      </c>
      <c r="D183" s="1" t="n">
        <v>44568</v>
      </c>
      <c r="E183" s="1" t="n">
        <v>46216</v>
      </c>
      <c r="F183" t="inlineStr">
        <is>
          <t>DALARNAS LÄN</t>
        </is>
      </c>
      <c r="G183" t="inlineStr">
        <is>
          <t>SMEDJEBACKEN</t>
        </is>
      </c>
      <c r="I183" t="n">
        <v>2.2</v>
      </c>
      <c r="J183" t="n">
        <v>0</v>
      </c>
      <c r="K183" t="n">
        <v>0</v>
      </c>
      <c r="L183" t="n">
        <v>0</v>
      </c>
      <c r="M183" t="n">
        <v>0</v>
      </c>
      <c r="N183" t="n">
        <v>0</v>
      </c>
      <c r="O183" t="n">
        <v>0</v>
      </c>
      <c r="P183" t="n">
        <v>0</v>
      </c>
      <c r="Q183" t="n">
        <v>0</v>
      </c>
      <c r="R183" t="n">
        <v>0</v>
      </c>
      <c r="S183" t="n">
        <v>0</v>
      </c>
      <c r="T183" t="n">
        <v>0</v>
      </c>
      <c r="U183" s="2" t="inlineStr"/>
    </row>
    <row r="184" ht="15" customHeight="1">
      <c r="A184" t="inlineStr">
        <is>
          <t>A 31034-2024</t>
        </is>
      </c>
      <c r="B184" t="inlineStr">
        <is>
          <t>avverkningsanmälan</t>
        </is>
      </c>
      <c r="C184" t="inlineStr">
        <is>
          <t>Föryngringsavverkning</t>
        </is>
      </c>
      <c r="D184" s="1" t="n">
        <v>45501</v>
      </c>
      <c r="E184" s="1" t="n">
        <v>46216</v>
      </c>
      <c r="F184" t="inlineStr">
        <is>
          <t>DALARNAS LÄN</t>
        </is>
      </c>
      <c r="G184" t="inlineStr">
        <is>
          <t>SMEDJEBACKEN</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37501-2022</t>
        </is>
      </c>
      <c r="B185" t="inlineStr">
        <is>
          <t>avverkningsanmälan</t>
        </is>
      </c>
      <c r="C185" t="inlineStr">
        <is>
          <t>Föryngringsavverkning</t>
        </is>
      </c>
      <c r="D185" s="1" t="n">
        <v>44809</v>
      </c>
      <c r="E185" s="1" t="n">
        <v>46216</v>
      </c>
      <c r="F185" t="inlineStr">
        <is>
          <t>DALARNAS LÄN</t>
        </is>
      </c>
      <c r="G185" t="inlineStr">
        <is>
          <t>SMEDJEBACKEN</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40561-2021</t>
        </is>
      </c>
      <c r="B186" t="inlineStr">
        <is>
          <t>avverkningsanmälan</t>
        </is>
      </c>
      <c r="C186" t="inlineStr">
        <is>
          <t>Föryngringsavverkning</t>
        </is>
      </c>
      <c r="D186" s="1" t="n">
        <v>44420</v>
      </c>
      <c r="E186" s="1" t="n">
        <v>46216</v>
      </c>
      <c r="F186" t="inlineStr">
        <is>
          <t>DALARNAS LÄN</t>
        </is>
      </c>
      <c r="G186" t="inlineStr">
        <is>
          <t>SMEDJEBACKEN</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57146-2022</t>
        </is>
      </c>
      <c r="B187" t="inlineStr">
        <is>
          <t>avverkningsanmälan</t>
        </is>
      </c>
      <c r="C187" t="inlineStr">
        <is>
          <t>Föryngringsavverkning</t>
        </is>
      </c>
      <c r="D187" s="1" t="n">
        <v>44895</v>
      </c>
      <c r="E187" s="1" t="n">
        <v>46216</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18096-2024</t>
        </is>
      </c>
      <c r="B188" t="inlineStr">
        <is>
          <t>avverkningsanmälan</t>
        </is>
      </c>
      <c r="C188" t="inlineStr">
        <is>
          <t>Föryngringsavverkning</t>
        </is>
      </c>
      <c r="D188" s="1" t="n">
        <v>45420</v>
      </c>
      <c r="E188" s="1" t="n">
        <v>46216</v>
      </c>
      <c r="F188" t="inlineStr">
        <is>
          <t>DALARNAS LÄN</t>
        </is>
      </c>
      <c r="G188" t="inlineStr">
        <is>
          <t>SMEDJEBACKEN</t>
        </is>
      </c>
      <c r="H188" t="inlineStr">
        <is>
          <t>Sveaskog</t>
        </is>
      </c>
      <c r="I188" t="n">
        <v>4.9</v>
      </c>
      <c r="J188" t="n">
        <v>0</v>
      </c>
      <c r="K188" t="n">
        <v>0</v>
      </c>
      <c r="L188" t="n">
        <v>0</v>
      </c>
      <c r="M188" t="n">
        <v>0</v>
      </c>
      <c r="N188" t="n">
        <v>0</v>
      </c>
      <c r="O188" t="n">
        <v>0</v>
      </c>
      <c r="P188" t="n">
        <v>0</v>
      </c>
      <c r="Q188" t="n">
        <v>0</v>
      </c>
      <c r="R188" t="n">
        <v>0</v>
      </c>
      <c r="S188" t="n">
        <v>0</v>
      </c>
      <c r="T188" t="n">
        <v>0</v>
      </c>
      <c r="U188" s="2" t="inlineStr"/>
    </row>
    <row r="189" ht="15" customHeight="1">
      <c r="A189" t="inlineStr">
        <is>
          <t>A 1505-2025</t>
        </is>
      </c>
      <c r="B189" t="inlineStr">
        <is>
          <t>avverkningsanmälan</t>
        </is>
      </c>
      <c r="C189" t="inlineStr">
        <is>
          <t>Föryngringsavverkning</t>
        </is>
      </c>
      <c r="D189" s="1" t="n">
        <v>45670</v>
      </c>
      <c r="E189" s="1" t="n">
        <v>46216</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60762-2022</t>
        </is>
      </c>
      <c r="B190" t="inlineStr">
        <is>
          <t>avverkningsanmälan</t>
        </is>
      </c>
      <c r="C190" t="inlineStr">
        <is>
          <t>Föryngringsavverkning</t>
        </is>
      </c>
      <c r="D190" s="1" t="n">
        <v>44914</v>
      </c>
      <c r="E190" s="1" t="n">
        <v>46216</v>
      </c>
      <c r="F190" t="inlineStr">
        <is>
          <t>DALARNAS LÄN</t>
        </is>
      </c>
      <c r="G190" t="inlineStr">
        <is>
          <t>SMEDJEBACKEN</t>
        </is>
      </c>
      <c r="I190" t="n">
        <v>1.8</v>
      </c>
      <c r="J190" t="n">
        <v>0</v>
      </c>
      <c r="K190" t="n">
        <v>0</v>
      </c>
      <c r="L190" t="n">
        <v>0</v>
      </c>
      <c r="M190" t="n">
        <v>0</v>
      </c>
      <c r="N190" t="n">
        <v>0</v>
      </c>
      <c r="O190" t="n">
        <v>0</v>
      </c>
      <c r="P190" t="n">
        <v>0</v>
      </c>
      <c r="Q190" t="n">
        <v>0</v>
      </c>
      <c r="R190" t="n">
        <v>0</v>
      </c>
      <c r="S190" t="n">
        <v>0</v>
      </c>
      <c r="T190" t="n">
        <v>0</v>
      </c>
      <c r="U190" s="2" t="inlineStr"/>
    </row>
    <row r="191" ht="15" customHeight="1">
      <c r="A191" t="inlineStr">
        <is>
          <t>A 60764-2022</t>
        </is>
      </c>
      <c r="B191" t="inlineStr">
        <is>
          <t>avverkningsanmälan</t>
        </is>
      </c>
      <c r="C191" t="inlineStr">
        <is>
          <t>Föryngringsavverkning</t>
        </is>
      </c>
      <c r="D191" s="1" t="n">
        <v>44914</v>
      </c>
      <c r="E191" s="1" t="n">
        <v>46216</v>
      </c>
      <c r="F191" t="inlineStr">
        <is>
          <t>DALARNAS LÄN</t>
        </is>
      </c>
      <c r="G191" t="inlineStr">
        <is>
          <t>SMEDJEBACKEN</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18386-2024</t>
        </is>
      </c>
      <c r="B192" t="inlineStr">
        <is>
          <t>avverkningsanmälan</t>
        </is>
      </c>
      <c r="C192" t="inlineStr">
        <is>
          <t>Föryngringsavverkning</t>
        </is>
      </c>
      <c r="D192" s="1" t="n">
        <v>45424</v>
      </c>
      <c r="E192" s="1" t="n">
        <v>46216</v>
      </c>
      <c r="F192" t="inlineStr">
        <is>
          <t>DALARNAS LÄN</t>
        </is>
      </c>
      <c r="G192" t="inlineStr">
        <is>
          <t>SMEDJEBACKEN</t>
        </is>
      </c>
      <c r="H192" t="inlineStr">
        <is>
          <t>Sveaskog</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48716-2022</t>
        </is>
      </c>
      <c r="B193" t="inlineStr">
        <is>
          <t>avverkningsanmälan</t>
        </is>
      </c>
      <c r="C193" t="inlineStr">
        <is>
          <t>Föryngringsavverkning</t>
        </is>
      </c>
      <c r="D193" s="1" t="n">
        <v>44859</v>
      </c>
      <c r="E193" s="1" t="n">
        <v>46216</v>
      </c>
      <c r="F193" t="inlineStr">
        <is>
          <t>DALARNAS LÄN</t>
        </is>
      </c>
      <c r="G193" t="inlineStr">
        <is>
          <t>SMEDJEBACKEN</t>
        </is>
      </c>
      <c r="H193" t="inlineStr">
        <is>
          <t>Sveaskog</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10401-2023</t>
        </is>
      </c>
      <c r="B194" t="inlineStr">
        <is>
          <t>avverkningsanmälan</t>
        </is>
      </c>
      <c r="C194" t="inlineStr">
        <is>
          <t>Föryngringsavverkning</t>
        </is>
      </c>
      <c r="D194" s="1" t="n">
        <v>44987</v>
      </c>
      <c r="E194" s="1" t="n">
        <v>46216</v>
      </c>
      <c r="F194" t="inlineStr">
        <is>
          <t>DALARNAS LÄN</t>
        </is>
      </c>
      <c r="G194" t="inlineStr">
        <is>
          <t>SMEDJEBACKEN</t>
        </is>
      </c>
      <c r="H194" t="inlineStr">
        <is>
          <t>Kommuner</t>
        </is>
      </c>
      <c r="I194" t="n">
        <v>2.1</v>
      </c>
      <c r="J194" t="n">
        <v>0</v>
      </c>
      <c r="K194" t="n">
        <v>0</v>
      </c>
      <c r="L194" t="n">
        <v>0</v>
      </c>
      <c r="M194" t="n">
        <v>0</v>
      </c>
      <c r="N194" t="n">
        <v>0</v>
      </c>
      <c r="O194" t="n">
        <v>0</v>
      </c>
      <c r="P194" t="n">
        <v>0</v>
      </c>
      <c r="Q194" t="n">
        <v>0</v>
      </c>
      <c r="R194" t="n">
        <v>0</v>
      </c>
      <c r="S194" t="n">
        <v>0</v>
      </c>
      <c r="T194" t="n">
        <v>0</v>
      </c>
      <c r="U194" s="2" t="inlineStr"/>
    </row>
    <row r="195" ht="15" customHeight="1">
      <c r="A195" t="inlineStr">
        <is>
          <t>A 57260-2021</t>
        </is>
      </c>
      <c r="B195" t="inlineStr">
        <is>
          <t>avverkningsanmälan</t>
        </is>
      </c>
      <c r="C195" t="inlineStr">
        <is>
          <t>Föryngringsavverkning</t>
        </is>
      </c>
      <c r="D195" s="1" t="n">
        <v>44482</v>
      </c>
      <c r="E195" s="1" t="n">
        <v>46216</v>
      </c>
      <c r="F195" t="inlineStr">
        <is>
          <t>DALARNAS LÄN</t>
        </is>
      </c>
      <c r="G195" t="inlineStr">
        <is>
          <t>SMEDJEBACKEN</t>
        </is>
      </c>
      <c r="H195" t="inlineStr">
        <is>
          <t>Bergvik skog väst AB</t>
        </is>
      </c>
      <c r="I195" t="n">
        <v>3.1</v>
      </c>
      <c r="J195" t="n">
        <v>0</v>
      </c>
      <c r="K195" t="n">
        <v>0</v>
      </c>
      <c r="L195" t="n">
        <v>0</v>
      </c>
      <c r="M195" t="n">
        <v>0</v>
      </c>
      <c r="N195" t="n">
        <v>0</v>
      </c>
      <c r="O195" t="n">
        <v>0</v>
      </c>
      <c r="P195" t="n">
        <v>0</v>
      </c>
      <c r="Q195" t="n">
        <v>0</v>
      </c>
      <c r="R195" t="n">
        <v>0</v>
      </c>
      <c r="S195" t="n">
        <v>0</v>
      </c>
      <c r="T195" t="n">
        <v>0</v>
      </c>
      <c r="U195" s="2" t="inlineStr"/>
    </row>
    <row r="196" ht="15" customHeight="1">
      <c r="A196" t="inlineStr">
        <is>
          <t>A 57269-2021</t>
        </is>
      </c>
      <c r="B196" t="inlineStr">
        <is>
          <t>avverkningsanmälan</t>
        </is>
      </c>
      <c r="C196" t="inlineStr">
        <is>
          <t>Föryngringsavverkning</t>
        </is>
      </c>
      <c r="D196" s="1" t="n">
        <v>44482</v>
      </c>
      <c r="E196" s="1" t="n">
        <v>46216</v>
      </c>
      <c r="F196" t="inlineStr">
        <is>
          <t>DALARNAS LÄN</t>
        </is>
      </c>
      <c r="G196" t="inlineStr">
        <is>
          <t>SMEDJEBACKEN</t>
        </is>
      </c>
      <c r="H196" t="inlineStr">
        <is>
          <t>Bergvik skog väst AB</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60049-2022</t>
        </is>
      </c>
      <c r="B197" t="inlineStr">
        <is>
          <t>avverkningsanmälan</t>
        </is>
      </c>
      <c r="C197" t="inlineStr">
        <is>
          <t>Föryngringsavverkning</t>
        </is>
      </c>
      <c r="D197" s="1" t="n">
        <v>44909</v>
      </c>
      <c r="E197" s="1" t="n">
        <v>46216</v>
      </c>
      <c r="F197" t="inlineStr">
        <is>
          <t>DALARNAS LÄN</t>
        </is>
      </c>
      <c r="G197" t="inlineStr">
        <is>
          <t>SMEDJEBACKEN</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22367-2024</t>
        </is>
      </c>
      <c r="B198" t="inlineStr">
        <is>
          <t>avverkningsanmälan</t>
        </is>
      </c>
      <c r="C198" t="inlineStr">
        <is>
          <t>Föryngringsavverkning</t>
        </is>
      </c>
      <c r="D198" s="1" t="n">
        <v>45446</v>
      </c>
      <c r="E198" s="1" t="n">
        <v>46216</v>
      </c>
      <c r="F198" t="inlineStr">
        <is>
          <t>DALARNAS LÄN</t>
        </is>
      </c>
      <c r="G198" t="inlineStr">
        <is>
          <t>SMEDJEBACKEN</t>
        </is>
      </c>
      <c r="I198" t="n">
        <v>5</v>
      </c>
      <c r="J198" t="n">
        <v>0</v>
      </c>
      <c r="K198" t="n">
        <v>0</v>
      </c>
      <c r="L198" t="n">
        <v>0</v>
      </c>
      <c r="M198" t="n">
        <v>0</v>
      </c>
      <c r="N198" t="n">
        <v>0</v>
      </c>
      <c r="O198" t="n">
        <v>0</v>
      </c>
      <c r="P198" t="n">
        <v>0</v>
      </c>
      <c r="Q198" t="n">
        <v>0</v>
      </c>
      <c r="R198" t="n">
        <v>0</v>
      </c>
      <c r="S198" t="n">
        <v>0</v>
      </c>
      <c r="T198" t="n">
        <v>0</v>
      </c>
      <c r="U198" s="2" t="inlineStr"/>
    </row>
    <row r="199" ht="15" customHeight="1">
      <c r="A199" t="inlineStr">
        <is>
          <t>A 38768-2025</t>
        </is>
      </c>
      <c r="B199" t="inlineStr">
        <is>
          <t>avverkningsanmälan</t>
        </is>
      </c>
      <c r="C199" t="inlineStr">
        <is>
          <t>Föryngringsavverkning</t>
        </is>
      </c>
      <c r="D199" s="1" t="n">
        <v>45887</v>
      </c>
      <c r="E199" s="1" t="n">
        <v>46216</v>
      </c>
      <c r="F199" t="inlineStr">
        <is>
          <t>DALARNAS LÄN</t>
        </is>
      </c>
      <c r="G199" t="inlineStr">
        <is>
          <t>SMEDJEBACKEN</t>
        </is>
      </c>
      <c r="H199" t="inlineStr">
        <is>
          <t>Sveaskog</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56305-2021</t>
        </is>
      </c>
      <c r="B200" t="inlineStr">
        <is>
          <t>avverkningsanmälan</t>
        </is>
      </c>
      <c r="C200" t="inlineStr">
        <is>
          <t>Föryngringsavverkning</t>
        </is>
      </c>
      <c r="D200" s="1" t="n">
        <v>44477</v>
      </c>
      <c r="E200" s="1" t="n">
        <v>46216</v>
      </c>
      <c r="F200" t="inlineStr">
        <is>
          <t>DALARNAS LÄN</t>
        </is>
      </c>
      <c r="G200" t="inlineStr">
        <is>
          <t>SMEDJEBACKEN</t>
        </is>
      </c>
      <c r="H200" t="inlineStr">
        <is>
          <t>Bergvik skog väst AB</t>
        </is>
      </c>
      <c r="I200" t="n">
        <v>14.2</v>
      </c>
      <c r="J200" t="n">
        <v>0</v>
      </c>
      <c r="K200" t="n">
        <v>0</v>
      </c>
      <c r="L200" t="n">
        <v>0</v>
      </c>
      <c r="M200" t="n">
        <v>0</v>
      </c>
      <c r="N200" t="n">
        <v>0</v>
      </c>
      <c r="O200" t="n">
        <v>0</v>
      </c>
      <c r="P200" t="n">
        <v>0</v>
      </c>
      <c r="Q200" t="n">
        <v>0</v>
      </c>
      <c r="R200" t="n">
        <v>0</v>
      </c>
      <c r="S200" t="n">
        <v>0</v>
      </c>
      <c r="T200" t="n">
        <v>0</v>
      </c>
      <c r="U200" s="2" t="inlineStr"/>
    </row>
    <row r="201" ht="15" customHeight="1">
      <c r="A201" t="inlineStr">
        <is>
          <t>A 45568-2024</t>
        </is>
      </c>
      <c r="B201" t="inlineStr">
        <is>
          <t>avverkningsanmälan</t>
        </is>
      </c>
      <c r="C201" t="inlineStr">
        <is>
          <t>Föryngringsavverkning</t>
        </is>
      </c>
      <c r="D201" s="1" t="n">
        <v>45578</v>
      </c>
      <c r="E201" s="1" t="n">
        <v>46216</v>
      </c>
      <c r="F201" t="inlineStr">
        <is>
          <t>DALARNAS LÄN</t>
        </is>
      </c>
      <c r="G201" t="inlineStr">
        <is>
          <t>SMEDJEBACKEN</t>
        </is>
      </c>
      <c r="H201" t="inlineStr">
        <is>
          <t>Bergvik skog väst AB</t>
        </is>
      </c>
      <c r="I201" t="n">
        <v>9.1</v>
      </c>
      <c r="J201" t="n">
        <v>0</v>
      </c>
      <c r="K201" t="n">
        <v>0</v>
      </c>
      <c r="L201" t="n">
        <v>0</v>
      </c>
      <c r="M201" t="n">
        <v>0</v>
      </c>
      <c r="N201" t="n">
        <v>0</v>
      </c>
      <c r="O201" t="n">
        <v>0</v>
      </c>
      <c r="P201" t="n">
        <v>0</v>
      </c>
      <c r="Q201" t="n">
        <v>0</v>
      </c>
      <c r="R201" t="n">
        <v>0</v>
      </c>
      <c r="S201" t="n">
        <v>0</v>
      </c>
      <c r="T201" t="n">
        <v>0</v>
      </c>
      <c r="U201" s="2" t="inlineStr"/>
    </row>
    <row r="202" ht="15" customHeight="1">
      <c r="A202" t="inlineStr">
        <is>
          <t>A 355-2026</t>
        </is>
      </c>
      <c r="B202" t="inlineStr">
        <is>
          <t>avverkningsanmälan</t>
        </is>
      </c>
      <c r="C202" t="inlineStr">
        <is>
          <t>Föryngringsavverkning</t>
        </is>
      </c>
      <c r="D202" s="1" t="n">
        <v>46027</v>
      </c>
      <c r="E202" s="1" t="n">
        <v>46216</v>
      </c>
      <c r="F202" t="inlineStr">
        <is>
          <t>DALARNAS LÄN</t>
        </is>
      </c>
      <c r="G202" t="inlineStr">
        <is>
          <t>SMEDJEBACKEN</t>
        </is>
      </c>
      <c r="I202" t="n">
        <v>7.5</v>
      </c>
      <c r="J202" t="n">
        <v>0</v>
      </c>
      <c r="K202" t="n">
        <v>0</v>
      </c>
      <c r="L202" t="n">
        <v>0</v>
      </c>
      <c r="M202" t="n">
        <v>0</v>
      </c>
      <c r="N202" t="n">
        <v>0</v>
      </c>
      <c r="O202" t="n">
        <v>0</v>
      </c>
      <c r="P202" t="n">
        <v>0</v>
      </c>
      <c r="Q202" t="n">
        <v>0</v>
      </c>
      <c r="R202" t="n">
        <v>0</v>
      </c>
      <c r="S202" t="n">
        <v>0</v>
      </c>
      <c r="T202" t="n">
        <v>0</v>
      </c>
      <c r="U202" s="2" t="inlineStr"/>
    </row>
    <row r="203" ht="15" customHeight="1">
      <c r="A203" t="inlineStr">
        <is>
          <t>A 60023-2024</t>
        </is>
      </c>
      <c r="B203" t="inlineStr">
        <is>
          <t>avverkningsanmälan</t>
        </is>
      </c>
      <c r="C203" t="inlineStr">
        <is>
          <t>Föryngringsavverkning</t>
        </is>
      </c>
      <c r="D203" s="1" t="n">
        <v>45642</v>
      </c>
      <c r="E203" s="1" t="n">
        <v>46216</v>
      </c>
      <c r="F203" t="inlineStr">
        <is>
          <t>DALARNAS LÄN</t>
        </is>
      </c>
      <c r="G203" t="inlineStr">
        <is>
          <t>SMEDJEBACKEN</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25160-2025</t>
        </is>
      </c>
      <c r="B204" t="inlineStr">
        <is>
          <t>avverkningsanmälan</t>
        </is>
      </c>
      <c r="C204" t="inlineStr">
        <is>
          <t>Föryngringsavverkning</t>
        </is>
      </c>
      <c r="D204" s="1" t="n">
        <v>45800</v>
      </c>
      <c r="E204" s="1" t="n">
        <v>46216</v>
      </c>
      <c r="F204" t="inlineStr">
        <is>
          <t>DALARNAS LÄN</t>
        </is>
      </c>
      <c r="G204" t="inlineStr">
        <is>
          <t>SMEDJEBACKEN</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61378-2023</t>
        </is>
      </c>
      <c r="B205" t="inlineStr">
        <is>
          <t>avverkningsanmälan</t>
        </is>
      </c>
      <c r="C205" t="inlineStr">
        <is>
          <t>Föryngringsavverkning</t>
        </is>
      </c>
      <c r="D205" s="1" t="n">
        <v>45264</v>
      </c>
      <c r="E205" s="1" t="n">
        <v>46216</v>
      </c>
      <c r="F205" t="inlineStr">
        <is>
          <t>DALARNAS LÄN</t>
        </is>
      </c>
      <c r="G205" t="inlineStr">
        <is>
          <t>SMEDJEBACKEN</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60683-2024</t>
        </is>
      </c>
      <c r="B206" t="inlineStr">
        <is>
          <t>avverkningsanmälan</t>
        </is>
      </c>
      <c r="C206" t="inlineStr">
        <is>
          <t>Föryngringsavverkning</t>
        </is>
      </c>
      <c r="D206" s="1" t="n">
        <v>45644</v>
      </c>
      <c r="E206" s="1" t="n">
        <v>46216</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26000-2025</t>
        </is>
      </c>
      <c r="B207" t="inlineStr">
        <is>
          <t>avverkningsanmälan</t>
        </is>
      </c>
      <c r="C207" t="inlineStr">
        <is>
          <t>Föryngringsavverkning</t>
        </is>
      </c>
      <c r="D207" s="1" t="n">
        <v>45804</v>
      </c>
      <c r="E207" s="1" t="n">
        <v>46216</v>
      </c>
      <c r="F207" t="inlineStr">
        <is>
          <t>DALARNAS LÄN</t>
        </is>
      </c>
      <c r="G207" t="inlineStr">
        <is>
          <t>SMEDJEBACKEN</t>
        </is>
      </c>
      <c r="H207" t="inlineStr">
        <is>
          <t>Bergvik skog väst AB</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41569-2023</t>
        </is>
      </c>
      <c r="B208" t="inlineStr">
        <is>
          <t>avverkningsanmälan</t>
        </is>
      </c>
      <c r="C208" t="inlineStr">
        <is>
          <t>Föryngringsavverkning</t>
        </is>
      </c>
      <c r="D208" s="1" t="n">
        <v>45175</v>
      </c>
      <c r="E208" s="1" t="n">
        <v>46216</v>
      </c>
      <c r="F208" t="inlineStr">
        <is>
          <t>DALARNAS LÄN</t>
        </is>
      </c>
      <c r="G208" t="inlineStr">
        <is>
          <t>SMEDJEBACKEN</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11426-2022</t>
        </is>
      </c>
      <c r="B209" t="inlineStr">
        <is>
          <t>avverkningsanmälan</t>
        </is>
      </c>
      <c r="C209" t="inlineStr">
        <is>
          <t>Avverkning för annat ändamål</t>
        </is>
      </c>
      <c r="D209" s="1" t="n">
        <v>44630</v>
      </c>
      <c r="E209" s="1" t="n">
        <v>46216</v>
      </c>
      <c r="F209" t="inlineStr">
        <is>
          <t>DALARNAS LÄN</t>
        </is>
      </c>
      <c r="G209" t="inlineStr">
        <is>
          <t>SMEDJEBACKEN</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38477-2025</t>
        </is>
      </c>
      <c r="B210" t="inlineStr">
        <is>
          <t>avverkningsanmälan</t>
        </is>
      </c>
      <c r="C210" t="inlineStr">
        <is>
          <t>Föryngringsavverkning</t>
        </is>
      </c>
      <c r="D210" s="1" t="n">
        <v>45884</v>
      </c>
      <c r="E210" s="1" t="n">
        <v>46216</v>
      </c>
      <c r="F210" t="inlineStr">
        <is>
          <t>DALARNAS LÄN</t>
        </is>
      </c>
      <c r="G210" t="inlineStr">
        <is>
          <t>SMEDJEBACKEN</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6177-2025</t>
        </is>
      </c>
      <c r="B211" t="inlineStr">
        <is>
          <t>avverkningsanmälan</t>
        </is>
      </c>
      <c r="C211" t="inlineStr">
        <is>
          <t>Föryngringsavverkning</t>
        </is>
      </c>
      <c r="D211" s="1" t="n">
        <v>45698</v>
      </c>
      <c r="E211" s="1" t="n">
        <v>46216</v>
      </c>
      <c r="F211" t="inlineStr">
        <is>
          <t>DALARNAS LÄN</t>
        </is>
      </c>
      <c r="G211" t="inlineStr">
        <is>
          <t>SMEDJEBACKEN</t>
        </is>
      </c>
      <c r="I211" t="n">
        <v>3.1</v>
      </c>
      <c r="J211" t="n">
        <v>0</v>
      </c>
      <c r="K211" t="n">
        <v>0</v>
      </c>
      <c r="L211" t="n">
        <v>0</v>
      </c>
      <c r="M211" t="n">
        <v>0</v>
      </c>
      <c r="N211" t="n">
        <v>0</v>
      </c>
      <c r="O211" t="n">
        <v>0</v>
      </c>
      <c r="P211" t="n">
        <v>0</v>
      </c>
      <c r="Q211" t="n">
        <v>0</v>
      </c>
      <c r="R211" t="n">
        <v>0</v>
      </c>
      <c r="S211" t="n">
        <v>0</v>
      </c>
      <c r="T211" t="n">
        <v>0</v>
      </c>
      <c r="U211" s="2" t="inlineStr"/>
    </row>
    <row r="212" ht="15" customHeight="1">
      <c r="A212" t="inlineStr">
        <is>
          <t>A 40943-2024</t>
        </is>
      </c>
      <c r="B212" t="inlineStr">
        <is>
          <t>avverkningsanmälan</t>
        </is>
      </c>
      <c r="C212" t="inlineStr">
        <is>
          <t>Föryngringsavverkning</t>
        </is>
      </c>
      <c r="D212" s="1" t="n">
        <v>45558</v>
      </c>
      <c r="E212" s="1" t="n">
        <v>46216</v>
      </c>
      <c r="F212" t="inlineStr">
        <is>
          <t>DALARNAS LÄN</t>
        </is>
      </c>
      <c r="G212" t="inlineStr">
        <is>
          <t>SMEDJEBACKEN</t>
        </is>
      </c>
      <c r="H212" t="inlineStr">
        <is>
          <t>Sveaskog</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13633-2023</t>
        </is>
      </c>
      <c r="B213" t="inlineStr">
        <is>
          <t>avverkningsanmälan</t>
        </is>
      </c>
      <c r="C213" t="inlineStr">
        <is>
          <t>Föryngringsavverkning</t>
        </is>
      </c>
      <c r="D213" s="1" t="n">
        <v>45006</v>
      </c>
      <c r="E213" s="1" t="n">
        <v>46216</v>
      </c>
      <c r="F213" t="inlineStr">
        <is>
          <t>DALARNAS LÄN</t>
        </is>
      </c>
      <c r="G213" t="inlineStr">
        <is>
          <t>SMEDJEBACKEN</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39800-2025</t>
        </is>
      </c>
      <c r="B214" t="inlineStr">
        <is>
          <t>avverkningsanmälan</t>
        </is>
      </c>
      <c r="C214" t="inlineStr">
        <is>
          <t>Föryngringsavverkning</t>
        </is>
      </c>
      <c r="D214" s="1" t="n">
        <v>45891</v>
      </c>
      <c r="E214" s="1" t="n">
        <v>46216</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39805-2025</t>
        </is>
      </c>
      <c r="B215" t="inlineStr">
        <is>
          <t>avverkningsanmälan</t>
        </is>
      </c>
      <c r="C215" t="inlineStr">
        <is>
          <t>Föryngringsavverkning</t>
        </is>
      </c>
      <c r="D215" s="1" t="n">
        <v>45891</v>
      </c>
      <c r="E215" s="1" t="n">
        <v>46216</v>
      </c>
      <c r="F215" t="inlineStr">
        <is>
          <t>DALARNAS LÄN</t>
        </is>
      </c>
      <c r="G215" t="inlineStr">
        <is>
          <t>SMEDJEBACKEN</t>
        </is>
      </c>
      <c r="H215" t="inlineStr">
        <is>
          <t>Sveaskog</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39802-2025</t>
        </is>
      </c>
      <c r="B216" t="inlineStr">
        <is>
          <t>avverkningsanmälan</t>
        </is>
      </c>
      <c r="C216" t="inlineStr">
        <is>
          <t>Avverkning för att bevara och utveckla /försöksver</t>
        </is>
      </c>
      <c r="D216" s="1" t="n">
        <v>45891</v>
      </c>
      <c r="E216" s="1" t="n">
        <v>46216</v>
      </c>
      <c r="F216" t="inlineStr">
        <is>
          <t>DALARNAS LÄN</t>
        </is>
      </c>
      <c r="G216" t="inlineStr">
        <is>
          <t>SMEDJEBACKEN</t>
        </is>
      </c>
      <c r="H216" t="inlineStr">
        <is>
          <t>Sveaskog</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39806-2025</t>
        </is>
      </c>
      <c r="B217" t="inlineStr">
        <is>
          <t>avverkningsanmälan</t>
        </is>
      </c>
      <c r="C217" t="inlineStr">
        <is>
          <t>Föryngringsavverkning</t>
        </is>
      </c>
      <c r="D217" s="1" t="n">
        <v>45891</v>
      </c>
      <c r="E217" s="1" t="n">
        <v>46216</v>
      </c>
      <c r="F217" t="inlineStr">
        <is>
          <t>DALARNAS LÄN</t>
        </is>
      </c>
      <c r="G217" t="inlineStr">
        <is>
          <t>SMEDJEBACKEN</t>
        </is>
      </c>
      <c r="H217" t="inlineStr">
        <is>
          <t>Sveaskog</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39804-2025</t>
        </is>
      </c>
      <c r="B218" t="inlineStr">
        <is>
          <t>avverkningsanmälan</t>
        </is>
      </c>
      <c r="C218" t="inlineStr">
        <is>
          <t>Föryngringsavverkning</t>
        </is>
      </c>
      <c r="D218" s="1" t="n">
        <v>45891</v>
      </c>
      <c r="E218" s="1" t="n">
        <v>46216</v>
      </c>
      <c r="F218" t="inlineStr">
        <is>
          <t>DALARNAS LÄN</t>
        </is>
      </c>
      <c r="G218" t="inlineStr">
        <is>
          <t>SMEDJEBACKEN</t>
        </is>
      </c>
      <c r="H218" t="inlineStr">
        <is>
          <t>Sveaskog</t>
        </is>
      </c>
      <c r="I218" t="n">
        <v>8.800000000000001</v>
      </c>
      <c r="J218" t="n">
        <v>0</v>
      </c>
      <c r="K218" t="n">
        <v>0</v>
      </c>
      <c r="L218" t="n">
        <v>0</v>
      </c>
      <c r="M218" t="n">
        <v>0</v>
      </c>
      <c r="N218" t="n">
        <v>0</v>
      </c>
      <c r="O218" t="n">
        <v>0</v>
      </c>
      <c r="P218" t="n">
        <v>0</v>
      </c>
      <c r="Q218" t="n">
        <v>0</v>
      </c>
      <c r="R218" t="n">
        <v>0</v>
      </c>
      <c r="S218" t="n">
        <v>0</v>
      </c>
      <c r="T218" t="n">
        <v>0</v>
      </c>
      <c r="U218" s="2" t="inlineStr"/>
    </row>
    <row r="219" ht="15" customHeight="1">
      <c r="A219" t="inlineStr">
        <is>
          <t>A 18830-2025</t>
        </is>
      </c>
      <c r="B219" t="inlineStr">
        <is>
          <t>avverkningsanmälan</t>
        </is>
      </c>
      <c r="C219" t="inlineStr">
        <is>
          <t>Föryngringsavverkning</t>
        </is>
      </c>
      <c r="D219" s="1" t="n">
        <v>45764</v>
      </c>
      <c r="E219" s="1" t="n">
        <v>46216</v>
      </c>
      <c r="F219" t="inlineStr">
        <is>
          <t>DALARNAS LÄN</t>
        </is>
      </c>
      <c r="G219" t="inlineStr">
        <is>
          <t>SMEDJEBACKEN</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19470-2024</t>
        </is>
      </c>
      <c r="B220" t="inlineStr">
        <is>
          <t>avverkningsanmälan</t>
        </is>
      </c>
      <c r="C220" t="inlineStr">
        <is>
          <t>Föryngringsavverkning</t>
        </is>
      </c>
      <c r="D220" s="1" t="n">
        <v>45429</v>
      </c>
      <c r="E220" s="1" t="n">
        <v>46216</v>
      </c>
      <c r="F220" t="inlineStr">
        <is>
          <t>DALARNAS LÄN</t>
        </is>
      </c>
      <c r="G220" t="inlineStr">
        <is>
          <t>SMEDJEBACKEN</t>
        </is>
      </c>
      <c r="H220" t="inlineStr">
        <is>
          <t>Sveaskog</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41479-2025</t>
        </is>
      </c>
      <c r="B221" t="inlineStr">
        <is>
          <t>avverkningsanmälan</t>
        </is>
      </c>
      <c r="C221" t="inlineStr">
        <is>
          <t>Föryngringsavverkning</t>
        </is>
      </c>
      <c r="D221" s="1" t="n">
        <v>45901</v>
      </c>
      <c r="E221" s="1" t="n">
        <v>46216</v>
      </c>
      <c r="F221" t="inlineStr">
        <is>
          <t>DALARNAS LÄN</t>
        </is>
      </c>
      <c r="G221" t="inlineStr">
        <is>
          <t>SMEDJEBACKEN</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28775-2025</t>
        </is>
      </c>
      <c r="B222" t="inlineStr">
        <is>
          <t>avverkningsanmälan</t>
        </is>
      </c>
      <c r="C222" t="inlineStr">
        <is>
          <t>Föryngringsavverkning</t>
        </is>
      </c>
      <c r="D222" s="1" t="n">
        <v>45819</v>
      </c>
      <c r="E222" s="1" t="n">
        <v>46216</v>
      </c>
      <c r="F222" t="inlineStr">
        <is>
          <t>DALARNAS LÄN</t>
        </is>
      </c>
      <c r="G222" t="inlineStr">
        <is>
          <t>SMEDJEBACKEN</t>
        </is>
      </c>
      <c r="H222" t="inlineStr">
        <is>
          <t>Bergvik skog väst AB</t>
        </is>
      </c>
      <c r="I222" t="n">
        <v>22.8</v>
      </c>
      <c r="J222" t="n">
        <v>0</v>
      </c>
      <c r="K222" t="n">
        <v>0</v>
      </c>
      <c r="L222" t="n">
        <v>0</v>
      </c>
      <c r="M222" t="n">
        <v>0</v>
      </c>
      <c r="N222" t="n">
        <v>0</v>
      </c>
      <c r="O222" t="n">
        <v>0</v>
      </c>
      <c r="P222" t="n">
        <v>0</v>
      </c>
      <c r="Q222" t="n">
        <v>0</v>
      </c>
      <c r="R222" t="n">
        <v>0</v>
      </c>
      <c r="S222" t="n">
        <v>0</v>
      </c>
      <c r="T222" t="n">
        <v>0</v>
      </c>
      <c r="U222" s="2" t="inlineStr"/>
    </row>
    <row r="223" ht="15" customHeight="1">
      <c r="A223" t="inlineStr">
        <is>
          <t>A 42047-2025</t>
        </is>
      </c>
      <c r="B223" t="inlineStr">
        <is>
          <t>avverkningsanmälan</t>
        </is>
      </c>
      <c r="C223" t="inlineStr">
        <is>
          <t>Föryngringsavverkning</t>
        </is>
      </c>
      <c r="D223" s="1" t="n">
        <v>45903</v>
      </c>
      <c r="E223" s="1" t="n">
        <v>46216</v>
      </c>
      <c r="F223" t="inlineStr">
        <is>
          <t>DALARNAS LÄN</t>
        </is>
      </c>
      <c r="G223" t="inlineStr">
        <is>
          <t>SMEDJEBACKEN</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37046-2023</t>
        </is>
      </c>
      <c r="B224" t="inlineStr">
        <is>
          <t>avverkningsanmälan</t>
        </is>
      </c>
      <c r="C224" t="inlineStr">
        <is>
          <t>Föryngringsavverkning</t>
        </is>
      </c>
      <c r="D224" s="1" t="n">
        <v>45154</v>
      </c>
      <c r="E224" s="1" t="n">
        <v>46216</v>
      </c>
      <c r="F224" t="inlineStr">
        <is>
          <t>DALARNAS LÄN</t>
        </is>
      </c>
      <c r="G224" t="inlineStr">
        <is>
          <t>SMEDJEBACKEN</t>
        </is>
      </c>
      <c r="I224" t="n">
        <v>21.9</v>
      </c>
      <c r="J224" t="n">
        <v>0</v>
      </c>
      <c r="K224" t="n">
        <v>0</v>
      </c>
      <c r="L224" t="n">
        <v>0</v>
      </c>
      <c r="M224" t="n">
        <v>0</v>
      </c>
      <c r="N224" t="n">
        <v>0</v>
      </c>
      <c r="O224" t="n">
        <v>0</v>
      </c>
      <c r="P224" t="n">
        <v>0</v>
      </c>
      <c r="Q224" t="n">
        <v>0</v>
      </c>
      <c r="R224" t="n">
        <v>0</v>
      </c>
      <c r="S224" t="n">
        <v>0</v>
      </c>
      <c r="T224" t="n">
        <v>0</v>
      </c>
      <c r="U224" s="2" t="inlineStr"/>
    </row>
    <row r="225" ht="15" customHeight="1">
      <c r="A225" t="inlineStr">
        <is>
          <t>A 17687-2025</t>
        </is>
      </c>
      <c r="B225" t="inlineStr">
        <is>
          <t>avverkningsanmälan</t>
        </is>
      </c>
      <c r="C225" t="inlineStr">
        <is>
          <t>Föryngringsavverkning</t>
        </is>
      </c>
      <c r="D225" s="1" t="n">
        <v>45758</v>
      </c>
      <c r="E225" s="1" t="n">
        <v>46216</v>
      </c>
      <c r="F225" t="inlineStr">
        <is>
          <t>DALARNAS LÄN</t>
        </is>
      </c>
      <c r="G225" t="inlineStr">
        <is>
          <t>SMEDJEBACKEN</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30903-2025</t>
        </is>
      </c>
      <c r="B226" t="inlineStr">
        <is>
          <t>avverkningsanmälan</t>
        </is>
      </c>
      <c r="C226" t="inlineStr">
        <is>
          <t>Föryngringsavverkning</t>
        </is>
      </c>
      <c r="D226" s="1" t="n">
        <v>45832</v>
      </c>
      <c r="E226" s="1" t="n">
        <v>46216</v>
      </c>
      <c r="F226" t="inlineStr">
        <is>
          <t>DALARNAS LÄN</t>
        </is>
      </c>
      <c r="G226" t="inlineStr">
        <is>
          <t>SMEDJEBACKEN</t>
        </is>
      </c>
      <c r="H226" t="inlineStr">
        <is>
          <t>Sveaskog</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42663-2025</t>
        </is>
      </c>
      <c r="B227" t="inlineStr">
        <is>
          <t>avverkningsanmälan</t>
        </is>
      </c>
      <c r="C227" t="inlineStr">
        <is>
          <t>Föryngringsavverkning</t>
        </is>
      </c>
      <c r="D227" s="1" t="n">
        <v>45907</v>
      </c>
      <c r="E227" s="1" t="n">
        <v>46216</v>
      </c>
      <c r="F227" t="inlineStr">
        <is>
          <t>DALARNAS LÄN</t>
        </is>
      </c>
      <c r="G227" t="inlineStr">
        <is>
          <t>SMEDJEBACKEN</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31470-2025</t>
        </is>
      </c>
      <c r="B228" t="inlineStr">
        <is>
          <t>avverkningsanmälan</t>
        </is>
      </c>
      <c r="C228" t="inlineStr">
        <is>
          <t>Föryngringsavverkning</t>
        </is>
      </c>
      <c r="D228" s="1" t="n">
        <v>45833</v>
      </c>
      <c r="E228" s="1" t="n">
        <v>46216</v>
      </c>
      <c r="F228" t="inlineStr">
        <is>
          <t>DALARNAS LÄN</t>
        </is>
      </c>
      <c r="G228" t="inlineStr">
        <is>
          <t>SMEDJEBACKEN</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58234-2023</t>
        </is>
      </c>
      <c r="B229" t="inlineStr">
        <is>
          <t>avverkningsanmälan</t>
        </is>
      </c>
      <c r="C229" t="inlineStr">
        <is>
          <t>Avverkning för att bevara och utveckla /försöksver</t>
        </is>
      </c>
      <c r="D229" s="1" t="n">
        <v>45250</v>
      </c>
      <c r="E229" s="1" t="n">
        <v>46216</v>
      </c>
      <c r="F229" t="inlineStr">
        <is>
          <t>DALARNAS LÄN</t>
        </is>
      </c>
      <c r="G229" t="inlineStr">
        <is>
          <t>SMEDJEBACKEN</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31473-2025</t>
        </is>
      </c>
      <c r="B230" t="inlineStr">
        <is>
          <t>avverkningsanmälan</t>
        </is>
      </c>
      <c r="C230" t="inlineStr">
        <is>
          <t>Föryngringsavverkning</t>
        </is>
      </c>
      <c r="D230" s="1" t="n">
        <v>45833</v>
      </c>
      <c r="E230" s="1" t="n">
        <v>46216</v>
      </c>
      <c r="F230" t="inlineStr">
        <is>
          <t>DALARNAS LÄN</t>
        </is>
      </c>
      <c r="G230" t="inlineStr">
        <is>
          <t>SMEDJEBACKEN</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48527-2023</t>
        </is>
      </c>
      <c r="B231" t="inlineStr">
        <is>
          <t>avverkningsanmälan</t>
        </is>
      </c>
      <c r="C231" t="inlineStr">
        <is>
          <t>Föryngringsavverkning</t>
        </is>
      </c>
      <c r="D231" s="1" t="n">
        <v>45208</v>
      </c>
      <c r="E231" s="1" t="n">
        <v>46216</v>
      </c>
      <c r="F231" t="inlineStr">
        <is>
          <t>DALARNAS LÄN</t>
        </is>
      </c>
      <c r="G231" t="inlineStr">
        <is>
          <t>SMEDJEBACKEN</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53139-2023</t>
        </is>
      </c>
      <c r="B232" t="inlineStr">
        <is>
          <t>avverkningsanmälan</t>
        </is>
      </c>
      <c r="C232" t="inlineStr">
        <is>
          <t>Föryngringsavverkning</t>
        </is>
      </c>
      <c r="D232" s="1" t="n">
        <v>45229</v>
      </c>
      <c r="E232" s="1" t="n">
        <v>46216</v>
      </c>
      <c r="F232" t="inlineStr">
        <is>
          <t>DALARNAS LÄN</t>
        </is>
      </c>
      <c r="G232" t="inlineStr">
        <is>
          <t>SMEDJEBACKEN</t>
        </is>
      </c>
      <c r="H232" t="inlineStr">
        <is>
          <t>Övriga Aktiebolag</t>
        </is>
      </c>
      <c r="I232" t="n">
        <v>13.8</v>
      </c>
      <c r="J232" t="n">
        <v>0</v>
      </c>
      <c r="K232" t="n">
        <v>0</v>
      </c>
      <c r="L232" t="n">
        <v>0</v>
      </c>
      <c r="M232" t="n">
        <v>0</v>
      </c>
      <c r="N232" t="n">
        <v>0</v>
      </c>
      <c r="O232" t="n">
        <v>0</v>
      </c>
      <c r="P232" t="n">
        <v>0</v>
      </c>
      <c r="Q232" t="n">
        <v>0</v>
      </c>
      <c r="R232" t="n">
        <v>0</v>
      </c>
      <c r="S232" t="n">
        <v>0</v>
      </c>
      <c r="T232" t="n">
        <v>0</v>
      </c>
      <c r="U232" s="2" t="inlineStr"/>
    </row>
    <row r="233" ht="15" customHeight="1">
      <c r="A233" t="inlineStr">
        <is>
          <t>A 32996-2025</t>
        </is>
      </c>
      <c r="B233" t="inlineStr">
        <is>
          <t>avverkningsanmälan</t>
        </is>
      </c>
      <c r="C233" t="inlineStr">
        <is>
          <t>Föryngringsavverkning</t>
        </is>
      </c>
      <c r="D233" s="1" t="n">
        <v>45840</v>
      </c>
      <c r="E233" s="1" t="n">
        <v>46216</v>
      </c>
      <c r="F233" t="inlineStr">
        <is>
          <t>DALARNAS LÄN</t>
        </is>
      </c>
      <c r="G233" t="inlineStr">
        <is>
          <t>SMEDJEBACKEN</t>
        </is>
      </c>
      <c r="H233" t="inlineStr">
        <is>
          <t>Övriga Aktiebolag</t>
        </is>
      </c>
      <c r="I233" t="n">
        <v>3.9</v>
      </c>
      <c r="J233" t="n">
        <v>0</v>
      </c>
      <c r="K233" t="n">
        <v>0</v>
      </c>
      <c r="L233" t="n">
        <v>0</v>
      </c>
      <c r="M233" t="n">
        <v>0</v>
      </c>
      <c r="N233" t="n">
        <v>0</v>
      </c>
      <c r="O233" t="n">
        <v>0</v>
      </c>
      <c r="P233" t="n">
        <v>0</v>
      </c>
      <c r="Q233" t="n">
        <v>0</v>
      </c>
      <c r="R233" t="n">
        <v>0</v>
      </c>
      <c r="S233" t="n">
        <v>0</v>
      </c>
      <c r="T233" t="n">
        <v>0</v>
      </c>
      <c r="U233" s="2" t="inlineStr"/>
    </row>
    <row r="234" ht="15" customHeight="1">
      <c r="A234" t="inlineStr">
        <is>
          <t>A 45175-2025</t>
        </is>
      </c>
      <c r="B234" t="inlineStr">
        <is>
          <t>avverkningsanmälan</t>
        </is>
      </c>
      <c r="C234" t="inlineStr">
        <is>
          <t>Föryngringsavverkning</t>
        </is>
      </c>
      <c r="D234" s="1" t="n">
        <v>45919</v>
      </c>
      <c r="E234" s="1" t="n">
        <v>46216</v>
      </c>
      <c r="F234" t="inlineStr">
        <is>
          <t>DALARNAS LÄN</t>
        </is>
      </c>
      <c r="G234" t="inlineStr">
        <is>
          <t>SMEDJEBACKEN</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33912-2025</t>
        </is>
      </c>
      <c r="B235" t="inlineStr">
        <is>
          <t>avverkningsanmälan</t>
        </is>
      </c>
      <c r="C235" t="inlineStr">
        <is>
          <t>Föryngringsavverkning</t>
        </is>
      </c>
      <c r="D235" s="1" t="n">
        <v>45842</v>
      </c>
      <c r="E235" s="1" t="n">
        <v>46216</v>
      </c>
      <c r="F235" t="inlineStr">
        <is>
          <t>DALARNAS LÄN</t>
        </is>
      </c>
      <c r="G235" t="inlineStr">
        <is>
          <t>SMEDJEBACKEN</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11100-2024</t>
        </is>
      </c>
      <c r="B236" t="inlineStr">
        <is>
          <t>avverkningsanmälan</t>
        </is>
      </c>
      <c r="C236" t="inlineStr">
        <is>
          <t>Föryngringsavverkning</t>
        </is>
      </c>
      <c r="D236" s="1" t="n">
        <v>45371</v>
      </c>
      <c r="E236" s="1" t="n">
        <v>46216</v>
      </c>
      <c r="F236" t="inlineStr">
        <is>
          <t>DALARNAS LÄN</t>
        </is>
      </c>
      <c r="G236" t="inlineStr">
        <is>
          <t>SMEDJEBACKEN</t>
        </is>
      </c>
      <c r="I236" t="n">
        <v>5.7</v>
      </c>
      <c r="J236" t="n">
        <v>0</v>
      </c>
      <c r="K236" t="n">
        <v>0</v>
      </c>
      <c r="L236" t="n">
        <v>0</v>
      </c>
      <c r="M236" t="n">
        <v>0</v>
      </c>
      <c r="N236" t="n">
        <v>0</v>
      </c>
      <c r="O236" t="n">
        <v>0</v>
      </c>
      <c r="P236" t="n">
        <v>0</v>
      </c>
      <c r="Q236" t="n">
        <v>0</v>
      </c>
      <c r="R236" t="n">
        <v>0</v>
      </c>
      <c r="S236" t="n">
        <v>0</v>
      </c>
      <c r="T236" t="n">
        <v>0</v>
      </c>
      <c r="U236" s="2" t="inlineStr"/>
    </row>
    <row r="237" ht="15" customHeight="1">
      <c r="A237" t="inlineStr">
        <is>
          <t>A 45608-2025</t>
        </is>
      </c>
      <c r="B237" t="inlineStr">
        <is>
          <t>avverkningsanmälan</t>
        </is>
      </c>
      <c r="C237" t="inlineStr">
        <is>
          <t>Föryngringsavverkning</t>
        </is>
      </c>
      <c r="D237" s="1" t="n">
        <v>45922</v>
      </c>
      <c r="E237" s="1" t="n">
        <v>46216</v>
      </c>
      <c r="F237" t="inlineStr">
        <is>
          <t>DALARNAS LÄN</t>
        </is>
      </c>
      <c r="G237" t="inlineStr">
        <is>
          <t>SMEDJEBACKEN</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34523-2025</t>
        </is>
      </c>
      <c r="B238" t="inlineStr">
        <is>
          <t>avverkningsanmälan</t>
        </is>
      </c>
      <c r="C238" t="inlineStr">
        <is>
          <t>Föryngringsavverkning</t>
        </is>
      </c>
      <c r="D238" s="1" t="n">
        <v>45846</v>
      </c>
      <c r="E238" s="1" t="n">
        <v>46216</v>
      </c>
      <c r="F238" t="inlineStr">
        <is>
          <t>DALARNAS LÄN</t>
        </is>
      </c>
      <c r="G238" t="inlineStr">
        <is>
          <t>SMEDJEBACKEN</t>
        </is>
      </c>
      <c r="H238" t="inlineStr">
        <is>
          <t>Bergvik skog väst AB</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34510-2025</t>
        </is>
      </c>
      <c r="B239" t="inlineStr">
        <is>
          <t>avverkningsanmälan</t>
        </is>
      </c>
      <c r="C239" t="inlineStr">
        <is>
          <t>Föryngringsavverkning</t>
        </is>
      </c>
      <c r="D239" s="1" t="n">
        <v>45846</v>
      </c>
      <c r="E239" s="1" t="n">
        <v>46216</v>
      </c>
      <c r="F239" t="inlineStr">
        <is>
          <t>DALARNAS LÄN</t>
        </is>
      </c>
      <c r="G239" t="inlineStr">
        <is>
          <t>SMEDJEBACKEN</t>
        </is>
      </c>
      <c r="H239" t="inlineStr">
        <is>
          <t>Bergvik skog väst AB</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34511-2025</t>
        </is>
      </c>
      <c r="B240" t="inlineStr">
        <is>
          <t>avverkningsanmälan</t>
        </is>
      </c>
      <c r="C240" t="inlineStr">
        <is>
          <t>Föryngringsavverkning</t>
        </is>
      </c>
      <c r="D240" s="1" t="n">
        <v>45846</v>
      </c>
      <c r="E240" s="1" t="n">
        <v>46216</v>
      </c>
      <c r="F240" t="inlineStr">
        <is>
          <t>DALARNAS LÄN</t>
        </is>
      </c>
      <c r="G240" t="inlineStr">
        <is>
          <t>SMEDJEBACKEN</t>
        </is>
      </c>
      <c r="H240" t="inlineStr">
        <is>
          <t>Bergvik skog väst AB</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34444-2025</t>
        </is>
      </c>
      <c r="B241" t="inlineStr">
        <is>
          <t>avverkningsanmälan</t>
        </is>
      </c>
      <c r="C241" t="inlineStr">
        <is>
          <t>Föryngringsavverkning</t>
        </is>
      </c>
      <c r="D241" s="1" t="n">
        <v>45846</v>
      </c>
      <c r="E241" s="1" t="n">
        <v>46216</v>
      </c>
      <c r="F241" t="inlineStr">
        <is>
          <t>DALARNAS LÄN</t>
        </is>
      </c>
      <c r="G241" t="inlineStr">
        <is>
          <t>SMEDJEBACKEN</t>
        </is>
      </c>
      <c r="I241" t="n">
        <v>4.7</v>
      </c>
      <c r="J241" t="n">
        <v>0</v>
      </c>
      <c r="K241" t="n">
        <v>0</v>
      </c>
      <c r="L241" t="n">
        <v>0</v>
      </c>
      <c r="M241" t="n">
        <v>0</v>
      </c>
      <c r="N241" t="n">
        <v>0</v>
      </c>
      <c r="O241" t="n">
        <v>0</v>
      </c>
      <c r="P241" t="n">
        <v>0</v>
      </c>
      <c r="Q241" t="n">
        <v>0</v>
      </c>
      <c r="R241" t="n">
        <v>0</v>
      </c>
      <c r="S241" t="n">
        <v>0</v>
      </c>
      <c r="T241" t="n">
        <v>0</v>
      </c>
      <c r="U241" s="2" t="inlineStr"/>
    </row>
    <row r="242" ht="15" customHeight="1">
      <c r="A242" t="inlineStr">
        <is>
          <t>A 34711-2025</t>
        </is>
      </c>
      <c r="B242" t="inlineStr">
        <is>
          <t>avverkningsanmälan</t>
        </is>
      </c>
      <c r="C242" t="inlineStr">
        <is>
          <t>Föryngringsavverkning</t>
        </is>
      </c>
      <c r="D242" s="1" t="n">
        <v>45848</v>
      </c>
      <c r="E242" s="1" t="n">
        <v>46216</v>
      </c>
      <c r="F242" t="inlineStr">
        <is>
          <t>DALARNAS LÄN</t>
        </is>
      </c>
      <c r="G242" t="inlineStr">
        <is>
          <t>SMEDJEBACKEN</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46367-2025</t>
        </is>
      </c>
      <c r="B243" t="inlineStr">
        <is>
          <t>avverkningsanmälan</t>
        </is>
      </c>
      <c r="C243" t="inlineStr">
        <is>
          <t>Föryngringsavverkning</t>
        </is>
      </c>
      <c r="D243" s="1" t="n">
        <v>45925</v>
      </c>
      <c r="E243" s="1" t="n">
        <v>46216</v>
      </c>
      <c r="F243" t="inlineStr">
        <is>
          <t>DALARNAS LÄN</t>
        </is>
      </c>
      <c r="G243" t="inlineStr">
        <is>
          <t>SMEDJEBACKEN</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9790-2022</t>
        </is>
      </c>
      <c r="B244" t="inlineStr">
        <is>
          <t>avverkningsanmälan</t>
        </is>
      </c>
      <c r="C244" t="inlineStr">
        <is>
          <t>Avverkning för annat ändamål</t>
        </is>
      </c>
      <c r="D244" s="1" t="n">
        <v>44617</v>
      </c>
      <c r="E244" s="1" t="n">
        <v>46216</v>
      </c>
      <c r="F244" t="inlineStr">
        <is>
          <t>DALARNAS LÄN</t>
        </is>
      </c>
      <c r="G244" t="inlineStr">
        <is>
          <t>SMEDJEBACKEN</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21969-2025</t>
        </is>
      </c>
      <c r="B245" t="inlineStr">
        <is>
          <t>avverkningsanmälan</t>
        </is>
      </c>
      <c r="C245" t="inlineStr">
        <is>
          <t>Föryngringsavverkning</t>
        </is>
      </c>
      <c r="D245" s="1" t="n">
        <v>45784</v>
      </c>
      <c r="E245" s="1" t="n">
        <v>46216</v>
      </c>
      <c r="F245" t="inlineStr">
        <is>
          <t>DALARNAS LÄN</t>
        </is>
      </c>
      <c r="G245" t="inlineStr">
        <is>
          <t>SMEDJEBACKEN</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44117-2021</t>
        </is>
      </c>
      <c r="B246" t="inlineStr">
        <is>
          <t>avverkningsanmälan</t>
        </is>
      </c>
      <c r="C246" t="inlineStr">
        <is>
          <t>Föryngringsavverkning</t>
        </is>
      </c>
      <c r="D246" s="1" t="n">
        <v>44434</v>
      </c>
      <c r="E246" s="1" t="n">
        <v>46216</v>
      </c>
      <c r="F246" t="inlineStr">
        <is>
          <t>DALARNAS LÄN</t>
        </is>
      </c>
      <c r="G246" t="inlineStr">
        <is>
          <t>SMEDJEBACKEN</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46396-2024</t>
        </is>
      </c>
      <c r="B247" t="inlineStr">
        <is>
          <t>avverkningsanmälan</t>
        </is>
      </c>
      <c r="C247" t="inlineStr">
        <is>
          <t>Föryngringsavverkning</t>
        </is>
      </c>
      <c r="D247" s="1" t="n">
        <v>45582</v>
      </c>
      <c r="E247" s="1" t="n">
        <v>46216</v>
      </c>
      <c r="F247" t="inlineStr">
        <is>
          <t>DALARNAS LÄN</t>
        </is>
      </c>
      <c r="G247" t="inlineStr">
        <is>
          <t>SMEDJEBACKEN</t>
        </is>
      </c>
      <c r="H247" t="inlineStr">
        <is>
          <t>Bergvik skog väst AB</t>
        </is>
      </c>
      <c r="I247" t="n">
        <v>10.2</v>
      </c>
      <c r="J247" t="n">
        <v>0</v>
      </c>
      <c r="K247" t="n">
        <v>0</v>
      </c>
      <c r="L247" t="n">
        <v>0</v>
      </c>
      <c r="M247" t="n">
        <v>0</v>
      </c>
      <c r="N247" t="n">
        <v>0</v>
      </c>
      <c r="O247" t="n">
        <v>0</v>
      </c>
      <c r="P247" t="n">
        <v>0</v>
      </c>
      <c r="Q247" t="n">
        <v>0</v>
      </c>
      <c r="R247" t="n">
        <v>0</v>
      </c>
      <c r="S247" t="n">
        <v>0</v>
      </c>
      <c r="T247" t="n">
        <v>0</v>
      </c>
      <c r="U247" s="2" t="inlineStr"/>
    </row>
    <row r="248" ht="15" customHeight="1">
      <c r="A248" t="inlineStr">
        <is>
          <t>A 35814-2025</t>
        </is>
      </c>
      <c r="B248" t="inlineStr">
        <is>
          <t>avverkningsanmälan</t>
        </is>
      </c>
      <c r="C248" t="inlineStr">
        <is>
          <t>Föryngringsavverkning</t>
        </is>
      </c>
      <c r="D248" s="1" t="n">
        <v>45861</v>
      </c>
      <c r="E248" s="1" t="n">
        <v>46216</v>
      </c>
      <c r="F248" t="inlineStr">
        <is>
          <t>DALARNAS LÄN</t>
        </is>
      </c>
      <c r="G248" t="inlineStr">
        <is>
          <t>SMEDJEBACKEN</t>
        </is>
      </c>
      <c r="H248" t="inlineStr">
        <is>
          <t>Övriga Aktiebolag</t>
        </is>
      </c>
      <c r="I248" t="n">
        <v>16.7</v>
      </c>
      <c r="J248" t="n">
        <v>0</v>
      </c>
      <c r="K248" t="n">
        <v>0</v>
      </c>
      <c r="L248" t="n">
        <v>0</v>
      </c>
      <c r="M248" t="n">
        <v>0</v>
      </c>
      <c r="N248" t="n">
        <v>0</v>
      </c>
      <c r="O248" t="n">
        <v>0</v>
      </c>
      <c r="P248" t="n">
        <v>0</v>
      </c>
      <c r="Q248" t="n">
        <v>0</v>
      </c>
      <c r="R248" t="n">
        <v>0</v>
      </c>
      <c r="S248" t="n">
        <v>0</v>
      </c>
      <c r="T248" t="n">
        <v>0</v>
      </c>
      <c r="U248" s="2" t="inlineStr"/>
    </row>
    <row r="249" ht="15" customHeight="1">
      <c r="A249" t="inlineStr">
        <is>
          <t>A 17951-2022</t>
        </is>
      </c>
      <c r="B249" t="inlineStr">
        <is>
          <t>avverkningsanmälan</t>
        </is>
      </c>
      <c r="C249" t="inlineStr">
        <is>
          <t>Föryngringsavverkning</t>
        </is>
      </c>
      <c r="D249" s="1" t="n">
        <v>44683</v>
      </c>
      <c r="E249" s="1" t="n">
        <v>46216</v>
      </c>
      <c r="F249" t="inlineStr">
        <is>
          <t>DALARNAS LÄN</t>
        </is>
      </c>
      <c r="G249" t="inlineStr">
        <is>
          <t>SMEDJEBACKEN</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17956-2022</t>
        </is>
      </c>
      <c r="B250" t="inlineStr">
        <is>
          <t>avverkningsanmälan</t>
        </is>
      </c>
      <c r="C250" t="inlineStr">
        <is>
          <t>Föryngringsavverkning</t>
        </is>
      </c>
      <c r="D250" s="1" t="n">
        <v>44683</v>
      </c>
      <c r="E250" s="1" t="n">
        <v>46216</v>
      </c>
      <c r="F250" t="inlineStr">
        <is>
          <t>DALARNAS LÄN</t>
        </is>
      </c>
      <c r="G250" t="inlineStr">
        <is>
          <t>SMEDJEBACKEN</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60086-2021</t>
        </is>
      </c>
      <c r="B251" t="inlineStr">
        <is>
          <t>avverkningsanmälan</t>
        </is>
      </c>
      <c r="C251" t="inlineStr">
        <is>
          <t>Föryngringsavverkning</t>
        </is>
      </c>
      <c r="D251" s="1" t="n">
        <v>44494</v>
      </c>
      <c r="E251" s="1" t="n">
        <v>46216</v>
      </c>
      <c r="F251" t="inlineStr">
        <is>
          <t>DALARNAS LÄN</t>
        </is>
      </c>
      <c r="G251" t="inlineStr">
        <is>
          <t>SMEDJEBACKEN</t>
        </is>
      </c>
      <c r="H251" t="inlineStr">
        <is>
          <t>Bergvik skog väst AB</t>
        </is>
      </c>
      <c r="I251" t="n">
        <v>2.3</v>
      </c>
      <c r="J251" t="n">
        <v>0</v>
      </c>
      <c r="K251" t="n">
        <v>0</v>
      </c>
      <c r="L251" t="n">
        <v>0</v>
      </c>
      <c r="M251" t="n">
        <v>0</v>
      </c>
      <c r="N251" t="n">
        <v>0</v>
      </c>
      <c r="O251" t="n">
        <v>0</v>
      </c>
      <c r="P251" t="n">
        <v>0</v>
      </c>
      <c r="Q251" t="n">
        <v>0</v>
      </c>
      <c r="R251" t="n">
        <v>0</v>
      </c>
      <c r="S251" t="n">
        <v>0</v>
      </c>
      <c r="T251" t="n">
        <v>0</v>
      </c>
      <c r="U251" s="2" t="inlineStr"/>
    </row>
    <row r="252" ht="15" customHeight="1">
      <c r="A252" t="inlineStr">
        <is>
          <t>A 12218-2024</t>
        </is>
      </c>
      <c r="B252" t="inlineStr">
        <is>
          <t>avverkningsanmälan</t>
        </is>
      </c>
      <c r="C252" t="inlineStr">
        <is>
          <t>Föryngringsavverkning</t>
        </is>
      </c>
      <c r="D252" s="1" t="n">
        <v>45378</v>
      </c>
      <c r="E252" s="1" t="n">
        <v>46216</v>
      </c>
      <c r="F252" t="inlineStr">
        <is>
          <t>DALARNAS LÄN</t>
        </is>
      </c>
      <c r="G252" t="inlineStr">
        <is>
          <t>SMEDJEBACKEN</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56315-2022</t>
        </is>
      </c>
      <c r="B253" t="inlineStr">
        <is>
          <t>avverkningsanmälan</t>
        </is>
      </c>
      <c r="C253" t="inlineStr">
        <is>
          <t>Föryngringsavverkning</t>
        </is>
      </c>
      <c r="D253" s="1" t="n">
        <v>44890</v>
      </c>
      <c r="E253" s="1" t="n">
        <v>46216</v>
      </c>
      <c r="F253" t="inlineStr">
        <is>
          <t>DALARNAS LÄN</t>
        </is>
      </c>
      <c r="G253" t="inlineStr">
        <is>
          <t>SMEDJEBACKEN</t>
        </is>
      </c>
      <c r="H253" t="inlineStr">
        <is>
          <t>Kyrkan</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15321-2025</t>
        </is>
      </c>
      <c r="B254" t="inlineStr">
        <is>
          <t>avverkningsanmälan</t>
        </is>
      </c>
      <c r="C254" t="inlineStr">
        <is>
          <t>Föryngringsavverkning</t>
        </is>
      </c>
      <c r="D254" s="1" t="n">
        <v>45747</v>
      </c>
      <c r="E254" s="1" t="n">
        <v>46216</v>
      </c>
      <c r="F254" t="inlineStr">
        <is>
          <t>DALARNAS LÄN</t>
        </is>
      </c>
      <c r="G254" t="inlineStr">
        <is>
          <t>SMEDJEBACKEN</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3423-2024</t>
        </is>
      </c>
      <c r="B255" t="inlineStr">
        <is>
          <t>avverkningsanmälan</t>
        </is>
      </c>
      <c r="C255" t="inlineStr">
        <is>
          <t>Föryngringsavverkning</t>
        </is>
      </c>
      <c r="D255" s="1" t="n">
        <v>45319</v>
      </c>
      <c r="E255" s="1" t="n">
        <v>46216</v>
      </c>
      <c r="F255" t="inlineStr">
        <is>
          <t>DALARNAS LÄN</t>
        </is>
      </c>
      <c r="G255" t="inlineStr">
        <is>
          <t>SMEDJEBACKEN</t>
        </is>
      </c>
      <c r="I255" t="n">
        <v>4.3</v>
      </c>
      <c r="J255" t="n">
        <v>0</v>
      </c>
      <c r="K255" t="n">
        <v>0</v>
      </c>
      <c r="L255" t="n">
        <v>0</v>
      </c>
      <c r="M255" t="n">
        <v>0</v>
      </c>
      <c r="N255" t="n">
        <v>0</v>
      </c>
      <c r="O255" t="n">
        <v>0</v>
      </c>
      <c r="P255" t="n">
        <v>0</v>
      </c>
      <c r="Q255" t="n">
        <v>0</v>
      </c>
      <c r="R255" t="n">
        <v>0</v>
      </c>
      <c r="S255" t="n">
        <v>0</v>
      </c>
      <c r="T255" t="n">
        <v>0</v>
      </c>
      <c r="U255" s="2" t="inlineStr"/>
    </row>
    <row r="256" ht="15" customHeight="1">
      <c r="A256" t="inlineStr">
        <is>
          <t>A 36171-2025</t>
        </is>
      </c>
      <c r="B256" t="inlineStr">
        <is>
          <t>avverkningsanmälan</t>
        </is>
      </c>
      <c r="C256" t="inlineStr">
        <is>
          <t>Föryngringsavverkning</t>
        </is>
      </c>
      <c r="D256" s="1" t="n">
        <v>45867</v>
      </c>
      <c r="E256" s="1" t="n">
        <v>46216</v>
      </c>
      <c r="F256" t="inlineStr">
        <is>
          <t>DALARNAS LÄN</t>
        </is>
      </c>
      <c r="G256" t="inlineStr">
        <is>
          <t>SMEDJEBACKEN</t>
        </is>
      </c>
      <c r="I256" t="n">
        <v>3.7</v>
      </c>
      <c r="J256" t="n">
        <v>0</v>
      </c>
      <c r="K256" t="n">
        <v>0</v>
      </c>
      <c r="L256" t="n">
        <v>0</v>
      </c>
      <c r="M256" t="n">
        <v>0</v>
      </c>
      <c r="N256" t="n">
        <v>0</v>
      </c>
      <c r="O256" t="n">
        <v>0</v>
      </c>
      <c r="P256" t="n">
        <v>0</v>
      </c>
      <c r="Q256" t="n">
        <v>0</v>
      </c>
      <c r="R256" t="n">
        <v>0</v>
      </c>
      <c r="S256" t="n">
        <v>0</v>
      </c>
      <c r="T256" t="n">
        <v>0</v>
      </c>
      <c r="U256" s="2" t="inlineStr"/>
    </row>
    <row r="257" ht="15" customHeight="1">
      <c r="A257" t="inlineStr">
        <is>
          <t>A 31809-2022</t>
        </is>
      </c>
      <c r="B257" t="inlineStr">
        <is>
          <t>avverkningsanmälan</t>
        </is>
      </c>
      <c r="C257" t="inlineStr">
        <is>
          <t>Föryngringsavverkning</t>
        </is>
      </c>
      <c r="D257" s="1" t="n">
        <v>44776</v>
      </c>
      <c r="E257" s="1" t="n">
        <v>46216</v>
      </c>
      <c r="F257" t="inlineStr">
        <is>
          <t>DALARNAS LÄN</t>
        </is>
      </c>
      <c r="G257" t="inlineStr">
        <is>
          <t>SMEDJEBACKEN</t>
        </is>
      </c>
      <c r="H257" t="inlineStr">
        <is>
          <t>Bergvik skog väst AB</t>
        </is>
      </c>
      <c r="I257" t="n">
        <v>5.5</v>
      </c>
      <c r="J257" t="n">
        <v>0</v>
      </c>
      <c r="K257" t="n">
        <v>0</v>
      </c>
      <c r="L257" t="n">
        <v>0</v>
      </c>
      <c r="M257" t="n">
        <v>0</v>
      </c>
      <c r="N257" t="n">
        <v>0</v>
      </c>
      <c r="O257" t="n">
        <v>0</v>
      </c>
      <c r="P257" t="n">
        <v>0</v>
      </c>
      <c r="Q257" t="n">
        <v>0</v>
      </c>
      <c r="R257" t="n">
        <v>0</v>
      </c>
      <c r="S257" t="n">
        <v>0</v>
      </c>
      <c r="T257" t="n">
        <v>0</v>
      </c>
      <c r="U257" s="2" t="inlineStr"/>
    </row>
    <row r="258" ht="15" customHeight="1">
      <c r="A258" t="inlineStr">
        <is>
          <t>A 47805-2025</t>
        </is>
      </c>
      <c r="B258" t="inlineStr">
        <is>
          <t>avverkningsanmälan</t>
        </is>
      </c>
      <c r="C258" t="inlineStr">
        <is>
          <t>Föryngringsavverkning</t>
        </is>
      </c>
      <c r="D258" s="1" t="n">
        <v>45931</v>
      </c>
      <c r="E258" s="1" t="n">
        <v>46216</v>
      </c>
      <c r="F258" t="inlineStr">
        <is>
          <t>DALARNAS LÄN</t>
        </is>
      </c>
      <c r="G258" t="inlineStr">
        <is>
          <t>SMEDJEBACKEN</t>
        </is>
      </c>
      <c r="I258" t="n">
        <v>4.9</v>
      </c>
      <c r="J258" t="n">
        <v>0</v>
      </c>
      <c r="K258" t="n">
        <v>0</v>
      </c>
      <c r="L258" t="n">
        <v>0</v>
      </c>
      <c r="M258" t="n">
        <v>0</v>
      </c>
      <c r="N258" t="n">
        <v>0</v>
      </c>
      <c r="O258" t="n">
        <v>0</v>
      </c>
      <c r="P258" t="n">
        <v>0</v>
      </c>
      <c r="Q258" t="n">
        <v>0</v>
      </c>
      <c r="R258" t="n">
        <v>0</v>
      </c>
      <c r="S258" t="n">
        <v>0</v>
      </c>
      <c r="T258" t="n">
        <v>0</v>
      </c>
      <c r="U258" s="2" t="inlineStr"/>
    </row>
    <row r="259" ht="15" customHeight="1">
      <c r="A259" t="inlineStr">
        <is>
          <t>A 54382-2021</t>
        </is>
      </c>
      <c r="B259" t="inlineStr">
        <is>
          <t>avverkningsanmälan</t>
        </is>
      </c>
      <c r="C259" t="inlineStr">
        <is>
          <t>Föryngringsavverkning</t>
        </is>
      </c>
      <c r="D259" s="1" t="n">
        <v>44473</v>
      </c>
      <c r="E259" s="1" t="n">
        <v>46216</v>
      </c>
      <c r="F259" t="inlineStr">
        <is>
          <t>DALARNAS LÄN</t>
        </is>
      </c>
      <c r="G259" t="inlineStr">
        <is>
          <t>SMEDJEBACKEN</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34374-2022</t>
        </is>
      </c>
      <c r="B260" t="inlineStr">
        <is>
          <t>avverkningsanmälan</t>
        </is>
      </c>
      <c r="C260" t="inlineStr">
        <is>
          <t>Föryngringsavverkning</t>
        </is>
      </c>
      <c r="D260" s="1" t="n">
        <v>44792</v>
      </c>
      <c r="E260" s="1" t="n">
        <v>46216</v>
      </c>
      <c r="F260" t="inlineStr">
        <is>
          <t>DALARNAS LÄN</t>
        </is>
      </c>
      <c r="G260" t="inlineStr">
        <is>
          <t>SMEDJEBACKEN</t>
        </is>
      </c>
      <c r="H260" t="inlineStr">
        <is>
          <t>Sveaskog</t>
        </is>
      </c>
      <c r="I260" t="n">
        <v>4.9</v>
      </c>
      <c r="J260" t="n">
        <v>0</v>
      </c>
      <c r="K260" t="n">
        <v>0</v>
      </c>
      <c r="L260" t="n">
        <v>0</v>
      </c>
      <c r="M260" t="n">
        <v>0</v>
      </c>
      <c r="N260" t="n">
        <v>0</v>
      </c>
      <c r="O260" t="n">
        <v>0</v>
      </c>
      <c r="P260" t="n">
        <v>0</v>
      </c>
      <c r="Q260" t="n">
        <v>0</v>
      </c>
      <c r="R260" t="n">
        <v>0</v>
      </c>
      <c r="S260" t="n">
        <v>0</v>
      </c>
      <c r="T260" t="n">
        <v>0</v>
      </c>
      <c r="U260" s="2" t="inlineStr"/>
    </row>
    <row r="261" ht="15" customHeight="1">
      <c r="A261" t="inlineStr">
        <is>
          <t>A 33936-2024</t>
        </is>
      </c>
      <c r="B261" t="inlineStr">
        <is>
          <t>avverkningsanmälan</t>
        </is>
      </c>
      <c r="C261" t="inlineStr">
        <is>
          <t>Föryngringsavverkning</t>
        </is>
      </c>
      <c r="D261" s="1" t="n">
        <v>45522</v>
      </c>
      <c r="E261" s="1" t="n">
        <v>46216</v>
      </c>
      <c r="F261" t="inlineStr">
        <is>
          <t>DALARNAS LÄN</t>
        </is>
      </c>
      <c r="G261" t="inlineStr">
        <is>
          <t>SMEDJEBACKEN</t>
        </is>
      </c>
      <c r="H261" t="inlineStr">
        <is>
          <t>Bergvik skog väst AB</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55811-2022</t>
        </is>
      </c>
      <c r="B262" t="inlineStr">
        <is>
          <t>avverkningsanmälan</t>
        </is>
      </c>
      <c r="C262" t="inlineStr">
        <is>
          <t>Föryngringsavverkning</t>
        </is>
      </c>
      <c r="D262" s="1" t="n">
        <v>44888</v>
      </c>
      <c r="E262" s="1" t="n">
        <v>46216</v>
      </c>
      <c r="F262" t="inlineStr">
        <is>
          <t>DALARNAS LÄN</t>
        </is>
      </c>
      <c r="G262" t="inlineStr">
        <is>
          <t>SMEDJEBACKEN</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45152-2024</t>
        </is>
      </c>
      <c r="B263" t="inlineStr">
        <is>
          <t>avverkningsanmälan</t>
        </is>
      </c>
      <c r="C263" t="inlineStr">
        <is>
          <t>Föryngringsavverkning</t>
        </is>
      </c>
      <c r="D263" s="1" t="n">
        <v>45575</v>
      </c>
      <c r="E263" s="1" t="n">
        <v>46216</v>
      </c>
      <c r="F263" t="inlineStr">
        <is>
          <t>DALARNAS LÄN</t>
        </is>
      </c>
      <c r="G263" t="inlineStr">
        <is>
          <t>SMEDJEBACKEN</t>
        </is>
      </c>
      <c r="H263" t="inlineStr">
        <is>
          <t>Sveaskog</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48617-2025</t>
        </is>
      </c>
      <c r="B264" t="inlineStr">
        <is>
          <t>avverkningsanmälan</t>
        </is>
      </c>
      <c r="C264" t="inlineStr">
        <is>
          <t>Föryngringsavverkning</t>
        </is>
      </c>
      <c r="D264" s="1" t="n">
        <v>45935</v>
      </c>
      <c r="E264" s="1" t="n">
        <v>46216</v>
      </c>
      <c r="F264" t="inlineStr">
        <is>
          <t>DALARNAS LÄN</t>
        </is>
      </c>
      <c r="G264" t="inlineStr">
        <is>
          <t>SMEDJEBACKEN</t>
        </is>
      </c>
      <c r="H264" t="inlineStr">
        <is>
          <t>Bergvik skog väst AB</t>
        </is>
      </c>
      <c r="I264" t="n">
        <v>18.6</v>
      </c>
      <c r="J264" t="n">
        <v>0</v>
      </c>
      <c r="K264" t="n">
        <v>0</v>
      </c>
      <c r="L264" t="n">
        <v>0</v>
      </c>
      <c r="M264" t="n">
        <v>0</v>
      </c>
      <c r="N264" t="n">
        <v>0</v>
      </c>
      <c r="O264" t="n">
        <v>0</v>
      </c>
      <c r="P264" t="n">
        <v>0</v>
      </c>
      <c r="Q264" t="n">
        <v>0</v>
      </c>
      <c r="R264" t="n">
        <v>0</v>
      </c>
      <c r="S264" t="n">
        <v>0</v>
      </c>
      <c r="T264" t="n">
        <v>0</v>
      </c>
      <c r="U264" s="2" t="inlineStr"/>
    </row>
    <row r="265" ht="15" customHeight="1">
      <c r="A265" t="inlineStr">
        <is>
          <t>A 48481-2025</t>
        </is>
      </c>
      <c r="B265" t="inlineStr">
        <is>
          <t>avverkningsanmälan</t>
        </is>
      </c>
      <c r="C265" t="inlineStr">
        <is>
          <t>Föryngringsavverkning</t>
        </is>
      </c>
      <c r="D265" s="1" t="n">
        <v>45936</v>
      </c>
      <c r="E265" s="1" t="n">
        <v>46216</v>
      </c>
      <c r="F265" t="inlineStr">
        <is>
          <t>DALARNAS LÄN</t>
        </is>
      </c>
      <c r="G265" t="inlineStr">
        <is>
          <t>SMEDJEBACKEN</t>
        </is>
      </c>
      <c r="H265" t="inlineStr">
        <is>
          <t>Sveaskog</t>
        </is>
      </c>
      <c r="I265" t="n">
        <v>2.6</v>
      </c>
      <c r="J265" t="n">
        <v>0</v>
      </c>
      <c r="K265" t="n">
        <v>0</v>
      </c>
      <c r="L265" t="n">
        <v>0</v>
      </c>
      <c r="M265" t="n">
        <v>0</v>
      </c>
      <c r="N265" t="n">
        <v>0</v>
      </c>
      <c r="O265" t="n">
        <v>0</v>
      </c>
      <c r="P265" t="n">
        <v>0</v>
      </c>
      <c r="Q265" t="n">
        <v>0</v>
      </c>
      <c r="R265" t="n">
        <v>0</v>
      </c>
      <c r="S265" t="n">
        <v>0</v>
      </c>
      <c r="T265" t="n">
        <v>0</v>
      </c>
      <c r="U265" s="2" t="inlineStr"/>
    </row>
    <row r="266" ht="15" customHeight="1">
      <c r="A266" t="inlineStr">
        <is>
          <t>A 48476-2025</t>
        </is>
      </c>
      <c r="B266" t="inlineStr">
        <is>
          <t>avverkningsanmälan</t>
        </is>
      </c>
      <c r="C266" t="inlineStr">
        <is>
          <t>Föryngringsavverkning</t>
        </is>
      </c>
      <c r="D266" s="1" t="n">
        <v>45936</v>
      </c>
      <c r="E266" s="1" t="n">
        <v>46216</v>
      </c>
      <c r="F266" t="inlineStr">
        <is>
          <t>DALARNAS LÄN</t>
        </is>
      </c>
      <c r="G266" t="inlineStr">
        <is>
          <t>SMEDJEBACKEN</t>
        </is>
      </c>
      <c r="H266" t="inlineStr">
        <is>
          <t>Sveaskog</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48478-2025</t>
        </is>
      </c>
      <c r="B267" t="inlineStr">
        <is>
          <t>avverkningsanmälan</t>
        </is>
      </c>
      <c r="C267" t="inlineStr">
        <is>
          <t>Föryngringsavverkning</t>
        </is>
      </c>
      <c r="D267" s="1" t="n">
        <v>45936</v>
      </c>
      <c r="E267" s="1" t="n">
        <v>46216</v>
      </c>
      <c r="F267" t="inlineStr">
        <is>
          <t>DALARNAS LÄN</t>
        </is>
      </c>
      <c r="G267" t="inlineStr">
        <is>
          <t>SMEDJEBACKEN</t>
        </is>
      </c>
      <c r="H267" t="inlineStr">
        <is>
          <t>Sveaskog</t>
        </is>
      </c>
      <c r="I267" t="n">
        <v>4.4</v>
      </c>
      <c r="J267" t="n">
        <v>0</v>
      </c>
      <c r="K267" t="n">
        <v>0</v>
      </c>
      <c r="L267" t="n">
        <v>0</v>
      </c>
      <c r="M267" t="n">
        <v>0</v>
      </c>
      <c r="N267" t="n">
        <v>0</v>
      </c>
      <c r="O267" t="n">
        <v>0</v>
      </c>
      <c r="P267" t="n">
        <v>0</v>
      </c>
      <c r="Q267" t="n">
        <v>0</v>
      </c>
      <c r="R267" t="n">
        <v>0</v>
      </c>
      <c r="S267" t="n">
        <v>0</v>
      </c>
      <c r="T267" t="n">
        <v>0</v>
      </c>
      <c r="U267" s="2" t="inlineStr"/>
    </row>
    <row r="268" ht="15" customHeight="1">
      <c r="A268" t="inlineStr">
        <is>
          <t>A 48480-2025</t>
        </is>
      </c>
      <c r="B268" t="inlineStr">
        <is>
          <t>avverkningsanmälan</t>
        </is>
      </c>
      <c r="C268" t="inlineStr">
        <is>
          <t>Föryngringsavverkning</t>
        </is>
      </c>
      <c r="D268" s="1" t="n">
        <v>45936</v>
      </c>
      <c r="E268" s="1" t="n">
        <v>46216</v>
      </c>
      <c r="F268" t="inlineStr">
        <is>
          <t>DALARNAS LÄN</t>
        </is>
      </c>
      <c r="G268" t="inlineStr">
        <is>
          <t>SMEDJEBACKEN</t>
        </is>
      </c>
      <c r="H268" t="inlineStr">
        <is>
          <t>Sveaskog</t>
        </is>
      </c>
      <c r="I268" t="n">
        <v>4.7</v>
      </c>
      <c r="J268" t="n">
        <v>0</v>
      </c>
      <c r="K268" t="n">
        <v>0</v>
      </c>
      <c r="L268" t="n">
        <v>0</v>
      </c>
      <c r="M268" t="n">
        <v>0</v>
      </c>
      <c r="N268" t="n">
        <v>0</v>
      </c>
      <c r="O268" t="n">
        <v>0</v>
      </c>
      <c r="P268" t="n">
        <v>0</v>
      </c>
      <c r="Q268" t="n">
        <v>0</v>
      </c>
      <c r="R268" t="n">
        <v>0</v>
      </c>
      <c r="S268" t="n">
        <v>0</v>
      </c>
      <c r="T268" t="n">
        <v>0</v>
      </c>
      <c r="U268" s="2" t="inlineStr"/>
    </row>
    <row r="269" ht="15" customHeight="1">
      <c r="A269" t="inlineStr">
        <is>
          <t>A 26009-2022</t>
        </is>
      </c>
      <c r="B269" t="inlineStr">
        <is>
          <t>avverkningsanmälan</t>
        </is>
      </c>
      <c r="C269" t="inlineStr">
        <is>
          <t>Avverkning för att bevara och utveckla /försöksver</t>
        </is>
      </c>
      <c r="D269" s="1" t="n">
        <v>44734</v>
      </c>
      <c r="E269" s="1" t="n">
        <v>46216</v>
      </c>
      <c r="F269" t="inlineStr">
        <is>
          <t>DALARNAS LÄN</t>
        </is>
      </c>
      <c r="G269" t="inlineStr">
        <is>
          <t>SMEDJEBACKEN</t>
        </is>
      </c>
      <c r="H269" t="inlineStr">
        <is>
          <t>Sveaskog</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38803-2021</t>
        </is>
      </c>
      <c r="B270" t="inlineStr">
        <is>
          <t>avverkningsanmälan</t>
        </is>
      </c>
      <c r="C270" t="inlineStr">
        <is>
          <t>Föryngringsavverkning</t>
        </is>
      </c>
      <c r="D270" s="1" t="n">
        <v>44410</v>
      </c>
      <c r="E270" s="1" t="n">
        <v>46216</v>
      </c>
      <c r="F270" t="inlineStr">
        <is>
          <t>DALARNAS LÄN</t>
        </is>
      </c>
      <c r="G270" t="inlineStr">
        <is>
          <t>SMEDJEBACKEN</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49205-2025</t>
        </is>
      </c>
      <c r="B271" t="inlineStr">
        <is>
          <t>avverkningsanmälan</t>
        </is>
      </c>
      <c r="C271" t="inlineStr">
        <is>
          <t>Föryngringsavverkning</t>
        </is>
      </c>
      <c r="D271" s="1" t="n">
        <v>45938</v>
      </c>
      <c r="E271" s="1" t="n">
        <v>46216</v>
      </c>
      <c r="F271" t="inlineStr">
        <is>
          <t>DALARNAS LÄN</t>
        </is>
      </c>
      <c r="G271" t="inlineStr">
        <is>
          <t>SMEDJEBACKEN</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25396-2024</t>
        </is>
      </c>
      <c r="B272" t="inlineStr">
        <is>
          <t>avverkningsanmälan</t>
        </is>
      </c>
      <c r="C272" t="inlineStr">
        <is>
          <t>Föryngringsavverkning</t>
        </is>
      </c>
      <c r="D272" s="1" t="n">
        <v>45463</v>
      </c>
      <c r="E272" s="1" t="n">
        <v>46216</v>
      </c>
      <c r="F272" t="inlineStr">
        <is>
          <t>DALARNAS LÄN</t>
        </is>
      </c>
      <c r="G272" t="inlineStr">
        <is>
          <t>SMEDJEBACKEN</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16445-2024</t>
        </is>
      </c>
      <c r="B273" t="inlineStr">
        <is>
          <t>avverkningsanmälan</t>
        </is>
      </c>
      <c r="C273" t="inlineStr">
        <is>
          <t>Föryngringsavverkning</t>
        </is>
      </c>
      <c r="D273" s="1" t="n">
        <v>45407</v>
      </c>
      <c r="E273" s="1" t="n">
        <v>46216</v>
      </c>
      <c r="F273" t="inlineStr">
        <is>
          <t>DALARNAS LÄN</t>
        </is>
      </c>
      <c r="G273" t="inlineStr">
        <is>
          <t>SMEDJEBACKEN</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21626-2023</t>
        </is>
      </c>
      <c r="B274" t="inlineStr">
        <is>
          <t>avverkningsanmälan</t>
        </is>
      </c>
      <c r="C274" t="inlineStr">
        <is>
          <t>Föryngringsavverkning</t>
        </is>
      </c>
      <c r="D274" s="1" t="n">
        <v>45063</v>
      </c>
      <c r="E274" s="1" t="n">
        <v>46216</v>
      </c>
      <c r="F274" t="inlineStr">
        <is>
          <t>DALARNAS LÄN</t>
        </is>
      </c>
      <c r="G274" t="inlineStr">
        <is>
          <t>SMEDJEBACKEN</t>
        </is>
      </c>
      <c r="H274" t="inlineStr">
        <is>
          <t>Övriga Aktiebolag</t>
        </is>
      </c>
      <c r="I274" t="n">
        <v>1.7</v>
      </c>
      <c r="J274" t="n">
        <v>0</v>
      </c>
      <c r="K274" t="n">
        <v>0</v>
      </c>
      <c r="L274" t="n">
        <v>0</v>
      </c>
      <c r="M274" t="n">
        <v>0</v>
      </c>
      <c r="N274" t="n">
        <v>0</v>
      </c>
      <c r="O274" t="n">
        <v>0</v>
      </c>
      <c r="P274" t="n">
        <v>0</v>
      </c>
      <c r="Q274" t="n">
        <v>0</v>
      </c>
      <c r="R274" t="n">
        <v>0</v>
      </c>
      <c r="S274" t="n">
        <v>0</v>
      </c>
      <c r="T274" t="n">
        <v>0</v>
      </c>
      <c r="U274" s="2" t="inlineStr"/>
    </row>
    <row r="275" ht="15" customHeight="1">
      <c r="A275" t="inlineStr">
        <is>
          <t>A 50680-2025</t>
        </is>
      </c>
      <c r="B275" t="inlineStr">
        <is>
          <t>avverkningsanmälan</t>
        </is>
      </c>
      <c r="C275" t="inlineStr">
        <is>
          <t>Föryngringsavverkning</t>
        </is>
      </c>
      <c r="D275" s="1" t="n">
        <v>45945</v>
      </c>
      <c r="E275" s="1" t="n">
        <v>46216</v>
      </c>
      <c r="F275" t="inlineStr">
        <is>
          <t>DALARNAS LÄN</t>
        </is>
      </c>
      <c r="G275" t="inlineStr">
        <is>
          <t>SMEDJEBACKEN</t>
        </is>
      </c>
      <c r="H275" t="inlineStr">
        <is>
          <t>Bergvik skog väst AB</t>
        </is>
      </c>
      <c r="I275" t="n">
        <v>24.5</v>
      </c>
      <c r="J275" t="n">
        <v>0</v>
      </c>
      <c r="K275" t="n">
        <v>0</v>
      </c>
      <c r="L275" t="n">
        <v>0</v>
      </c>
      <c r="M275" t="n">
        <v>0</v>
      </c>
      <c r="N275" t="n">
        <v>0</v>
      </c>
      <c r="O275" t="n">
        <v>0</v>
      </c>
      <c r="P275" t="n">
        <v>0</v>
      </c>
      <c r="Q275" t="n">
        <v>0</v>
      </c>
      <c r="R275" t="n">
        <v>0</v>
      </c>
      <c r="S275" t="n">
        <v>0</v>
      </c>
      <c r="T275" t="n">
        <v>0</v>
      </c>
      <c r="U275" s="2" t="inlineStr"/>
    </row>
    <row r="276" ht="15" customHeight="1">
      <c r="A276" t="inlineStr">
        <is>
          <t>A 50682-2025</t>
        </is>
      </c>
      <c r="B276" t="inlineStr">
        <is>
          <t>avverkningsanmälan</t>
        </is>
      </c>
      <c r="C276" t="inlineStr">
        <is>
          <t>Föryngringsavverkning</t>
        </is>
      </c>
      <c r="D276" s="1" t="n">
        <v>45945</v>
      </c>
      <c r="E276" s="1" t="n">
        <v>46216</v>
      </c>
      <c r="F276" t="inlineStr">
        <is>
          <t>DALARNAS LÄN</t>
        </is>
      </c>
      <c r="G276" t="inlineStr">
        <is>
          <t>SMEDJEBACKEN</t>
        </is>
      </c>
      <c r="H276" t="inlineStr">
        <is>
          <t>Bergvik skog väst AB</t>
        </is>
      </c>
      <c r="I276" t="n">
        <v>17.4</v>
      </c>
      <c r="J276" t="n">
        <v>0</v>
      </c>
      <c r="K276" t="n">
        <v>0</v>
      </c>
      <c r="L276" t="n">
        <v>0</v>
      </c>
      <c r="M276" t="n">
        <v>0</v>
      </c>
      <c r="N276" t="n">
        <v>0</v>
      </c>
      <c r="O276" t="n">
        <v>0</v>
      </c>
      <c r="P276" t="n">
        <v>0</v>
      </c>
      <c r="Q276" t="n">
        <v>0</v>
      </c>
      <c r="R276" t="n">
        <v>0</v>
      </c>
      <c r="S276" t="n">
        <v>0</v>
      </c>
      <c r="T276" t="n">
        <v>0</v>
      </c>
      <c r="U276" s="2" t="inlineStr"/>
    </row>
    <row r="277" ht="15" customHeight="1">
      <c r="A277" t="inlineStr">
        <is>
          <t>A 6604-2025</t>
        </is>
      </c>
      <c r="B277" t="inlineStr">
        <is>
          <t>avverkningsanmälan</t>
        </is>
      </c>
      <c r="C277" t="inlineStr">
        <is>
          <t>Föryngringsavverkning</t>
        </is>
      </c>
      <c r="D277" s="1" t="n">
        <v>45700</v>
      </c>
      <c r="E277" s="1" t="n">
        <v>46216</v>
      </c>
      <c r="F277" t="inlineStr">
        <is>
          <t>DALARNAS LÄN</t>
        </is>
      </c>
      <c r="G277" t="inlineStr">
        <is>
          <t>SMEDJEBACKEN</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1898-2023</t>
        </is>
      </c>
      <c r="B278" t="inlineStr">
        <is>
          <t>avverkningsanmälan</t>
        </is>
      </c>
      <c r="C278" t="inlineStr">
        <is>
          <t>Föryngringsavverkning</t>
        </is>
      </c>
      <c r="D278" s="1" t="n">
        <v>44937</v>
      </c>
      <c r="E278" s="1" t="n">
        <v>46216</v>
      </c>
      <c r="F278" t="inlineStr">
        <is>
          <t>DALARNAS LÄN</t>
        </is>
      </c>
      <c r="G278" t="inlineStr">
        <is>
          <t>SMEDJEBACKEN</t>
        </is>
      </c>
      <c r="I278" t="n">
        <v>3</v>
      </c>
      <c r="J278" t="n">
        <v>0</v>
      </c>
      <c r="K278" t="n">
        <v>0</v>
      </c>
      <c r="L278" t="n">
        <v>0</v>
      </c>
      <c r="M278" t="n">
        <v>0</v>
      </c>
      <c r="N278" t="n">
        <v>0</v>
      </c>
      <c r="O278" t="n">
        <v>0</v>
      </c>
      <c r="P278" t="n">
        <v>0</v>
      </c>
      <c r="Q278" t="n">
        <v>0</v>
      </c>
      <c r="R278" t="n">
        <v>0</v>
      </c>
      <c r="S278" t="n">
        <v>0</v>
      </c>
      <c r="T278" t="n">
        <v>0</v>
      </c>
      <c r="U278" s="2" t="inlineStr"/>
    </row>
    <row r="279" ht="15" customHeight="1">
      <c r="A279" t="inlineStr">
        <is>
          <t>A 50668-2025</t>
        </is>
      </c>
      <c r="B279" t="inlineStr">
        <is>
          <t>avverkningsanmälan</t>
        </is>
      </c>
      <c r="C279" t="inlineStr">
        <is>
          <t>Föryngringsavverkning</t>
        </is>
      </c>
      <c r="D279" s="1" t="n">
        <v>45945</v>
      </c>
      <c r="E279" s="1" t="n">
        <v>46216</v>
      </c>
      <c r="F279" t="inlineStr">
        <is>
          <t>DALARNAS LÄN</t>
        </is>
      </c>
      <c r="G279" t="inlineStr">
        <is>
          <t>SMEDJEBACKEN</t>
        </is>
      </c>
      <c r="H279" t="inlineStr">
        <is>
          <t>Bergvik skog väst AB</t>
        </is>
      </c>
      <c r="I279" t="n">
        <v>14.5</v>
      </c>
      <c r="J279" t="n">
        <v>0</v>
      </c>
      <c r="K279" t="n">
        <v>0</v>
      </c>
      <c r="L279" t="n">
        <v>0</v>
      </c>
      <c r="M279" t="n">
        <v>0</v>
      </c>
      <c r="N279" t="n">
        <v>0</v>
      </c>
      <c r="O279" t="n">
        <v>0</v>
      </c>
      <c r="P279" t="n">
        <v>0</v>
      </c>
      <c r="Q279" t="n">
        <v>0</v>
      </c>
      <c r="R279" t="n">
        <v>0</v>
      </c>
      <c r="S279" t="n">
        <v>0</v>
      </c>
      <c r="T279" t="n">
        <v>0</v>
      </c>
      <c r="U279" s="2" t="inlineStr"/>
    </row>
    <row r="280" ht="15" customHeight="1">
      <c r="A280" t="inlineStr">
        <is>
          <t>A 51138-2025</t>
        </is>
      </c>
      <c r="B280" t="inlineStr">
        <is>
          <t>avverkningsanmälan</t>
        </is>
      </c>
      <c r="C280" t="inlineStr">
        <is>
          <t>Föryngringsavverkning</t>
        </is>
      </c>
      <c r="D280" s="1" t="n">
        <v>45947</v>
      </c>
      <c r="E280" s="1" t="n">
        <v>46216</v>
      </c>
      <c r="F280" t="inlineStr">
        <is>
          <t>DALARNAS LÄN</t>
        </is>
      </c>
      <c r="G280" t="inlineStr">
        <is>
          <t>SMEDJEBACKEN</t>
        </is>
      </c>
      <c r="H280" t="inlineStr">
        <is>
          <t>Sveaskog</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51151-2025</t>
        </is>
      </c>
      <c r="B281" t="inlineStr">
        <is>
          <t>avverkningsanmälan</t>
        </is>
      </c>
      <c r="C281" t="inlineStr">
        <is>
          <t>Avverkning för att bevara och utveckla /försöksver</t>
        </is>
      </c>
      <c r="D281" s="1" t="n">
        <v>45947</v>
      </c>
      <c r="E281" s="1" t="n">
        <v>46216</v>
      </c>
      <c r="F281" t="inlineStr">
        <is>
          <t>DALARNAS LÄN</t>
        </is>
      </c>
      <c r="G281" t="inlineStr">
        <is>
          <t>SMEDJEBACKEN</t>
        </is>
      </c>
      <c r="H281" t="inlineStr">
        <is>
          <t>Sveaskog</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51173-2025</t>
        </is>
      </c>
      <c r="B282" t="inlineStr">
        <is>
          <t>avverkningsanmälan</t>
        </is>
      </c>
      <c r="C282" t="inlineStr">
        <is>
          <t>Avverkning för att bevara och utveckla /försöksver</t>
        </is>
      </c>
      <c r="D282" s="1" t="n">
        <v>45947</v>
      </c>
      <c r="E282" s="1" t="n">
        <v>46216</v>
      </c>
      <c r="F282" t="inlineStr">
        <is>
          <t>DALARNAS LÄN</t>
        </is>
      </c>
      <c r="G282" t="inlineStr">
        <is>
          <t>SMEDJEBACKEN</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2765-2026</t>
        </is>
      </c>
      <c r="B283" t="inlineStr">
        <is>
          <t>avverkningsanmälan</t>
        </is>
      </c>
      <c r="C283" t="inlineStr">
        <is>
          <t>Föryngringsavverkning</t>
        </is>
      </c>
      <c r="D283" s="1" t="n">
        <v>46038</v>
      </c>
      <c r="E283" s="1" t="n">
        <v>46216</v>
      </c>
      <c r="F283" t="inlineStr">
        <is>
          <t>DALARNAS LÄN</t>
        </is>
      </c>
      <c r="G283" t="inlineStr">
        <is>
          <t>SMEDJEBACKEN</t>
        </is>
      </c>
      <c r="I283" t="n">
        <v>3.9</v>
      </c>
      <c r="J283" t="n">
        <v>0</v>
      </c>
      <c r="K283" t="n">
        <v>0</v>
      </c>
      <c r="L283" t="n">
        <v>0</v>
      </c>
      <c r="M283" t="n">
        <v>0</v>
      </c>
      <c r="N283" t="n">
        <v>0</v>
      </c>
      <c r="O283" t="n">
        <v>0</v>
      </c>
      <c r="P283" t="n">
        <v>0</v>
      </c>
      <c r="Q283" t="n">
        <v>0</v>
      </c>
      <c r="R283" t="n">
        <v>0</v>
      </c>
      <c r="S283" t="n">
        <v>0</v>
      </c>
      <c r="T283" t="n">
        <v>0</v>
      </c>
      <c r="U283" s="2" t="inlineStr"/>
    </row>
    <row r="284" ht="15" customHeight="1">
      <c r="A284" t="inlineStr">
        <is>
          <t>A 21443-2023</t>
        </is>
      </c>
      <c r="B284" t="inlineStr">
        <is>
          <t>avverkningsanmälan</t>
        </is>
      </c>
      <c r="C284" t="inlineStr">
        <is>
          <t>Föryngringsavverkning</t>
        </is>
      </c>
      <c r="D284" s="1" t="n">
        <v>45063</v>
      </c>
      <c r="E284" s="1" t="n">
        <v>46216</v>
      </c>
      <c r="F284" t="inlineStr">
        <is>
          <t>DALARNAS LÄN</t>
        </is>
      </c>
      <c r="G284" t="inlineStr">
        <is>
          <t>SMEDJEBACKEN</t>
        </is>
      </c>
      <c r="H284" t="inlineStr">
        <is>
          <t>Bergvik skog väst AB</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50779-2025</t>
        </is>
      </c>
      <c r="B285" t="inlineStr">
        <is>
          <t>avverkningsanmälan</t>
        </is>
      </c>
      <c r="C285" t="inlineStr">
        <is>
          <t>Föryngringsavverkning</t>
        </is>
      </c>
      <c r="D285" s="1" t="n">
        <v>45946</v>
      </c>
      <c r="E285" s="1" t="n">
        <v>46216</v>
      </c>
      <c r="F285" t="inlineStr">
        <is>
          <t>DALARNAS LÄN</t>
        </is>
      </c>
      <c r="G285" t="inlineStr">
        <is>
          <t>SMEDJEBACKEN</t>
        </is>
      </c>
      <c r="H285" t="inlineStr">
        <is>
          <t>Sveaskog</t>
        </is>
      </c>
      <c r="I285" t="n">
        <v>6.5</v>
      </c>
      <c r="J285" t="n">
        <v>0</v>
      </c>
      <c r="K285" t="n">
        <v>0</v>
      </c>
      <c r="L285" t="n">
        <v>0</v>
      </c>
      <c r="M285" t="n">
        <v>0</v>
      </c>
      <c r="N285" t="n">
        <v>0</v>
      </c>
      <c r="O285" t="n">
        <v>0</v>
      </c>
      <c r="P285" t="n">
        <v>0</v>
      </c>
      <c r="Q285" t="n">
        <v>0</v>
      </c>
      <c r="R285" t="n">
        <v>0</v>
      </c>
      <c r="S285" t="n">
        <v>0</v>
      </c>
      <c r="T285" t="n">
        <v>0</v>
      </c>
      <c r="U285" s="2" t="inlineStr"/>
    </row>
    <row r="286" ht="15" customHeight="1">
      <c r="A286" t="inlineStr">
        <is>
          <t>A 51051-2025</t>
        </is>
      </c>
      <c r="B286" t="inlineStr">
        <is>
          <t>avverkningsanmälan</t>
        </is>
      </c>
      <c r="C286" t="inlineStr">
        <is>
          <t>Avverkning för att bevara och utveckla /försöksver</t>
        </is>
      </c>
      <c r="D286" s="1" t="n">
        <v>45947</v>
      </c>
      <c r="E286" s="1" t="n">
        <v>46216</v>
      </c>
      <c r="F286" t="inlineStr">
        <is>
          <t>DALARNAS LÄN</t>
        </is>
      </c>
      <c r="G286" t="inlineStr">
        <is>
          <t>SMEDJEBACKEN</t>
        </is>
      </c>
      <c r="H286" t="inlineStr">
        <is>
          <t>Sveaskog</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51063-2025</t>
        </is>
      </c>
      <c r="B287" t="inlineStr">
        <is>
          <t>avverkningsanmälan</t>
        </is>
      </c>
      <c r="C287" t="inlineStr">
        <is>
          <t>Avverkning för att bevara och utveckla /försöksver</t>
        </is>
      </c>
      <c r="D287" s="1" t="n">
        <v>45947</v>
      </c>
      <c r="E287" s="1" t="n">
        <v>46216</v>
      </c>
      <c r="F287" t="inlineStr">
        <is>
          <t>DALARNAS LÄN</t>
        </is>
      </c>
      <c r="G287" t="inlineStr">
        <is>
          <t>SMEDJEBACKEN</t>
        </is>
      </c>
      <c r="H287" t="inlineStr">
        <is>
          <t>Sveaskog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51071-2025</t>
        </is>
      </c>
      <c r="B288" t="inlineStr">
        <is>
          <t>avverkningsanmälan</t>
        </is>
      </c>
      <c r="C288" t="inlineStr">
        <is>
          <t>Avverkning för att bevara och utveckla /försöksver</t>
        </is>
      </c>
      <c r="D288" s="1" t="n">
        <v>45947</v>
      </c>
      <c r="E288" s="1" t="n">
        <v>46216</v>
      </c>
      <c r="F288" t="inlineStr">
        <is>
          <t>DALARNAS LÄN</t>
        </is>
      </c>
      <c r="G288" t="inlineStr">
        <is>
          <t>SMEDJEBACKEN</t>
        </is>
      </c>
      <c r="H288" t="inlineStr">
        <is>
          <t>Sveaskog</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51053-2025</t>
        </is>
      </c>
      <c r="B289" t="inlineStr">
        <is>
          <t>avverkningsanmälan</t>
        </is>
      </c>
      <c r="C289" t="inlineStr">
        <is>
          <t>Föryngringsavverkning</t>
        </is>
      </c>
      <c r="D289" s="1" t="n">
        <v>45947</v>
      </c>
      <c r="E289" s="1" t="n">
        <v>46216</v>
      </c>
      <c r="F289" t="inlineStr">
        <is>
          <t>DALARNAS LÄN</t>
        </is>
      </c>
      <c r="G289" t="inlineStr">
        <is>
          <t>SMEDJEBACKEN</t>
        </is>
      </c>
      <c r="H289" t="inlineStr">
        <is>
          <t>Sveaskog</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51054-2025</t>
        </is>
      </c>
      <c r="B290" t="inlineStr">
        <is>
          <t>avverkningsanmälan</t>
        </is>
      </c>
      <c r="C290" t="inlineStr">
        <is>
          <t>Föryngringsavverkning</t>
        </is>
      </c>
      <c r="D290" s="1" t="n">
        <v>45947</v>
      </c>
      <c r="E290" s="1" t="n">
        <v>46216</v>
      </c>
      <c r="F290" t="inlineStr">
        <is>
          <t>DALARNAS LÄN</t>
        </is>
      </c>
      <c r="G290" t="inlineStr">
        <is>
          <t>SMEDJEBACKEN</t>
        </is>
      </c>
      <c r="H290" t="inlineStr">
        <is>
          <t>Sveaskog</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51444-2025</t>
        </is>
      </c>
      <c r="B291" t="inlineStr">
        <is>
          <t>avverkningsanmälan</t>
        </is>
      </c>
      <c r="C291" t="inlineStr">
        <is>
          <t>Föryngringsavverkning</t>
        </is>
      </c>
      <c r="D291" s="1" t="n">
        <v>45950</v>
      </c>
      <c r="E291" s="1" t="n">
        <v>46216</v>
      </c>
      <c r="F291" t="inlineStr">
        <is>
          <t>DALARNAS LÄN</t>
        </is>
      </c>
      <c r="G291" t="inlineStr">
        <is>
          <t>SMEDJEBACKEN</t>
        </is>
      </c>
      <c r="H291" t="inlineStr">
        <is>
          <t>Bergvik skog väst AB</t>
        </is>
      </c>
      <c r="I291" t="n">
        <v>2.8</v>
      </c>
      <c r="J291" t="n">
        <v>0</v>
      </c>
      <c r="K291" t="n">
        <v>0</v>
      </c>
      <c r="L291" t="n">
        <v>0</v>
      </c>
      <c r="M291" t="n">
        <v>0</v>
      </c>
      <c r="N291" t="n">
        <v>0</v>
      </c>
      <c r="O291" t="n">
        <v>0</v>
      </c>
      <c r="P291" t="n">
        <v>0</v>
      </c>
      <c r="Q291" t="n">
        <v>0</v>
      </c>
      <c r="R291" t="n">
        <v>0</v>
      </c>
      <c r="S291" t="n">
        <v>0</v>
      </c>
      <c r="T291" t="n">
        <v>0</v>
      </c>
      <c r="U291" s="2" t="inlineStr"/>
    </row>
    <row r="292" ht="15" customHeight="1">
      <c r="A292" t="inlineStr">
        <is>
          <t>A 25809-2024</t>
        </is>
      </c>
      <c r="B292" t="inlineStr">
        <is>
          <t>avverkningsanmälan</t>
        </is>
      </c>
      <c r="C292" t="inlineStr">
        <is>
          <t>Föryngringsavverkning</t>
        </is>
      </c>
      <c r="D292" s="1" t="n">
        <v>45467</v>
      </c>
      <c r="E292" s="1" t="n">
        <v>46216</v>
      </c>
      <c r="F292" t="inlineStr">
        <is>
          <t>DALARNAS LÄN</t>
        </is>
      </c>
      <c r="G292" t="inlineStr">
        <is>
          <t>SMEDJEBACKEN</t>
        </is>
      </c>
      <c r="H292" t="inlineStr">
        <is>
          <t>Sveaskog</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18909-2024</t>
        </is>
      </c>
      <c r="B293" t="inlineStr">
        <is>
          <t>avverkningsanmälan</t>
        </is>
      </c>
      <c r="C293" t="inlineStr">
        <is>
          <t>Föryngringsavverkning</t>
        </is>
      </c>
      <c r="D293" s="1" t="n">
        <v>45427</v>
      </c>
      <c r="E293" s="1" t="n">
        <v>46216</v>
      </c>
      <c r="F293" t="inlineStr">
        <is>
          <t>DALARNAS LÄN</t>
        </is>
      </c>
      <c r="G293" t="inlineStr">
        <is>
          <t>SMEDJEBACKEN</t>
        </is>
      </c>
      <c r="H293" t="inlineStr">
        <is>
          <t>Sveaskog</t>
        </is>
      </c>
      <c r="I293" t="n">
        <v>4</v>
      </c>
      <c r="J293" t="n">
        <v>0</v>
      </c>
      <c r="K293" t="n">
        <v>0</v>
      </c>
      <c r="L293" t="n">
        <v>0</v>
      </c>
      <c r="M293" t="n">
        <v>0</v>
      </c>
      <c r="N293" t="n">
        <v>0</v>
      </c>
      <c r="O293" t="n">
        <v>0</v>
      </c>
      <c r="P293" t="n">
        <v>0</v>
      </c>
      <c r="Q293" t="n">
        <v>0</v>
      </c>
      <c r="R293" t="n">
        <v>0</v>
      </c>
      <c r="S293" t="n">
        <v>0</v>
      </c>
      <c r="T293" t="n">
        <v>0</v>
      </c>
      <c r="U293" s="2" t="inlineStr"/>
    </row>
    <row r="294" ht="15" customHeight="1">
      <c r="A294" t="inlineStr">
        <is>
          <t>A 51443-2025</t>
        </is>
      </c>
      <c r="B294" t="inlineStr">
        <is>
          <t>avverkningsanmälan</t>
        </is>
      </c>
      <c r="C294" t="inlineStr">
        <is>
          <t>Föryngringsavverkning</t>
        </is>
      </c>
      <c r="D294" s="1" t="n">
        <v>45950</v>
      </c>
      <c r="E294" s="1" t="n">
        <v>46216</v>
      </c>
      <c r="F294" t="inlineStr">
        <is>
          <t>DALARNAS LÄN</t>
        </is>
      </c>
      <c r="G294" t="inlineStr">
        <is>
          <t>SMEDJEBACKEN</t>
        </is>
      </c>
      <c r="H294" t="inlineStr">
        <is>
          <t>Bergvik skog väst AB</t>
        </is>
      </c>
      <c r="I294" t="n">
        <v>5.2</v>
      </c>
      <c r="J294" t="n">
        <v>0</v>
      </c>
      <c r="K294" t="n">
        <v>0</v>
      </c>
      <c r="L294" t="n">
        <v>0</v>
      </c>
      <c r="M294" t="n">
        <v>0</v>
      </c>
      <c r="N294" t="n">
        <v>0</v>
      </c>
      <c r="O294" t="n">
        <v>0</v>
      </c>
      <c r="P294" t="n">
        <v>0</v>
      </c>
      <c r="Q294" t="n">
        <v>0</v>
      </c>
      <c r="R294" t="n">
        <v>0</v>
      </c>
      <c r="S294" t="n">
        <v>0</v>
      </c>
      <c r="T294" t="n">
        <v>0</v>
      </c>
      <c r="U294" s="2" t="inlineStr"/>
    </row>
    <row r="295" ht="15" customHeight="1">
      <c r="A295" t="inlineStr">
        <is>
          <t>A 51456-2025</t>
        </is>
      </c>
      <c r="B295" t="inlineStr">
        <is>
          <t>avverkningsanmälan</t>
        </is>
      </c>
      <c r="C295" t="inlineStr">
        <is>
          <t>Föryngringsavverkning</t>
        </is>
      </c>
      <c r="D295" s="1" t="n">
        <v>45950</v>
      </c>
      <c r="E295" s="1" t="n">
        <v>46216</v>
      </c>
      <c r="F295" t="inlineStr">
        <is>
          <t>DALARNAS LÄN</t>
        </is>
      </c>
      <c r="G295" t="inlineStr">
        <is>
          <t>SMEDJEBACKEN</t>
        </is>
      </c>
      <c r="H295" t="inlineStr">
        <is>
          <t>Bergvik skog väst AB</t>
        </is>
      </c>
      <c r="I295" t="n">
        <v>6.1</v>
      </c>
      <c r="J295" t="n">
        <v>0</v>
      </c>
      <c r="K295" t="n">
        <v>0</v>
      </c>
      <c r="L295" t="n">
        <v>0</v>
      </c>
      <c r="M295" t="n">
        <v>0</v>
      </c>
      <c r="N295" t="n">
        <v>0</v>
      </c>
      <c r="O295" t="n">
        <v>0</v>
      </c>
      <c r="P295" t="n">
        <v>0</v>
      </c>
      <c r="Q295" t="n">
        <v>0</v>
      </c>
      <c r="R295" t="n">
        <v>0</v>
      </c>
      <c r="S295" t="n">
        <v>0</v>
      </c>
      <c r="T295" t="n">
        <v>0</v>
      </c>
      <c r="U295" s="2" t="inlineStr"/>
    </row>
    <row r="296" ht="15" customHeight="1">
      <c r="A296" t="inlineStr">
        <is>
          <t>A 56012-2021</t>
        </is>
      </c>
      <c r="B296" t="inlineStr">
        <is>
          <t>avverkningsanmälan</t>
        </is>
      </c>
      <c r="C296" t="inlineStr">
        <is>
          <t>Föryngringsavverkning</t>
        </is>
      </c>
      <c r="D296" s="1" t="n">
        <v>44477</v>
      </c>
      <c r="E296" s="1" t="n">
        <v>46216</v>
      </c>
      <c r="F296" t="inlineStr">
        <is>
          <t>DALARNAS LÄN</t>
        </is>
      </c>
      <c r="G296" t="inlineStr">
        <is>
          <t>SMEDJEBACKEN</t>
        </is>
      </c>
      <c r="H296" t="inlineStr">
        <is>
          <t>Bergvik skog väst AB</t>
        </is>
      </c>
      <c r="I296" t="n">
        <v>3.1</v>
      </c>
      <c r="J296" t="n">
        <v>0</v>
      </c>
      <c r="K296" t="n">
        <v>0</v>
      </c>
      <c r="L296" t="n">
        <v>0</v>
      </c>
      <c r="M296" t="n">
        <v>0</v>
      </c>
      <c r="N296" t="n">
        <v>0</v>
      </c>
      <c r="O296" t="n">
        <v>0</v>
      </c>
      <c r="P296" t="n">
        <v>0</v>
      </c>
      <c r="Q296" t="n">
        <v>0</v>
      </c>
      <c r="R296" t="n">
        <v>0</v>
      </c>
      <c r="S296" t="n">
        <v>0</v>
      </c>
      <c r="T296" t="n">
        <v>0</v>
      </c>
      <c r="U296" s="2" t="inlineStr"/>
    </row>
    <row r="297" ht="15" customHeight="1">
      <c r="A297" t="inlineStr">
        <is>
          <t>A 51555-2025</t>
        </is>
      </c>
      <c r="B297" t="inlineStr">
        <is>
          <t>avverkningsanmälan</t>
        </is>
      </c>
      <c r="C297" t="inlineStr">
        <is>
          <t>Föryngringsavverkning</t>
        </is>
      </c>
      <c r="D297" s="1" t="n">
        <v>45950</v>
      </c>
      <c r="E297" s="1" t="n">
        <v>46216</v>
      </c>
      <c r="F297" t="inlineStr">
        <is>
          <t>DALARNAS LÄN</t>
        </is>
      </c>
      <c r="G297" t="inlineStr">
        <is>
          <t>SMEDJEBACKEN</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52713-2025</t>
        </is>
      </c>
      <c r="B298" t="inlineStr">
        <is>
          <t>avverkningsanmälan</t>
        </is>
      </c>
      <c r="C298" t="inlineStr">
        <is>
          <t>Föryngringsavverkning</t>
        </is>
      </c>
      <c r="D298" s="1" t="n">
        <v>45953</v>
      </c>
      <c r="E298" s="1" t="n">
        <v>46216</v>
      </c>
      <c r="F298" t="inlineStr">
        <is>
          <t>DALARNAS LÄN</t>
        </is>
      </c>
      <c r="G298" t="inlineStr">
        <is>
          <t>SMEDJEBACKEN</t>
        </is>
      </c>
      <c r="H298" t="inlineStr">
        <is>
          <t>Bergvik skog väst AB</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26439-2024</t>
        </is>
      </c>
      <c r="B299" t="inlineStr">
        <is>
          <t>avverkningsanmälan</t>
        </is>
      </c>
      <c r="C299" t="inlineStr">
        <is>
          <t>Föryngringsavverkning</t>
        </is>
      </c>
      <c r="D299" s="1" t="n">
        <v>45469</v>
      </c>
      <c r="E299" s="1" t="n">
        <v>46216</v>
      </c>
      <c r="F299" t="inlineStr">
        <is>
          <t>DALARNAS LÄN</t>
        </is>
      </c>
      <c r="G299" t="inlineStr">
        <is>
          <t>SMEDJEBACKEN</t>
        </is>
      </c>
      <c r="H299" t="inlineStr">
        <is>
          <t>Bergvik skog väst AB</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52000-2025</t>
        </is>
      </c>
      <c r="B300" t="inlineStr">
        <is>
          <t>avverkningsanmälan</t>
        </is>
      </c>
      <c r="C300" t="inlineStr">
        <is>
          <t>Föryngringsavverkning</t>
        </is>
      </c>
      <c r="D300" s="1" t="n">
        <v>45952</v>
      </c>
      <c r="E300" s="1" t="n">
        <v>46216</v>
      </c>
      <c r="F300" t="inlineStr">
        <is>
          <t>DALARNAS LÄN</t>
        </is>
      </c>
      <c r="G300" t="inlineStr">
        <is>
          <t>SMEDJEBACKEN</t>
        </is>
      </c>
      <c r="H300" t="inlineStr">
        <is>
          <t>Sveaskog</t>
        </is>
      </c>
      <c r="I300" t="n">
        <v>4.7</v>
      </c>
      <c r="J300" t="n">
        <v>0</v>
      </c>
      <c r="K300" t="n">
        <v>0</v>
      </c>
      <c r="L300" t="n">
        <v>0</v>
      </c>
      <c r="M300" t="n">
        <v>0</v>
      </c>
      <c r="N300" t="n">
        <v>0</v>
      </c>
      <c r="O300" t="n">
        <v>0</v>
      </c>
      <c r="P300" t="n">
        <v>0</v>
      </c>
      <c r="Q300" t="n">
        <v>0</v>
      </c>
      <c r="R300" t="n">
        <v>0</v>
      </c>
      <c r="S300" t="n">
        <v>0</v>
      </c>
      <c r="T300" t="n">
        <v>0</v>
      </c>
      <c r="U300" s="2" t="inlineStr"/>
    </row>
    <row r="301" ht="15" customHeight="1">
      <c r="A301" t="inlineStr">
        <is>
          <t>A 52004-2025</t>
        </is>
      </c>
      <c r="B301" t="inlineStr">
        <is>
          <t>avverkningsanmälan</t>
        </is>
      </c>
      <c r="C301" t="inlineStr">
        <is>
          <t>Föryngringsavverkning</t>
        </is>
      </c>
      <c r="D301" s="1" t="n">
        <v>45952</v>
      </c>
      <c r="E301" s="1" t="n">
        <v>46216</v>
      </c>
      <c r="F301" t="inlineStr">
        <is>
          <t>DALARNAS LÄN</t>
        </is>
      </c>
      <c r="G301" t="inlineStr">
        <is>
          <t>SMEDJEBACKEN</t>
        </is>
      </c>
      <c r="H301" t="inlineStr">
        <is>
          <t>Sveaskog</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4466-2026</t>
        </is>
      </c>
      <c r="B302" t="inlineStr">
        <is>
          <t>avverkningsanmälan</t>
        </is>
      </c>
      <c r="C302" t="inlineStr">
        <is>
          <t>Föryngringsavverkning</t>
        </is>
      </c>
      <c r="D302" s="1" t="n">
        <v>46045</v>
      </c>
      <c r="E302" s="1" t="n">
        <v>46216</v>
      </c>
      <c r="F302" t="inlineStr">
        <is>
          <t>DALARNAS LÄN</t>
        </is>
      </c>
      <c r="G302" t="inlineStr">
        <is>
          <t>SMEDJEBACKEN</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33960-2023</t>
        </is>
      </c>
      <c r="B303" t="inlineStr">
        <is>
          <t>avverkningsanmälan</t>
        </is>
      </c>
      <c r="C303" t="inlineStr">
        <is>
          <t>Avverkning för annat ändamål</t>
        </is>
      </c>
      <c r="D303" s="1" t="n">
        <v>45124</v>
      </c>
      <c r="E303" s="1" t="n">
        <v>46216</v>
      </c>
      <c r="F303" t="inlineStr">
        <is>
          <t>DALARNAS LÄN</t>
        </is>
      </c>
      <c r="G303" t="inlineStr">
        <is>
          <t>SMEDJEBACKEN</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52968-2025</t>
        </is>
      </c>
      <c r="B304" t="inlineStr">
        <is>
          <t>avverkningsanmälan</t>
        </is>
      </c>
      <c r="C304" t="inlineStr">
        <is>
          <t>Föryngringsavverkning</t>
        </is>
      </c>
      <c r="D304" s="1" t="n">
        <v>45957</v>
      </c>
      <c r="E304" s="1" t="n">
        <v>46216</v>
      </c>
      <c r="F304" t="inlineStr">
        <is>
          <t>DALARNAS LÄN</t>
        </is>
      </c>
      <c r="G304" t="inlineStr">
        <is>
          <t>SMEDJEBACKEN</t>
        </is>
      </c>
      <c r="H304" t="inlineStr">
        <is>
          <t>Sveaskog</t>
        </is>
      </c>
      <c r="I304" t="n">
        <v>3.6</v>
      </c>
      <c r="J304" t="n">
        <v>0</v>
      </c>
      <c r="K304" t="n">
        <v>0</v>
      </c>
      <c r="L304" t="n">
        <v>0</v>
      </c>
      <c r="M304" t="n">
        <v>0</v>
      </c>
      <c r="N304" t="n">
        <v>0</v>
      </c>
      <c r="O304" t="n">
        <v>0</v>
      </c>
      <c r="P304" t="n">
        <v>0</v>
      </c>
      <c r="Q304" t="n">
        <v>0</v>
      </c>
      <c r="R304" t="n">
        <v>0</v>
      </c>
      <c r="S304" t="n">
        <v>0</v>
      </c>
      <c r="T304" t="n">
        <v>0</v>
      </c>
      <c r="U304" s="2" t="inlineStr"/>
    </row>
    <row r="305" ht="15" customHeight="1">
      <c r="A305" t="inlineStr">
        <is>
          <t>A 60025-2024</t>
        </is>
      </c>
      <c r="B305" t="inlineStr">
        <is>
          <t>avverkningsanmälan</t>
        </is>
      </c>
      <c r="C305" t="inlineStr">
        <is>
          <t>Föryngringsavverkning</t>
        </is>
      </c>
      <c r="D305" s="1" t="n">
        <v>45642</v>
      </c>
      <c r="E305" s="1" t="n">
        <v>46216</v>
      </c>
      <c r="F305" t="inlineStr">
        <is>
          <t>DALARNAS LÄN</t>
        </is>
      </c>
      <c r="G305" t="inlineStr">
        <is>
          <t>SMEDJEBACKEN</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38440-2023</t>
        </is>
      </c>
      <c r="B306" t="inlineStr">
        <is>
          <t>avverkningsanmälan</t>
        </is>
      </c>
      <c r="C306" t="inlineStr">
        <is>
          <t>Föryngringsavverkning</t>
        </is>
      </c>
      <c r="D306" s="1" t="n">
        <v>45162</v>
      </c>
      <c r="E306" s="1" t="n">
        <v>46216</v>
      </c>
      <c r="F306" t="inlineStr">
        <is>
          <t>DALARNAS LÄN</t>
        </is>
      </c>
      <c r="G306" t="inlineStr">
        <is>
          <t>SMEDJEBACKEN</t>
        </is>
      </c>
      <c r="I306" t="n">
        <v>7.3</v>
      </c>
      <c r="J306" t="n">
        <v>0</v>
      </c>
      <c r="K306" t="n">
        <v>0</v>
      </c>
      <c r="L306" t="n">
        <v>0</v>
      </c>
      <c r="M306" t="n">
        <v>0</v>
      </c>
      <c r="N306" t="n">
        <v>0</v>
      </c>
      <c r="O306" t="n">
        <v>0</v>
      </c>
      <c r="P306" t="n">
        <v>0</v>
      </c>
      <c r="Q306" t="n">
        <v>0</v>
      </c>
      <c r="R306" t="n">
        <v>0</v>
      </c>
      <c r="S306" t="n">
        <v>0</v>
      </c>
      <c r="T306" t="n">
        <v>0</v>
      </c>
      <c r="U306" s="2" t="inlineStr"/>
    </row>
    <row r="307" ht="15" customHeight="1">
      <c r="A307" t="inlineStr">
        <is>
          <t>A 45214-2025</t>
        </is>
      </c>
      <c r="B307" t="inlineStr">
        <is>
          <t>avverkningsanmälan</t>
        </is>
      </c>
      <c r="C307" t="inlineStr">
        <is>
          <t>Föryngringsavverkning</t>
        </is>
      </c>
      <c r="D307" s="1" t="n">
        <v>45919</v>
      </c>
      <c r="E307" s="1" t="n">
        <v>46216</v>
      </c>
      <c r="F307" t="inlineStr">
        <is>
          <t>DALARNAS LÄN</t>
        </is>
      </c>
      <c r="G307" t="inlineStr">
        <is>
          <t>SMEDJEBACKEN</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52610-2025</t>
        </is>
      </c>
      <c r="B308" t="inlineStr">
        <is>
          <t>avverkningsanmälan</t>
        </is>
      </c>
      <c r="C308" t="inlineStr">
        <is>
          <t>Föryngringsavverkning</t>
        </is>
      </c>
      <c r="D308" s="1" t="n">
        <v>45954</v>
      </c>
      <c r="E308" s="1" t="n">
        <v>46216</v>
      </c>
      <c r="F308" t="inlineStr">
        <is>
          <t>DALARNAS LÄN</t>
        </is>
      </c>
      <c r="G308" t="inlineStr">
        <is>
          <t>SMEDJEBACKEN</t>
        </is>
      </c>
      <c r="I308" t="n">
        <v>5.5</v>
      </c>
      <c r="J308" t="n">
        <v>0</v>
      </c>
      <c r="K308" t="n">
        <v>0</v>
      </c>
      <c r="L308" t="n">
        <v>0</v>
      </c>
      <c r="M308" t="n">
        <v>0</v>
      </c>
      <c r="N308" t="n">
        <v>0</v>
      </c>
      <c r="O308" t="n">
        <v>0</v>
      </c>
      <c r="P308" t="n">
        <v>0</v>
      </c>
      <c r="Q308" t="n">
        <v>0</v>
      </c>
      <c r="R308" t="n">
        <v>0</v>
      </c>
      <c r="S308" t="n">
        <v>0</v>
      </c>
      <c r="T308" t="n">
        <v>0</v>
      </c>
      <c r="U308" s="2" t="inlineStr"/>
    </row>
    <row r="309" ht="15" customHeight="1">
      <c r="A309" t="inlineStr">
        <is>
          <t>A 53285-2025</t>
        </is>
      </c>
      <c r="B309" t="inlineStr">
        <is>
          <t>avverkningsanmälan</t>
        </is>
      </c>
      <c r="C309" t="inlineStr">
        <is>
          <t>Föryngringsavverkning</t>
        </is>
      </c>
      <c r="D309" s="1" t="n">
        <v>45958</v>
      </c>
      <c r="E309" s="1" t="n">
        <v>46216</v>
      </c>
      <c r="F309" t="inlineStr">
        <is>
          <t>DALARNAS LÄN</t>
        </is>
      </c>
      <c r="G309" t="inlineStr">
        <is>
          <t>SMEDJEBACKEN</t>
        </is>
      </c>
      <c r="H309" t="inlineStr">
        <is>
          <t>Bergvik skog väst AB</t>
        </is>
      </c>
      <c r="I309" t="n">
        <v>4.6</v>
      </c>
      <c r="J309" t="n">
        <v>0</v>
      </c>
      <c r="K309" t="n">
        <v>0</v>
      </c>
      <c r="L309" t="n">
        <v>0</v>
      </c>
      <c r="M309" t="n">
        <v>0</v>
      </c>
      <c r="N309" t="n">
        <v>0</v>
      </c>
      <c r="O309" t="n">
        <v>0</v>
      </c>
      <c r="P309" t="n">
        <v>0</v>
      </c>
      <c r="Q309" t="n">
        <v>0</v>
      </c>
      <c r="R309" t="n">
        <v>0</v>
      </c>
      <c r="S309" t="n">
        <v>0</v>
      </c>
      <c r="T309" t="n">
        <v>0</v>
      </c>
      <c r="U309" s="2" t="inlineStr"/>
    </row>
    <row r="310" ht="15" customHeight="1">
      <c r="A310" t="inlineStr">
        <is>
          <t>A 53769-2025</t>
        </is>
      </c>
      <c r="B310" t="inlineStr">
        <is>
          <t>avverkningsanmälan</t>
        </is>
      </c>
      <c r="C310" t="inlineStr">
        <is>
          <t>Föryngringsavverkning</t>
        </is>
      </c>
      <c r="D310" s="1" t="n">
        <v>45960</v>
      </c>
      <c r="E310" s="1" t="n">
        <v>46216</v>
      </c>
      <c r="F310" t="inlineStr">
        <is>
          <t>DALARNAS LÄN</t>
        </is>
      </c>
      <c r="G310" t="inlineStr">
        <is>
          <t>SMEDJEBACKEN</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24426-2023</t>
        </is>
      </c>
      <c r="B311" t="inlineStr">
        <is>
          <t>avverkningsanmälan</t>
        </is>
      </c>
      <c r="C311" t="inlineStr">
        <is>
          <t>Föryngringsavverkning</t>
        </is>
      </c>
      <c r="D311" s="1" t="n">
        <v>45082</v>
      </c>
      <c r="E311" s="1" t="n">
        <v>46216</v>
      </c>
      <c r="F311" t="inlineStr">
        <is>
          <t>DALARNAS LÄN</t>
        </is>
      </c>
      <c r="G311" t="inlineStr">
        <is>
          <t>SMEDJEBACKEN</t>
        </is>
      </c>
      <c r="I311" t="n">
        <v>2.7</v>
      </c>
      <c r="J311" t="n">
        <v>0</v>
      </c>
      <c r="K311" t="n">
        <v>0</v>
      </c>
      <c r="L311" t="n">
        <v>0</v>
      </c>
      <c r="M311" t="n">
        <v>0</v>
      </c>
      <c r="N311" t="n">
        <v>0</v>
      </c>
      <c r="O311" t="n">
        <v>0</v>
      </c>
      <c r="P311" t="n">
        <v>0</v>
      </c>
      <c r="Q311" t="n">
        <v>0</v>
      </c>
      <c r="R311" t="n">
        <v>0</v>
      </c>
      <c r="S311" t="n">
        <v>0</v>
      </c>
      <c r="T311" t="n">
        <v>0</v>
      </c>
      <c r="U311" s="2" t="inlineStr"/>
    </row>
    <row r="312" ht="15" customHeight="1">
      <c r="A312" t="inlineStr">
        <is>
          <t>A 38755-2025</t>
        </is>
      </c>
      <c r="B312" t="inlineStr">
        <is>
          <t>avverkningsanmälan</t>
        </is>
      </c>
      <c r="C312" t="inlineStr">
        <is>
          <t>Föryngringsavverkning</t>
        </is>
      </c>
      <c r="D312" s="1" t="n">
        <v>45887</v>
      </c>
      <c r="E312" s="1" t="n">
        <v>46216</v>
      </c>
      <c r="F312" t="inlineStr">
        <is>
          <t>DALARNAS LÄN</t>
        </is>
      </c>
      <c r="G312" t="inlineStr">
        <is>
          <t>SMEDJEBACKEN</t>
        </is>
      </c>
      <c r="H312" t="inlineStr">
        <is>
          <t>Sveaskog</t>
        </is>
      </c>
      <c r="I312" t="n">
        <v>2.7</v>
      </c>
      <c r="J312" t="n">
        <v>0</v>
      </c>
      <c r="K312" t="n">
        <v>0</v>
      </c>
      <c r="L312" t="n">
        <v>0</v>
      </c>
      <c r="M312" t="n">
        <v>0</v>
      </c>
      <c r="N312" t="n">
        <v>0</v>
      </c>
      <c r="O312" t="n">
        <v>0</v>
      </c>
      <c r="P312" t="n">
        <v>0</v>
      </c>
      <c r="Q312" t="n">
        <v>0</v>
      </c>
      <c r="R312" t="n">
        <v>0</v>
      </c>
      <c r="S312" t="n">
        <v>0</v>
      </c>
      <c r="T312" t="n">
        <v>0</v>
      </c>
      <c r="U312" s="2" t="inlineStr"/>
    </row>
    <row r="313" ht="15" customHeight="1">
      <c r="A313" t="inlineStr">
        <is>
          <t>A 38750-2025</t>
        </is>
      </c>
      <c r="B313" t="inlineStr">
        <is>
          <t>avverkningsanmälan</t>
        </is>
      </c>
      <c r="C313" t="inlineStr">
        <is>
          <t>Föryngringsavverkning</t>
        </is>
      </c>
      <c r="D313" s="1" t="n">
        <v>45887</v>
      </c>
      <c r="E313" s="1" t="n">
        <v>46216</v>
      </c>
      <c r="F313" t="inlineStr">
        <is>
          <t>DALARNAS LÄN</t>
        </is>
      </c>
      <c r="G313" t="inlineStr">
        <is>
          <t>SMEDJEBACKEN</t>
        </is>
      </c>
      <c r="H313" t="inlineStr">
        <is>
          <t>Sveaskog</t>
        </is>
      </c>
      <c r="I313" t="n">
        <v>4.8</v>
      </c>
      <c r="J313" t="n">
        <v>0</v>
      </c>
      <c r="K313" t="n">
        <v>0</v>
      </c>
      <c r="L313" t="n">
        <v>0</v>
      </c>
      <c r="M313" t="n">
        <v>0</v>
      </c>
      <c r="N313" t="n">
        <v>0</v>
      </c>
      <c r="O313" t="n">
        <v>0</v>
      </c>
      <c r="P313" t="n">
        <v>0</v>
      </c>
      <c r="Q313" t="n">
        <v>0</v>
      </c>
      <c r="R313" t="n">
        <v>0</v>
      </c>
      <c r="S313" t="n">
        <v>0</v>
      </c>
      <c r="T313" t="n">
        <v>0</v>
      </c>
      <c r="U313" s="2" t="inlineStr"/>
    </row>
    <row r="314" ht="15" customHeight="1">
      <c r="A314" t="inlineStr">
        <is>
          <t>A 23645-2024</t>
        </is>
      </c>
      <c r="B314" t="inlineStr">
        <is>
          <t>avverkningsanmälan</t>
        </is>
      </c>
      <c r="C314" t="inlineStr">
        <is>
          <t>Föryngringsavverkning</t>
        </is>
      </c>
      <c r="D314" s="1" t="n">
        <v>45454</v>
      </c>
      <c r="E314" s="1" t="n">
        <v>46216</v>
      </c>
      <c r="F314" t="inlineStr">
        <is>
          <t>DALARNAS LÄN</t>
        </is>
      </c>
      <c r="G314" t="inlineStr">
        <is>
          <t>SMEDJEBACKEN</t>
        </is>
      </c>
      <c r="H314" t="inlineStr">
        <is>
          <t>Bergvik skog väst AB</t>
        </is>
      </c>
      <c r="I314" t="n">
        <v>8.6</v>
      </c>
      <c r="J314" t="n">
        <v>0</v>
      </c>
      <c r="K314" t="n">
        <v>0</v>
      </c>
      <c r="L314" t="n">
        <v>0</v>
      </c>
      <c r="M314" t="n">
        <v>0</v>
      </c>
      <c r="N314" t="n">
        <v>0</v>
      </c>
      <c r="O314" t="n">
        <v>0</v>
      </c>
      <c r="P314" t="n">
        <v>0</v>
      </c>
      <c r="Q314" t="n">
        <v>0</v>
      </c>
      <c r="R314" t="n">
        <v>0</v>
      </c>
      <c r="S314" t="n">
        <v>0</v>
      </c>
      <c r="T314" t="n">
        <v>0</v>
      </c>
      <c r="U314" s="2" t="inlineStr"/>
    </row>
    <row r="315" ht="15" customHeight="1">
      <c r="A315" t="inlineStr">
        <is>
          <t>A 54107-2025</t>
        </is>
      </c>
      <c r="B315" t="inlineStr">
        <is>
          <t>avverkningsanmälan</t>
        </is>
      </c>
      <c r="C315" t="inlineStr">
        <is>
          <t>Föryngringsavverkning</t>
        </is>
      </c>
      <c r="D315" s="1" t="n">
        <v>45964</v>
      </c>
      <c r="E315" s="1" t="n">
        <v>46216</v>
      </c>
      <c r="F315" t="inlineStr">
        <is>
          <t>DALARNAS LÄN</t>
        </is>
      </c>
      <c r="G315" t="inlineStr">
        <is>
          <t>SMEDJEBACKEN</t>
        </is>
      </c>
      <c r="H315" t="inlineStr">
        <is>
          <t>Sveaskog</t>
        </is>
      </c>
      <c r="I315" t="n">
        <v>9.9</v>
      </c>
      <c r="J315" t="n">
        <v>0</v>
      </c>
      <c r="K315" t="n">
        <v>0</v>
      </c>
      <c r="L315" t="n">
        <v>0</v>
      </c>
      <c r="M315" t="n">
        <v>0</v>
      </c>
      <c r="N315" t="n">
        <v>0</v>
      </c>
      <c r="O315" t="n">
        <v>0</v>
      </c>
      <c r="P315" t="n">
        <v>0</v>
      </c>
      <c r="Q315" t="n">
        <v>0</v>
      </c>
      <c r="R315" t="n">
        <v>0</v>
      </c>
      <c r="S315" t="n">
        <v>0</v>
      </c>
      <c r="T315" t="n">
        <v>0</v>
      </c>
      <c r="U315" s="2" t="inlineStr"/>
    </row>
    <row r="316" ht="15" customHeight="1">
      <c r="A316" t="inlineStr">
        <is>
          <t>A 54083-2025</t>
        </is>
      </c>
      <c r="B316" t="inlineStr">
        <is>
          <t>avverkningsanmälan</t>
        </is>
      </c>
      <c r="C316" t="inlineStr">
        <is>
          <t>Föryngringsavverkning</t>
        </is>
      </c>
      <c r="D316" s="1" t="n">
        <v>45964</v>
      </c>
      <c r="E316" s="1" t="n">
        <v>46216</v>
      </c>
      <c r="F316" t="inlineStr">
        <is>
          <t>DALARNAS LÄN</t>
        </is>
      </c>
      <c r="G316" t="inlineStr">
        <is>
          <t>SMEDJEBACKEN</t>
        </is>
      </c>
      <c r="H316" t="inlineStr">
        <is>
          <t>Sveaskog</t>
        </is>
      </c>
      <c r="I316" t="n">
        <v>7.1</v>
      </c>
      <c r="J316" t="n">
        <v>0</v>
      </c>
      <c r="K316" t="n">
        <v>0</v>
      </c>
      <c r="L316" t="n">
        <v>0</v>
      </c>
      <c r="M316" t="n">
        <v>0</v>
      </c>
      <c r="N316" t="n">
        <v>0</v>
      </c>
      <c r="O316" t="n">
        <v>0</v>
      </c>
      <c r="P316" t="n">
        <v>0</v>
      </c>
      <c r="Q316" t="n">
        <v>0</v>
      </c>
      <c r="R316" t="n">
        <v>0</v>
      </c>
      <c r="S316" t="n">
        <v>0</v>
      </c>
      <c r="T316" t="n">
        <v>0</v>
      </c>
      <c r="U316" s="2" t="inlineStr"/>
    </row>
    <row r="317" ht="15" customHeight="1">
      <c r="A317" t="inlineStr">
        <is>
          <t>A 54084-2025</t>
        </is>
      </c>
      <c r="B317" t="inlineStr">
        <is>
          <t>avverkningsanmälan</t>
        </is>
      </c>
      <c r="C317" t="inlineStr">
        <is>
          <t>Föryngringsavverkning</t>
        </is>
      </c>
      <c r="D317" s="1" t="n">
        <v>45964</v>
      </c>
      <c r="E317" s="1" t="n">
        <v>46216</v>
      </c>
      <c r="F317" t="inlineStr">
        <is>
          <t>DALARNAS LÄN</t>
        </is>
      </c>
      <c r="G317" t="inlineStr">
        <is>
          <t>SMEDJEBACKEN</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14875-2025</t>
        </is>
      </c>
      <c r="B318" t="inlineStr">
        <is>
          <t>avverkningsanmälan</t>
        </is>
      </c>
      <c r="C318" t="inlineStr">
        <is>
          <t>Föryngringsavverkning</t>
        </is>
      </c>
      <c r="D318" s="1" t="n">
        <v>45743</v>
      </c>
      <c r="E318" s="1" t="n">
        <v>46216</v>
      </c>
      <c r="F318" t="inlineStr">
        <is>
          <t>DALARNAS LÄN</t>
        </is>
      </c>
      <c r="G318" t="inlineStr">
        <is>
          <t>SMEDJEBACKEN</t>
        </is>
      </c>
      <c r="I318" t="n">
        <v>2.7</v>
      </c>
      <c r="J318" t="n">
        <v>0</v>
      </c>
      <c r="K318" t="n">
        <v>0</v>
      </c>
      <c r="L318" t="n">
        <v>0</v>
      </c>
      <c r="M318" t="n">
        <v>0</v>
      </c>
      <c r="N318" t="n">
        <v>0</v>
      </c>
      <c r="O318" t="n">
        <v>0</v>
      </c>
      <c r="P318" t="n">
        <v>0</v>
      </c>
      <c r="Q318" t="n">
        <v>0</v>
      </c>
      <c r="R318" t="n">
        <v>0</v>
      </c>
      <c r="S318" t="n">
        <v>0</v>
      </c>
      <c r="T318" t="n">
        <v>0</v>
      </c>
      <c r="U318" s="2" t="inlineStr"/>
    </row>
    <row r="319" ht="15" customHeight="1">
      <c r="A319" t="inlineStr">
        <is>
          <t>A 5701-2026</t>
        </is>
      </c>
      <c r="B319" t="inlineStr">
        <is>
          <t>avverkningsanmälan</t>
        </is>
      </c>
      <c r="C319" t="inlineStr">
        <is>
          <t>Föryngringsavverkning</t>
        </is>
      </c>
      <c r="D319" s="1" t="n">
        <v>46051</v>
      </c>
      <c r="E319" s="1" t="n">
        <v>46216</v>
      </c>
      <c r="F319" t="inlineStr">
        <is>
          <t>DALARNAS LÄN</t>
        </is>
      </c>
      <c r="G319" t="inlineStr">
        <is>
          <t>SMEDJEBACKEN</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55364-2025</t>
        </is>
      </c>
      <c r="B320" t="inlineStr">
        <is>
          <t>avverkningsanmälan</t>
        </is>
      </c>
      <c r="C320" t="inlineStr">
        <is>
          <t>Föryngringsavverkning</t>
        </is>
      </c>
      <c r="D320" s="1" t="n">
        <v>45971</v>
      </c>
      <c r="E320" s="1" t="n">
        <v>46216</v>
      </c>
      <c r="F320" t="inlineStr">
        <is>
          <t>DALARNAS LÄN</t>
        </is>
      </c>
      <c r="G320" t="inlineStr">
        <is>
          <t>SMEDJEBACKEN</t>
        </is>
      </c>
      <c r="H320" t="inlineStr">
        <is>
          <t>Sveaskog</t>
        </is>
      </c>
      <c r="I320" t="n">
        <v>7.9</v>
      </c>
      <c r="J320" t="n">
        <v>0</v>
      </c>
      <c r="K320" t="n">
        <v>0</v>
      </c>
      <c r="L320" t="n">
        <v>0</v>
      </c>
      <c r="M320" t="n">
        <v>0</v>
      </c>
      <c r="N320" t="n">
        <v>0</v>
      </c>
      <c r="O320" t="n">
        <v>0</v>
      </c>
      <c r="P320" t="n">
        <v>0</v>
      </c>
      <c r="Q320" t="n">
        <v>0</v>
      </c>
      <c r="R320" t="n">
        <v>0</v>
      </c>
      <c r="S320" t="n">
        <v>0</v>
      </c>
      <c r="T320" t="n">
        <v>0</v>
      </c>
      <c r="U320" s="2" t="inlineStr"/>
    </row>
    <row r="321" ht="15" customHeight="1">
      <c r="A321" t="inlineStr">
        <is>
          <t>A 56029-2025</t>
        </is>
      </c>
      <c r="B321" t="inlineStr">
        <is>
          <t>avverkningsanmälan</t>
        </is>
      </c>
      <c r="C321" t="inlineStr">
        <is>
          <t>Föryngringsavverkning</t>
        </is>
      </c>
      <c r="D321" s="1" t="n">
        <v>45973</v>
      </c>
      <c r="E321" s="1" t="n">
        <v>46216</v>
      </c>
      <c r="F321" t="inlineStr">
        <is>
          <t>DALARNAS LÄN</t>
        </is>
      </c>
      <c r="G321" t="inlineStr">
        <is>
          <t>SMEDJEBACKEN</t>
        </is>
      </c>
      <c r="I321" t="n">
        <v>3.2</v>
      </c>
      <c r="J321" t="n">
        <v>0</v>
      </c>
      <c r="K321" t="n">
        <v>0</v>
      </c>
      <c r="L321" t="n">
        <v>0</v>
      </c>
      <c r="M321" t="n">
        <v>0</v>
      </c>
      <c r="N321" t="n">
        <v>0</v>
      </c>
      <c r="O321" t="n">
        <v>0</v>
      </c>
      <c r="P321" t="n">
        <v>0</v>
      </c>
      <c r="Q321" t="n">
        <v>0</v>
      </c>
      <c r="R321" t="n">
        <v>0</v>
      </c>
      <c r="S321" t="n">
        <v>0</v>
      </c>
      <c r="T321" t="n">
        <v>0</v>
      </c>
      <c r="U321" s="2" t="inlineStr"/>
    </row>
    <row r="322" ht="15" customHeight="1">
      <c r="A322" t="inlineStr">
        <is>
          <t>A 56069-2025</t>
        </is>
      </c>
      <c r="B322" t="inlineStr">
        <is>
          <t>avverkningsanmälan</t>
        </is>
      </c>
      <c r="C322" t="inlineStr">
        <is>
          <t>Föryngringsavverkning</t>
        </is>
      </c>
      <c r="D322" s="1" t="n">
        <v>45973</v>
      </c>
      <c r="E322" s="1" t="n">
        <v>46216</v>
      </c>
      <c r="F322" t="inlineStr">
        <is>
          <t>DALARNAS LÄN</t>
        </is>
      </c>
      <c r="G322" t="inlineStr">
        <is>
          <t>SMEDJEBACKEN</t>
        </is>
      </c>
      <c r="H322" t="inlineStr">
        <is>
          <t>Bergvik skog väst AB</t>
        </is>
      </c>
      <c r="I322" t="n">
        <v>8</v>
      </c>
      <c r="J322" t="n">
        <v>0</v>
      </c>
      <c r="K322" t="n">
        <v>0</v>
      </c>
      <c r="L322" t="n">
        <v>0</v>
      </c>
      <c r="M322" t="n">
        <v>0</v>
      </c>
      <c r="N322" t="n">
        <v>0</v>
      </c>
      <c r="O322" t="n">
        <v>0</v>
      </c>
      <c r="P322" t="n">
        <v>0</v>
      </c>
      <c r="Q322" t="n">
        <v>0</v>
      </c>
      <c r="R322" t="n">
        <v>0</v>
      </c>
      <c r="S322" t="n">
        <v>0</v>
      </c>
      <c r="T322" t="n">
        <v>0</v>
      </c>
      <c r="U322" s="2" t="inlineStr"/>
    </row>
    <row r="323" ht="15" customHeight="1">
      <c r="A323" t="inlineStr">
        <is>
          <t>A 16351-2025</t>
        </is>
      </c>
      <c r="B323" t="inlineStr">
        <is>
          <t>avverkningsanmälan</t>
        </is>
      </c>
      <c r="C323" t="inlineStr">
        <is>
          <t>Föryngringsavverkning</t>
        </is>
      </c>
      <c r="D323" s="1" t="n">
        <v>45751</v>
      </c>
      <c r="E323" s="1" t="n">
        <v>46216</v>
      </c>
      <c r="F323" t="inlineStr">
        <is>
          <t>DALARNAS LÄN</t>
        </is>
      </c>
      <c r="G323" t="inlineStr">
        <is>
          <t>SMEDJEBACKEN</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56674-2025</t>
        </is>
      </c>
      <c r="B324" t="inlineStr">
        <is>
          <t>avverkningsanmälan</t>
        </is>
      </c>
      <c r="C324" t="inlineStr">
        <is>
          <t>Föryngringsavverkning</t>
        </is>
      </c>
      <c r="D324" s="1" t="n">
        <v>45975</v>
      </c>
      <c r="E324" s="1" t="n">
        <v>46216</v>
      </c>
      <c r="F324" t="inlineStr">
        <is>
          <t>DALARNAS LÄN</t>
        </is>
      </c>
      <c r="G324" t="inlineStr">
        <is>
          <t>SMEDJEBACKEN</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29420-2023</t>
        </is>
      </c>
      <c r="B325" t="inlineStr">
        <is>
          <t>avverkningsanmälan</t>
        </is>
      </c>
      <c r="C325" t="inlineStr">
        <is>
          <t>Föryngringsavverkning</t>
        </is>
      </c>
      <c r="D325" s="1" t="n">
        <v>45106</v>
      </c>
      <c r="E325" s="1" t="n">
        <v>46216</v>
      </c>
      <c r="F325" t="inlineStr">
        <is>
          <t>DALARNAS LÄN</t>
        </is>
      </c>
      <c r="G325" t="inlineStr">
        <is>
          <t>SMEDJEBACKEN</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7020-2026</t>
        </is>
      </c>
      <c r="B326" t="inlineStr">
        <is>
          <t>avverkningsanmälan</t>
        </is>
      </c>
      <c r="C326" t="inlineStr">
        <is>
          <t>Föryngringsavverkning</t>
        </is>
      </c>
      <c r="D326" s="1" t="n">
        <v>46057</v>
      </c>
      <c r="E326" s="1" t="n">
        <v>46216</v>
      </c>
      <c r="F326" t="inlineStr">
        <is>
          <t>DALARNAS LÄN</t>
        </is>
      </c>
      <c r="G326" t="inlineStr">
        <is>
          <t>SMEDJEBACKEN</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57408-2025</t>
        </is>
      </c>
      <c r="B327" t="inlineStr">
        <is>
          <t>avverkningsanmälan</t>
        </is>
      </c>
      <c r="C327" t="inlineStr">
        <is>
          <t>Föryngringsavverkning</t>
        </is>
      </c>
      <c r="D327" s="1" t="n">
        <v>45980</v>
      </c>
      <c r="E327" s="1" t="n">
        <v>46216</v>
      </c>
      <c r="F327" t="inlineStr">
        <is>
          <t>DALARNAS LÄN</t>
        </is>
      </c>
      <c r="G327" t="inlineStr">
        <is>
          <t>SMEDJEBACKEN</t>
        </is>
      </c>
      <c r="H327" t="inlineStr">
        <is>
          <t>Sveaskog</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57416-2025</t>
        </is>
      </c>
      <c r="B328" t="inlineStr">
        <is>
          <t>avverkningsanmälan</t>
        </is>
      </c>
      <c r="C328" t="inlineStr">
        <is>
          <t>Föryngringsavverkning</t>
        </is>
      </c>
      <c r="D328" s="1" t="n">
        <v>45980</v>
      </c>
      <c r="E328" s="1" t="n">
        <v>46216</v>
      </c>
      <c r="F328" t="inlineStr">
        <is>
          <t>DALARNAS LÄN</t>
        </is>
      </c>
      <c r="G328" t="inlineStr">
        <is>
          <t>SMEDJEBACKEN</t>
        </is>
      </c>
      <c r="H328" t="inlineStr">
        <is>
          <t>Sveaskog</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57660-2025</t>
        </is>
      </c>
      <c r="B329" t="inlineStr">
        <is>
          <t>avverkningsanmälan</t>
        </is>
      </c>
      <c r="C329" t="inlineStr">
        <is>
          <t>Föryngringsavverkning</t>
        </is>
      </c>
      <c r="D329" s="1" t="n">
        <v>45981</v>
      </c>
      <c r="E329" s="1" t="n">
        <v>46216</v>
      </c>
      <c r="F329" t="inlineStr">
        <is>
          <t>DALARNAS LÄN</t>
        </is>
      </c>
      <c r="G329" t="inlineStr">
        <is>
          <t>SMEDJEBACKEN</t>
        </is>
      </c>
      <c r="I329" t="n">
        <v>6.3</v>
      </c>
      <c r="J329" t="n">
        <v>0</v>
      </c>
      <c r="K329" t="n">
        <v>0</v>
      </c>
      <c r="L329" t="n">
        <v>0</v>
      </c>
      <c r="M329" t="n">
        <v>0</v>
      </c>
      <c r="N329" t="n">
        <v>0</v>
      </c>
      <c r="O329" t="n">
        <v>0</v>
      </c>
      <c r="P329" t="n">
        <v>0</v>
      </c>
      <c r="Q329" t="n">
        <v>0</v>
      </c>
      <c r="R329" t="n">
        <v>0</v>
      </c>
      <c r="S329" t="n">
        <v>0</v>
      </c>
      <c r="T329" t="n">
        <v>0</v>
      </c>
      <c r="U329" s="2" t="inlineStr"/>
    </row>
    <row r="330" ht="15" customHeight="1">
      <c r="A330" t="inlineStr">
        <is>
          <t>A 57409-2025</t>
        </is>
      </c>
      <c r="B330" t="inlineStr">
        <is>
          <t>avverkningsanmälan</t>
        </is>
      </c>
      <c r="C330" t="inlineStr">
        <is>
          <t>Föryngringsavverkning</t>
        </is>
      </c>
      <c r="D330" s="1" t="n">
        <v>45980</v>
      </c>
      <c r="E330" s="1" t="n">
        <v>46216</v>
      </c>
      <c r="F330" t="inlineStr">
        <is>
          <t>DALARNAS LÄN</t>
        </is>
      </c>
      <c r="G330" t="inlineStr">
        <is>
          <t>SMEDJEBACKEN</t>
        </is>
      </c>
      <c r="H330" t="inlineStr">
        <is>
          <t>Sveaskog</t>
        </is>
      </c>
      <c r="I330" t="n">
        <v>3.2</v>
      </c>
      <c r="J330" t="n">
        <v>0</v>
      </c>
      <c r="K330" t="n">
        <v>0</v>
      </c>
      <c r="L330" t="n">
        <v>0</v>
      </c>
      <c r="M330" t="n">
        <v>0</v>
      </c>
      <c r="N330" t="n">
        <v>0</v>
      </c>
      <c r="O330" t="n">
        <v>0</v>
      </c>
      <c r="P330" t="n">
        <v>0</v>
      </c>
      <c r="Q330" t="n">
        <v>0</v>
      </c>
      <c r="R330" t="n">
        <v>0</v>
      </c>
      <c r="S330" t="n">
        <v>0</v>
      </c>
      <c r="T330" t="n">
        <v>0</v>
      </c>
      <c r="U330" s="2" t="inlineStr"/>
    </row>
    <row r="331" ht="15" customHeight="1">
      <c r="A331" t="inlineStr">
        <is>
          <t>A 19469-2024</t>
        </is>
      </c>
      <c r="B331" t="inlineStr">
        <is>
          <t>avverkningsanmälan</t>
        </is>
      </c>
      <c r="C331" t="inlineStr">
        <is>
          <t>Föryngringsavverkning</t>
        </is>
      </c>
      <c r="D331" s="1" t="n">
        <v>45429</v>
      </c>
      <c r="E331" s="1" t="n">
        <v>46216</v>
      </c>
      <c r="F331" t="inlineStr">
        <is>
          <t>DALARNAS LÄN</t>
        </is>
      </c>
      <c r="G331" t="inlineStr">
        <is>
          <t>SMEDJEBACKEN</t>
        </is>
      </c>
      <c r="H331" t="inlineStr">
        <is>
          <t>Sveaskog</t>
        </is>
      </c>
      <c r="I331" t="n">
        <v>2.4</v>
      </c>
      <c r="J331" t="n">
        <v>0</v>
      </c>
      <c r="K331" t="n">
        <v>0</v>
      </c>
      <c r="L331" t="n">
        <v>0</v>
      </c>
      <c r="M331" t="n">
        <v>0</v>
      </c>
      <c r="N331" t="n">
        <v>0</v>
      </c>
      <c r="O331" t="n">
        <v>0</v>
      </c>
      <c r="P331" t="n">
        <v>0</v>
      </c>
      <c r="Q331" t="n">
        <v>0</v>
      </c>
      <c r="R331" t="n">
        <v>0</v>
      </c>
      <c r="S331" t="n">
        <v>0</v>
      </c>
      <c r="T331" t="n">
        <v>0</v>
      </c>
      <c r="U331" s="2" t="inlineStr"/>
    </row>
    <row r="332" ht="15" customHeight="1">
      <c r="A332" t="inlineStr">
        <is>
          <t>A 58280-2025</t>
        </is>
      </c>
      <c r="B332" t="inlineStr">
        <is>
          <t>avverkningsanmälan</t>
        </is>
      </c>
      <c r="C332" t="inlineStr">
        <is>
          <t>Föryngringsavverkning</t>
        </is>
      </c>
      <c r="D332" s="1" t="n">
        <v>45985</v>
      </c>
      <c r="E332" s="1" t="n">
        <v>46216</v>
      </c>
      <c r="F332" t="inlineStr">
        <is>
          <t>DALARNAS LÄN</t>
        </is>
      </c>
      <c r="G332" t="inlineStr">
        <is>
          <t>SMEDJEBACKEN</t>
        </is>
      </c>
      <c r="I332" t="n">
        <v>2.1</v>
      </c>
      <c r="J332" t="n">
        <v>0</v>
      </c>
      <c r="K332" t="n">
        <v>0</v>
      </c>
      <c r="L332" t="n">
        <v>0</v>
      </c>
      <c r="M332" t="n">
        <v>0</v>
      </c>
      <c r="N332" t="n">
        <v>0</v>
      </c>
      <c r="O332" t="n">
        <v>0</v>
      </c>
      <c r="P332" t="n">
        <v>0</v>
      </c>
      <c r="Q332" t="n">
        <v>0</v>
      </c>
      <c r="R332" t="n">
        <v>0</v>
      </c>
      <c r="S332" t="n">
        <v>0</v>
      </c>
      <c r="T332" t="n">
        <v>0</v>
      </c>
      <c r="U332" s="2" t="inlineStr"/>
    </row>
    <row r="333" ht="15" customHeight="1">
      <c r="A333" t="inlineStr">
        <is>
          <t>A 15557-2024</t>
        </is>
      </c>
      <c r="B333" t="inlineStr">
        <is>
          <t>avverkningsanmälan</t>
        </is>
      </c>
      <c r="C333" t="inlineStr">
        <is>
          <t>Föryngringsavverkning</t>
        </is>
      </c>
      <c r="D333" s="1" t="n">
        <v>45401</v>
      </c>
      <c r="E333" s="1" t="n">
        <v>46216</v>
      </c>
      <c r="F333" t="inlineStr">
        <is>
          <t>DALARNAS LÄN</t>
        </is>
      </c>
      <c r="G333" t="inlineStr">
        <is>
          <t>SMEDJEBACKEN</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23684-2025</t>
        </is>
      </c>
      <c r="B334" t="inlineStr">
        <is>
          <t>avverkningsanmälan</t>
        </is>
      </c>
      <c r="C334" t="inlineStr">
        <is>
          <t>Föryngringsavverkning</t>
        </is>
      </c>
      <c r="D334" s="1" t="n">
        <v>45793</v>
      </c>
      <c r="E334" s="1" t="n">
        <v>46216</v>
      </c>
      <c r="F334" t="inlineStr">
        <is>
          <t>DALARNAS LÄN</t>
        </is>
      </c>
      <c r="G334" t="inlineStr">
        <is>
          <t>SMEDJEBACKEN</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48057-2024</t>
        </is>
      </c>
      <c r="B335" t="inlineStr">
        <is>
          <t>avverkningsanmälan</t>
        </is>
      </c>
      <c r="C335" t="inlineStr">
        <is>
          <t>Föryngringsavverkning</t>
        </is>
      </c>
      <c r="D335" s="1" t="n">
        <v>45589</v>
      </c>
      <c r="E335" s="1" t="n">
        <v>46216</v>
      </c>
      <c r="F335" t="inlineStr">
        <is>
          <t>DALARNAS LÄN</t>
        </is>
      </c>
      <c r="G335" t="inlineStr">
        <is>
          <t>SMEDJEBACKEN</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23687-2023</t>
        </is>
      </c>
      <c r="B336" t="inlineStr">
        <is>
          <t>avverkningsanmälan</t>
        </is>
      </c>
      <c r="C336" t="inlineStr">
        <is>
          <t>Föryngringsavverkning</t>
        </is>
      </c>
      <c r="D336" s="1" t="n">
        <v>45077</v>
      </c>
      <c r="E336" s="1" t="n">
        <v>46216</v>
      </c>
      <c r="F336" t="inlineStr">
        <is>
          <t>DALARNAS LÄN</t>
        </is>
      </c>
      <c r="G336" t="inlineStr">
        <is>
          <t>SMEDJEBACKEN</t>
        </is>
      </c>
      <c r="I336" t="n">
        <v>0.7</v>
      </c>
      <c r="J336" t="n">
        <v>0</v>
      </c>
      <c r="K336" t="n">
        <v>0</v>
      </c>
      <c r="L336" t="n">
        <v>0</v>
      </c>
      <c r="M336" t="n">
        <v>0</v>
      </c>
      <c r="N336" t="n">
        <v>0</v>
      </c>
      <c r="O336" t="n">
        <v>0</v>
      </c>
      <c r="P336" t="n">
        <v>0</v>
      </c>
      <c r="Q336" t="n">
        <v>0</v>
      </c>
      <c r="R336" t="n">
        <v>0</v>
      </c>
      <c r="S336" t="n">
        <v>0</v>
      </c>
      <c r="T336" t="n">
        <v>0</v>
      </c>
      <c r="U336" s="2" t="inlineStr"/>
    </row>
    <row r="337" ht="15" customHeight="1">
      <c r="A337" t="inlineStr">
        <is>
          <t>A 26998-2024</t>
        </is>
      </c>
      <c r="B337" t="inlineStr">
        <is>
          <t>avverkningsanmälan</t>
        </is>
      </c>
      <c r="C337" t="inlineStr">
        <is>
          <t>Föryngringsavverkning</t>
        </is>
      </c>
      <c r="D337" s="1" t="n">
        <v>45471</v>
      </c>
      <c r="E337" s="1" t="n">
        <v>46216</v>
      </c>
      <c r="F337" t="inlineStr">
        <is>
          <t>DALARNAS LÄN</t>
        </is>
      </c>
      <c r="G337" t="inlineStr">
        <is>
          <t>SMEDJEBACKEN</t>
        </is>
      </c>
      <c r="I337" t="n">
        <v>9</v>
      </c>
      <c r="J337" t="n">
        <v>0</v>
      </c>
      <c r="K337" t="n">
        <v>0</v>
      </c>
      <c r="L337" t="n">
        <v>0</v>
      </c>
      <c r="M337" t="n">
        <v>0</v>
      </c>
      <c r="N337" t="n">
        <v>0</v>
      </c>
      <c r="O337" t="n">
        <v>0</v>
      </c>
      <c r="P337" t="n">
        <v>0</v>
      </c>
      <c r="Q337" t="n">
        <v>0</v>
      </c>
      <c r="R337" t="n">
        <v>0</v>
      </c>
      <c r="S337" t="n">
        <v>0</v>
      </c>
      <c r="T337" t="n">
        <v>0</v>
      </c>
      <c r="U337" s="2" t="inlineStr"/>
    </row>
    <row r="338" ht="15" customHeight="1">
      <c r="A338" t="inlineStr">
        <is>
          <t>A 46754-2023</t>
        </is>
      </c>
      <c r="B338" t="inlineStr">
        <is>
          <t>avverkningsanmälan</t>
        </is>
      </c>
      <c r="C338" t="inlineStr">
        <is>
          <t>Avverkning för annat ändamål</t>
        </is>
      </c>
      <c r="D338" s="1" t="n">
        <v>45198</v>
      </c>
      <c r="E338" s="1" t="n">
        <v>46216</v>
      </c>
      <c r="F338" t="inlineStr">
        <is>
          <t>DALARNAS LÄN</t>
        </is>
      </c>
      <c r="G338" t="inlineStr">
        <is>
          <t>SMEDJEBACKEN</t>
        </is>
      </c>
      <c r="H338" t="inlineStr">
        <is>
          <t>Sveaskog</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60528-2025</t>
        </is>
      </c>
      <c r="B339" t="inlineStr">
        <is>
          <t>avverkningsanmälan</t>
        </is>
      </c>
      <c r="C339" t="inlineStr">
        <is>
          <t>Föryngringsavverkning</t>
        </is>
      </c>
      <c r="D339" s="1" t="n">
        <v>45995</v>
      </c>
      <c r="E339" s="1" t="n">
        <v>46216</v>
      </c>
      <c r="F339" t="inlineStr">
        <is>
          <t>DALARNAS LÄN</t>
        </is>
      </c>
      <c r="G339" t="inlineStr">
        <is>
          <t>SMEDJEBACKEN</t>
        </is>
      </c>
      <c r="H339" t="inlineStr">
        <is>
          <t>Bergvik skog väst AB</t>
        </is>
      </c>
      <c r="I339" t="n">
        <v>5.1</v>
      </c>
      <c r="J339" t="n">
        <v>0</v>
      </c>
      <c r="K339" t="n">
        <v>0</v>
      </c>
      <c r="L339" t="n">
        <v>0</v>
      </c>
      <c r="M339" t="n">
        <v>0</v>
      </c>
      <c r="N339" t="n">
        <v>0</v>
      </c>
      <c r="O339" t="n">
        <v>0</v>
      </c>
      <c r="P339" t="n">
        <v>0</v>
      </c>
      <c r="Q339" t="n">
        <v>0</v>
      </c>
      <c r="R339" t="n">
        <v>0</v>
      </c>
      <c r="S339" t="n">
        <v>0</v>
      </c>
      <c r="T339" t="n">
        <v>0</v>
      </c>
      <c r="U339" s="2" t="inlineStr"/>
    </row>
    <row r="340" ht="15" customHeight="1">
      <c r="A340" t="inlineStr">
        <is>
          <t>A 34039-2023</t>
        </is>
      </c>
      <c r="B340" t="inlineStr">
        <is>
          <t>avverkningsanmälan</t>
        </is>
      </c>
      <c r="C340" t="inlineStr">
        <is>
          <t>Föryngringsavverkning</t>
        </is>
      </c>
      <c r="D340" s="1" t="n">
        <v>45125</v>
      </c>
      <c r="E340" s="1" t="n">
        <v>46216</v>
      </c>
      <c r="F340" t="inlineStr">
        <is>
          <t>DALARNAS LÄN</t>
        </is>
      </c>
      <c r="G340" t="inlineStr">
        <is>
          <t>SMEDJEBACKEN</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15350-2022</t>
        </is>
      </c>
      <c r="B341" t="inlineStr">
        <is>
          <t>avverkningsanmälan</t>
        </is>
      </c>
      <c r="C341" t="inlineStr">
        <is>
          <t>Föryngringsavverkning</t>
        </is>
      </c>
      <c r="D341" s="1" t="n">
        <v>44659</v>
      </c>
      <c r="E341" s="1" t="n">
        <v>46216</v>
      </c>
      <c r="F341" t="inlineStr">
        <is>
          <t>DALARNAS LÄN</t>
        </is>
      </c>
      <c r="G341" t="inlineStr">
        <is>
          <t>SMEDJEBACKEN</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17134-2024</t>
        </is>
      </c>
      <c r="B342" t="inlineStr">
        <is>
          <t>avverkningsanmälan</t>
        </is>
      </c>
      <c r="C342" t="inlineStr">
        <is>
          <t>Föryngringsavverkning</t>
        </is>
      </c>
      <c r="D342" s="1" t="n">
        <v>45412</v>
      </c>
      <c r="E342" s="1" t="n">
        <v>46216</v>
      </c>
      <c r="F342" t="inlineStr">
        <is>
          <t>DALARNAS LÄN</t>
        </is>
      </c>
      <c r="G342" t="inlineStr">
        <is>
          <t>SMEDJEBACKEN</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55680-2022</t>
        </is>
      </c>
      <c r="B343" t="inlineStr">
        <is>
          <t>avverkningsanmälan</t>
        </is>
      </c>
      <c r="C343" t="inlineStr">
        <is>
          <t>Föryngringsavverkning</t>
        </is>
      </c>
      <c r="D343" s="1" t="n">
        <v>44883</v>
      </c>
      <c r="E343" s="1" t="n">
        <v>46216</v>
      </c>
      <c r="F343" t="inlineStr">
        <is>
          <t>DALARNAS LÄN</t>
        </is>
      </c>
      <c r="G343" t="inlineStr">
        <is>
          <t>SMEDJEBACKEN</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9847-2026</t>
        </is>
      </c>
      <c r="B344" t="inlineStr">
        <is>
          <t>avverkningsanmälan</t>
        </is>
      </c>
      <c r="C344" t="inlineStr">
        <is>
          <t>Föryngringsavverkning</t>
        </is>
      </c>
      <c r="D344" s="1" t="n">
        <v>46072</v>
      </c>
      <c r="E344" s="1" t="n">
        <v>46216</v>
      </c>
      <c r="F344" t="inlineStr">
        <is>
          <t>DALARNAS LÄN</t>
        </is>
      </c>
      <c r="G344" t="inlineStr">
        <is>
          <t>SMEDJEBACKEN</t>
        </is>
      </c>
      <c r="H344" t="inlineStr">
        <is>
          <t>Övriga Aktiebolag</t>
        </is>
      </c>
      <c r="I344" t="n">
        <v>3.4</v>
      </c>
      <c r="J344" t="n">
        <v>0</v>
      </c>
      <c r="K344" t="n">
        <v>0</v>
      </c>
      <c r="L344" t="n">
        <v>0</v>
      </c>
      <c r="M344" t="n">
        <v>0</v>
      </c>
      <c r="N344" t="n">
        <v>0</v>
      </c>
      <c r="O344" t="n">
        <v>0</v>
      </c>
      <c r="P344" t="n">
        <v>0</v>
      </c>
      <c r="Q344" t="n">
        <v>0</v>
      </c>
      <c r="R344" t="n">
        <v>0</v>
      </c>
      <c r="S344" t="n">
        <v>0</v>
      </c>
      <c r="T344" t="n">
        <v>0</v>
      </c>
      <c r="U344" s="2" t="inlineStr"/>
    </row>
    <row r="345" ht="15" customHeight="1">
      <c r="A345" t="inlineStr">
        <is>
          <t>A 32600-2023</t>
        </is>
      </c>
      <c r="B345" t="inlineStr">
        <is>
          <t>avverkningsanmälan</t>
        </is>
      </c>
      <c r="C345" t="inlineStr">
        <is>
          <t>Avverkning för annat ändamål</t>
        </is>
      </c>
      <c r="D345" s="1" t="n">
        <v>45121</v>
      </c>
      <c r="E345" s="1" t="n">
        <v>46216</v>
      </c>
      <c r="F345" t="inlineStr">
        <is>
          <t>DALARNAS LÄN</t>
        </is>
      </c>
      <c r="G345" t="inlineStr">
        <is>
          <t>SMEDJEBACKEN</t>
        </is>
      </c>
      <c r="H345" t="inlineStr">
        <is>
          <t>Bergvik skog väst AB</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58422-2023</t>
        </is>
      </c>
      <c r="B346" t="inlineStr">
        <is>
          <t>avverkningsanmälan</t>
        </is>
      </c>
      <c r="C346" t="inlineStr">
        <is>
          <t>Föryngringsavverkning</t>
        </is>
      </c>
      <c r="D346" s="1" t="n">
        <v>45246</v>
      </c>
      <c r="E346" s="1" t="n">
        <v>46216</v>
      </c>
      <c r="F346" t="inlineStr">
        <is>
          <t>DALARNAS LÄN</t>
        </is>
      </c>
      <c r="G346" t="inlineStr">
        <is>
          <t>SMEDJEBACKEN</t>
        </is>
      </c>
      <c r="H346" t="inlineStr">
        <is>
          <t>Bergvik skog väst AB</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62110-2025</t>
        </is>
      </c>
      <c r="B347" t="inlineStr">
        <is>
          <t>avverkningsanmälan</t>
        </is>
      </c>
      <c r="C347" t="inlineStr">
        <is>
          <t>Föryngringsavverkning</t>
        </is>
      </c>
      <c r="D347" s="1" t="n">
        <v>46006</v>
      </c>
      <c r="E347" s="1" t="n">
        <v>46216</v>
      </c>
      <c r="F347" t="inlineStr">
        <is>
          <t>DALARNAS LÄN</t>
        </is>
      </c>
      <c r="G347" t="inlineStr">
        <is>
          <t>SMEDJEBACKEN</t>
        </is>
      </c>
      <c r="H347" t="inlineStr">
        <is>
          <t>Bergvik skog väst AB</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63082-2025</t>
        </is>
      </c>
      <c r="B348" t="inlineStr">
        <is>
          <t>avverkningsanmälan</t>
        </is>
      </c>
      <c r="C348" t="inlineStr">
        <is>
          <t>Föryngringsavverkning</t>
        </is>
      </c>
      <c r="D348" s="1" t="n">
        <v>46009</v>
      </c>
      <c r="E348" s="1" t="n">
        <v>46216</v>
      </c>
      <c r="F348" t="inlineStr">
        <is>
          <t>DALARNAS LÄN</t>
        </is>
      </c>
      <c r="G348" t="inlineStr">
        <is>
          <t>SMEDJEBACKEN</t>
        </is>
      </c>
      <c r="I348" t="n">
        <v>8.300000000000001</v>
      </c>
      <c r="J348" t="n">
        <v>0</v>
      </c>
      <c r="K348" t="n">
        <v>0</v>
      </c>
      <c r="L348" t="n">
        <v>0</v>
      </c>
      <c r="M348" t="n">
        <v>0</v>
      </c>
      <c r="N348" t="n">
        <v>0</v>
      </c>
      <c r="O348" t="n">
        <v>0</v>
      </c>
      <c r="P348" t="n">
        <v>0</v>
      </c>
      <c r="Q348" t="n">
        <v>0</v>
      </c>
      <c r="R348" t="n">
        <v>0</v>
      </c>
      <c r="S348" t="n">
        <v>0</v>
      </c>
      <c r="T348" t="n">
        <v>0</v>
      </c>
      <c r="U348" s="2" t="inlineStr"/>
    </row>
    <row r="349" ht="15" customHeight="1">
      <c r="A349" t="inlineStr">
        <is>
          <t>A 62693-2025</t>
        </is>
      </c>
      <c r="B349" t="inlineStr">
        <is>
          <t>avverkningsanmälan</t>
        </is>
      </c>
      <c r="C349" t="inlineStr">
        <is>
          <t>Föryngringsavverkning</t>
        </is>
      </c>
      <c r="D349" s="1" t="n">
        <v>46008</v>
      </c>
      <c r="E349" s="1" t="n">
        <v>46216</v>
      </c>
      <c r="F349" t="inlineStr">
        <is>
          <t>DALARNAS LÄN</t>
        </is>
      </c>
      <c r="G349" t="inlineStr">
        <is>
          <t>SMEDJEBACKEN</t>
        </is>
      </c>
      <c r="H349" t="inlineStr">
        <is>
          <t>Bergvik skog väst AB</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62713-2025</t>
        </is>
      </c>
      <c r="B350" t="inlineStr">
        <is>
          <t>avverkningsanmälan</t>
        </is>
      </c>
      <c r="C350" t="inlineStr">
        <is>
          <t>Föryngringsavverkning</t>
        </is>
      </c>
      <c r="D350" s="1" t="n">
        <v>46008</v>
      </c>
      <c r="E350" s="1" t="n">
        <v>46216</v>
      </c>
      <c r="F350" t="inlineStr">
        <is>
          <t>DALARNAS LÄN</t>
        </is>
      </c>
      <c r="G350" t="inlineStr">
        <is>
          <t>SMEDJEBACKEN</t>
        </is>
      </c>
      <c r="H350" t="inlineStr">
        <is>
          <t>Bergvik skog väst AB</t>
        </is>
      </c>
      <c r="I350" t="n">
        <v>5</v>
      </c>
      <c r="J350" t="n">
        <v>0</v>
      </c>
      <c r="K350" t="n">
        <v>0</v>
      </c>
      <c r="L350" t="n">
        <v>0</v>
      </c>
      <c r="M350" t="n">
        <v>0</v>
      </c>
      <c r="N350" t="n">
        <v>0</v>
      </c>
      <c r="O350" t="n">
        <v>0</v>
      </c>
      <c r="P350" t="n">
        <v>0</v>
      </c>
      <c r="Q350" t="n">
        <v>0</v>
      </c>
      <c r="R350" t="n">
        <v>0</v>
      </c>
      <c r="S350" t="n">
        <v>0</v>
      </c>
      <c r="T350" t="n">
        <v>0</v>
      </c>
      <c r="U350" s="2" t="inlineStr"/>
    </row>
    <row r="351" ht="15" customHeight="1">
      <c r="A351" t="inlineStr">
        <is>
          <t>A 62875-2025</t>
        </is>
      </c>
      <c r="B351" t="inlineStr">
        <is>
          <t>avverkningsanmälan</t>
        </is>
      </c>
      <c r="C351" t="inlineStr">
        <is>
          <t>Föryngringsavverkning</t>
        </is>
      </c>
      <c r="D351" s="1" t="n">
        <v>46008</v>
      </c>
      <c r="E351" s="1" t="n">
        <v>46216</v>
      </c>
      <c r="F351" t="inlineStr">
        <is>
          <t>DALARNAS LÄN</t>
        </is>
      </c>
      <c r="G351" t="inlineStr">
        <is>
          <t>SMEDJEBACKEN</t>
        </is>
      </c>
      <c r="H351" t="inlineStr">
        <is>
          <t>Övriga Aktiebolag</t>
        </is>
      </c>
      <c r="I351" t="n">
        <v>4.6</v>
      </c>
      <c r="J351" t="n">
        <v>0</v>
      </c>
      <c r="K351" t="n">
        <v>0</v>
      </c>
      <c r="L351" t="n">
        <v>0</v>
      </c>
      <c r="M351" t="n">
        <v>0</v>
      </c>
      <c r="N351" t="n">
        <v>0</v>
      </c>
      <c r="O351" t="n">
        <v>0</v>
      </c>
      <c r="P351" t="n">
        <v>0</v>
      </c>
      <c r="Q351" t="n">
        <v>0</v>
      </c>
      <c r="R351" t="n">
        <v>0</v>
      </c>
      <c r="S351" t="n">
        <v>0</v>
      </c>
      <c r="T351" t="n">
        <v>0</v>
      </c>
      <c r="U351" s="2" t="inlineStr"/>
    </row>
    <row r="352" ht="15" customHeight="1">
      <c r="A352" t="inlineStr">
        <is>
          <t>A 57151-2022</t>
        </is>
      </c>
      <c r="B352" t="inlineStr">
        <is>
          <t>avverkningsanmälan</t>
        </is>
      </c>
      <c r="C352" t="inlineStr">
        <is>
          <t>Föryngringsavverkning</t>
        </is>
      </c>
      <c r="D352" s="1" t="n">
        <v>44895</v>
      </c>
      <c r="E352" s="1" t="n">
        <v>46216</v>
      </c>
      <c r="F352" t="inlineStr">
        <is>
          <t>DALARNAS LÄN</t>
        </is>
      </c>
      <c r="G352" t="inlineStr">
        <is>
          <t>SMEDJEBACKEN</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39085-2021</t>
        </is>
      </c>
      <c r="B353" t="inlineStr">
        <is>
          <t>avverkningsanmälan</t>
        </is>
      </c>
      <c r="C353" t="inlineStr">
        <is>
          <t>Föryngringsavverkning</t>
        </is>
      </c>
      <c r="D353" s="1" t="n">
        <v>44412</v>
      </c>
      <c r="E353" s="1" t="n">
        <v>46216</v>
      </c>
      <c r="F353" t="inlineStr">
        <is>
          <t>DALARNAS LÄN</t>
        </is>
      </c>
      <c r="G353" t="inlineStr">
        <is>
          <t>SMEDJEBACKEN</t>
        </is>
      </c>
      <c r="I353" t="n">
        <v>5.2</v>
      </c>
      <c r="J353" t="n">
        <v>0</v>
      </c>
      <c r="K353" t="n">
        <v>0</v>
      </c>
      <c r="L353" t="n">
        <v>0</v>
      </c>
      <c r="M353" t="n">
        <v>0</v>
      </c>
      <c r="N353" t="n">
        <v>0</v>
      </c>
      <c r="O353" t="n">
        <v>0</v>
      </c>
      <c r="P353" t="n">
        <v>0</v>
      </c>
      <c r="Q353" t="n">
        <v>0</v>
      </c>
      <c r="R353" t="n">
        <v>0</v>
      </c>
      <c r="S353" t="n">
        <v>0</v>
      </c>
      <c r="T353" t="n">
        <v>0</v>
      </c>
      <c r="U353" s="2" t="inlineStr"/>
    </row>
    <row r="354" ht="15" customHeight="1">
      <c r="A354" t="inlineStr">
        <is>
          <t>A 28760-2024</t>
        </is>
      </c>
      <c r="B354" t="inlineStr">
        <is>
          <t>avverkningsanmälan</t>
        </is>
      </c>
      <c r="C354" t="inlineStr">
        <is>
          <t>Föryngringsavverkning</t>
        </is>
      </c>
      <c r="D354" s="1" t="n">
        <v>45478</v>
      </c>
      <c r="E354" s="1" t="n">
        <v>46216</v>
      </c>
      <c r="F354" t="inlineStr">
        <is>
          <t>DALARNAS LÄN</t>
        </is>
      </c>
      <c r="G354" t="inlineStr">
        <is>
          <t>SMEDJEBACKEN</t>
        </is>
      </c>
      <c r="H354" t="inlineStr">
        <is>
          <t>Bergvik skog väst AB</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11740-2026</t>
        </is>
      </c>
      <c r="B355" t="inlineStr">
        <is>
          <t>avverkningsanmälan</t>
        </is>
      </c>
      <c r="C355" t="inlineStr">
        <is>
          <t>Föryngringsavverkning</t>
        </is>
      </c>
      <c r="D355" s="1" t="n">
        <v>46084</v>
      </c>
      <c r="E355" s="1" t="n">
        <v>46216</v>
      </c>
      <c r="F355" t="inlineStr">
        <is>
          <t>DALARNAS LÄN</t>
        </is>
      </c>
      <c r="G355" t="inlineStr">
        <is>
          <t>SMEDJEBACKEN</t>
        </is>
      </c>
      <c r="H355" t="inlineStr">
        <is>
          <t>Övriga Aktiebolag</t>
        </is>
      </c>
      <c r="I355" t="n">
        <v>5.2</v>
      </c>
      <c r="J355" t="n">
        <v>0</v>
      </c>
      <c r="K355" t="n">
        <v>0</v>
      </c>
      <c r="L355" t="n">
        <v>0</v>
      </c>
      <c r="M355" t="n">
        <v>0</v>
      </c>
      <c r="N355" t="n">
        <v>0</v>
      </c>
      <c r="O355" t="n">
        <v>0</v>
      </c>
      <c r="P355" t="n">
        <v>0</v>
      </c>
      <c r="Q355" t="n">
        <v>0</v>
      </c>
      <c r="R355" t="n">
        <v>0</v>
      </c>
      <c r="S355" t="n">
        <v>0</v>
      </c>
      <c r="T355" t="n">
        <v>0</v>
      </c>
      <c r="U355" s="2" t="inlineStr"/>
    </row>
    <row r="356" ht="15" customHeight="1">
      <c r="A356" t="inlineStr">
        <is>
          <t>A 63058-2025</t>
        </is>
      </c>
      <c r="B356" t="inlineStr">
        <is>
          <t>avverkningsanmälan</t>
        </is>
      </c>
      <c r="C356" t="inlineStr">
        <is>
          <t>Föryngringsavverkning</t>
        </is>
      </c>
      <c r="D356" s="1" t="n">
        <v>46009</v>
      </c>
      <c r="E356" s="1" t="n">
        <v>46216</v>
      </c>
      <c r="F356" t="inlineStr">
        <is>
          <t>DALARNAS LÄN</t>
        </is>
      </c>
      <c r="G356" t="inlineStr">
        <is>
          <t>SMEDJEBACKEN</t>
        </is>
      </c>
      <c r="H356" t="inlineStr">
        <is>
          <t>Övriga Aktiebolag</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49535-2024</t>
        </is>
      </c>
      <c r="B357" t="inlineStr">
        <is>
          <t>avverkningsanmälan</t>
        </is>
      </c>
      <c r="C357" t="inlineStr">
        <is>
          <t>Föryngringsavverkning</t>
        </is>
      </c>
      <c r="D357" s="1" t="n">
        <v>45596</v>
      </c>
      <c r="E357" s="1" t="n">
        <v>46216</v>
      </c>
      <c r="F357" t="inlineStr">
        <is>
          <t>DALARNAS LÄN</t>
        </is>
      </c>
      <c r="G357" t="inlineStr">
        <is>
          <t>SMEDJEBACKEN</t>
        </is>
      </c>
      <c r="I357" t="n">
        <v>5.1</v>
      </c>
      <c r="J357" t="n">
        <v>0</v>
      </c>
      <c r="K357" t="n">
        <v>0</v>
      </c>
      <c r="L357" t="n">
        <v>0</v>
      </c>
      <c r="M357" t="n">
        <v>0</v>
      </c>
      <c r="N357" t="n">
        <v>0</v>
      </c>
      <c r="O357" t="n">
        <v>0</v>
      </c>
      <c r="P357" t="n">
        <v>0</v>
      </c>
      <c r="Q357" t="n">
        <v>0</v>
      </c>
      <c r="R357" t="n">
        <v>0</v>
      </c>
      <c r="S357" t="n">
        <v>0</v>
      </c>
      <c r="T357" t="n">
        <v>0</v>
      </c>
      <c r="U357" s="2" t="inlineStr"/>
    </row>
    <row r="358" ht="15" customHeight="1">
      <c r="A358" t="inlineStr">
        <is>
          <t>A 63234-2025</t>
        </is>
      </c>
      <c r="B358" t="inlineStr">
        <is>
          <t>avverkningsanmälan</t>
        </is>
      </c>
      <c r="C358" t="inlineStr">
        <is>
          <t>Föryngringsavverkning</t>
        </is>
      </c>
      <c r="D358" s="1" t="n">
        <v>46010</v>
      </c>
      <c r="E358" s="1" t="n">
        <v>46216</v>
      </c>
      <c r="F358" t="inlineStr">
        <is>
          <t>DALARNAS LÄN</t>
        </is>
      </c>
      <c r="G358" t="inlineStr">
        <is>
          <t>SMEDJEBACKEN</t>
        </is>
      </c>
      <c r="I358" t="n">
        <v>5.7</v>
      </c>
      <c r="J358" t="n">
        <v>0</v>
      </c>
      <c r="K358" t="n">
        <v>0</v>
      </c>
      <c r="L358" t="n">
        <v>0</v>
      </c>
      <c r="M358" t="n">
        <v>0</v>
      </c>
      <c r="N358" t="n">
        <v>0</v>
      </c>
      <c r="O358" t="n">
        <v>0</v>
      </c>
      <c r="P358" t="n">
        <v>0</v>
      </c>
      <c r="Q358" t="n">
        <v>0</v>
      </c>
      <c r="R358" t="n">
        <v>0</v>
      </c>
      <c r="S358" t="n">
        <v>0</v>
      </c>
      <c r="T358" t="n">
        <v>0</v>
      </c>
      <c r="U358" s="2" t="inlineStr"/>
    </row>
    <row r="359" ht="15" customHeight="1">
      <c r="A359" t="inlineStr">
        <is>
          <t>A 63347-2025</t>
        </is>
      </c>
      <c r="B359" t="inlineStr">
        <is>
          <t>avverkningsanmälan</t>
        </is>
      </c>
      <c r="C359" t="inlineStr">
        <is>
          <t>Föryngringsavverkning</t>
        </is>
      </c>
      <c r="D359" s="1" t="n">
        <v>46010</v>
      </c>
      <c r="E359" s="1" t="n">
        <v>46216</v>
      </c>
      <c r="F359" t="inlineStr">
        <is>
          <t>DALARNAS LÄN</t>
        </is>
      </c>
      <c r="G359" t="inlineStr">
        <is>
          <t>SMEDJEBACKEN</t>
        </is>
      </c>
      <c r="H359" t="inlineStr">
        <is>
          <t>Bergvik skog väst AB</t>
        </is>
      </c>
      <c r="I359" t="n">
        <v>13.6</v>
      </c>
      <c r="J359" t="n">
        <v>0</v>
      </c>
      <c r="K359" t="n">
        <v>0</v>
      </c>
      <c r="L359" t="n">
        <v>0</v>
      </c>
      <c r="M359" t="n">
        <v>0</v>
      </c>
      <c r="N359" t="n">
        <v>0</v>
      </c>
      <c r="O359" t="n">
        <v>0</v>
      </c>
      <c r="P359" t="n">
        <v>0</v>
      </c>
      <c r="Q359" t="n">
        <v>0</v>
      </c>
      <c r="R359" t="n">
        <v>0</v>
      </c>
      <c r="S359" t="n">
        <v>0</v>
      </c>
      <c r="T359" t="n">
        <v>0</v>
      </c>
      <c r="U359" s="2" t="inlineStr"/>
    </row>
    <row r="360" ht="15" customHeight="1">
      <c r="A360" t="inlineStr">
        <is>
          <t>A 55650-2021</t>
        </is>
      </c>
      <c r="B360" t="inlineStr">
        <is>
          <t>avverkningsanmälan</t>
        </is>
      </c>
      <c r="C360" t="inlineStr">
        <is>
          <t>Föryngringsavverkning</t>
        </is>
      </c>
      <c r="D360" s="1" t="n">
        <v>44475</v>
      </c>
      <c r="E360" s="1" t="n">
        <v>46216</v>
      </c>
      <c r="F360" t="inlineStr">
        <is>
          <t>DALARNAS LÄN</t>
        </is>
      </c>
      <c r="G360" t="inlineStr">
        <is>
          <t>SMEDJEBACKEN</t>
        </is>
      </c>
      <c r="H360" t="inlineStr">
        <is>
          <t>Bergvik skog väst AB</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57629-2022</t>
        </is>
      </c>
      <c r="B361" t="inlineStr">
        <is>
          <t>avverkningsanmälan</t>
        </is>
      </c>
      <c r="C361" t="inlineStr">
        <is>
          <t>Föryngringsavverkning</t>
        </is>
      </c>
      <c r="D361" s="1" t="n">
        <v>44897</v>
      </c>
      <c r="E361" s="1" t="n">
        <v>46216</v>
      </c>
      <c r="F361" t="inlineStr">
        <is>
          <t>DALARNAS LÄN</t>
        </is>
      </c>
      <c r="G361" t="inlineStr">
        <is>
          <t>SMEDJEBACKEN</t>
        </is>
      </c>
      <c r="H361" t="inlineStr">
        <is>
          <t>Kyrkan</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63753-2025</t>
        </is>
      </c>
      <c r="B362" t="inlineStr">
        <is>
          <t>avverkningsanmälan</t>
        </is>
      </c>
      <c r="C362" t="inlineStr">
        <is>
          <t>Föryngringsavverkning</t>
        </is>
      </c>
      <c r="D362" s="1" t="n">
        <v>46017</v>
      </c>
      <c r="E362" s="1" t="n">
        <v>46216</v>
      </c>
      <c r="F362" t="inlineStr">
        <is>
          <t>DALARNAS LÄN</t>
        </is>
      </c>
      <c r="G362" t="inlineStr">
        <is>
          <t>SMEDJEBACKEN</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57390-2022</t>
        </is>
      </c>
      <c r="B363" t="inlineStr">
        <is>
          <t>avverkningsanmälan</t>
        </is>
      </c>
      <c r="C363" t="inlineStr">
        <is>
          <t>Föryngringsavverkning</t>
        </is>
      </c>
      <c r="D363" s="1" t="n">
        <v>44896</v>
      </c>
      <c r="E363" s="1" t="n">
        <v>46216</v>
      </c>
      <c r="F363" t="inlineStr">
        <is>
          <t>DALARNAS LÄN</t>
        </is>
      </c>
      <c r="G363" t="inlineStr">
        <is>
          <t>SMEDJEBACKEN</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49447-2025</t>
        </is>
      </c>
      <c r="B364" t="inlineStr">
        <is>
          <t>avverkningsanmälan</t>
        </is>
      </c>
      <c r="C364" t="inlineStr">
        <is>
          <t>Föryngringsavverkning</t>
        </is>
      </c>
      <c r="D364" s="1" t="n">
        <v>45938</v>
      </c>
      <c r="E364" s="1" t="n">
        <v>46216</v>
      </c>
      <c r="F364" t="inlineStr">
        <is>
          <t>DALARNAS LÄN</t>
        </is>
      </c>
      <c r="G364" t="inlineStr">
        <is>
          <t>SMEDJEBACKEN</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48964-2025</t>
        </is>
      </c>
      <c r="B365" t="inlineStr">
        <is>
          <t>avverkningsanmälan</t>
        </is>
      </c>
      <c r="C365" t="inlineStr">
        <is>
          <t>Föryngringsavverkning</t>
        </is>
      </c>
      <c r="D365" s="1" t="n">
        <v>45937</v>
      </c>
      <c r="E365" s="1" t="n">
        <v>46216</v>
      </c>
      <c r="F365" t="inlineStr">
        <is>
          <t>DALARNAS LÄN</t>
        </is>
      </c>
      <c r="G365" t="inlineStr">
        <is>
          <t>SMEDJEBACKEN</t>
        </is>
      </c>
      <c r="H365" t="inlineStr">
        <is>
          <t>Sveaskog</t>
        </is>
      </c>
      <c r="I365" t="n">
        <v>3</v>
      </c>
      <c r="J365" t="n">
        <v>0</v>
      </c>
      <c r="K365" t="n">
        <v>0</v>
      </c>
      <c r="L365" t="n">
        <v>0</v>
      </c>
      <c r="M365" t="n">
        <v>0</v>
      </c>
      <c r="N365" t="n">
        <v>0</v>
      </c>
      <c r="O365" t="n">
        <v>0</v>
      </c>
      <c r="P365" t="n">
        <v>0</v>
      </c>
      <c r="Q365" t="n">
        <v>0</v>
      </c>
      <c r="R365" t="n">
        <v>0</v>
      </c>
      <c r="S365" t="n">
        <v>0</v>
      </c>
      <c r="T365" t="n">
        <v>0</v>
      </c>
      <c r="U365" s="2" t="inlineStr"/>
    </row>
    <row r="366" ht="15" customHeight="1">
      <c r="A366" t="inlineStr">
        <is>
          <t>A 25118-2024</t>
        </is>
      </c>
      <c r="B366" t="inlineStr">
        <is>
          <t>avverkningsanmälan</t>
        </is>
      </c>
      <c r="C366" t="inlineStr">
        <is>
          <t>Föryngringsavverkning</t>
        </is>
      </c>
      <c r="D366" s="1" t="n">
        <v>45462</v>
      </c>
      <c r="E366" s="1" t="n">
        <v>46216</v>
      </c>
      <c r="F366" t="inlineStr">
        <is>
          <t>DALARNAS LÄN</t>
        </is>
      </c>
      <c r="G366" t="inlineStr">
        <is>
          <t>SMEDJEBACKEN</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25126-2024</t>
        </is>
      </c>
      <c r="B367" t="inlineStr">
        <is>
          <t>avverkningsanmälan</t>
        </is>
      </c>
      <c r="C367" t="inlineStr">
        <is>
          <t>Föryngringsavverkning</t>
        </is>
      </c>
      <c r="D367" s="1" t="n">
        <v>45462</v>
      </c>
      <c r="E367" s="1" t="n">
        <v>46216</v>
      </c>
      <c r="F367" t="inlineStr">
        <is>
          <t>DALARNAS LÄN</t>
        </is>
      </c>
      <c r="G367" t="inlineStr">
        <is>
          <t>SMEDJEBACKEN</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12441-2026</t>
        </is>
      </c>
      <c r="B368" t="inlineStr">
        <is>
          <t>avverkningsanmälan</t>
        </is>
      </c>
      <c r="C368" t="inlineStr">
        <is>
          <t>Föryngringsavverkning</t>
        </is>
      </c>
      <c r="D368" s="1" t="n">
        <v>46090</v>
      </c>
      <c r="E368" s="1" t="n">
        <v>46216</v>
      </c>
      <c r="F368" t="inlineStr">
        <is>
          <t>DALARNAS LÄN</t>
        </is>
      </c>
      <c r="G368" t="inlineStr">
        <is>
          <t>SMEDJEBACKEN</t>
        </is>
      </c>
      <c r="I368" t="n">
        <v>5.4</v>
      </c>
      <c r="J368" t="n">
        <v>0</v>
      </c>
      <c r="K368" t="n">
        <v>0</v>
      </c>
      <c r="L368" t="n">
        <v>0</v>
      </c>
      <c r="M368" t="n">
        <v>0</v>
      </c>
      <c r="N368" t="n">
        <v>0</v>
      </c>
      <c r="O368" t="n">
        <v>0</v>
      </c>
      <c r="P368" t="n">
        <v>0</v>
      </c>
      <c r="Q368" t="n">
        <v>0</v>
      </c>
      <c r="R368" t="n">
        <v>0</v>
      </c>
      <c r="S368" t="n">
        <v>0</v>
      </c>
      <c r="T368" t="n">
        <v>0</v>
      </c>
      <c r="U368" s="2" t="inlineStr"/>
    </row>
    <row r="369" ht="15" customHeight="1">
      <c r="A369" t="inlineStr">
        <is>
          <t>A 32016-2022</t>
        </is>
      </c>
      <c r="B369" t="inlineStr">
        <is>
          <t>avverkningsanmälan</t>
        </is>
      </c>
      <c r="C369" t="inlineStr">
        <is>
          <t>Föryngringsavverkning</t>
        </is>
      </c>
      <c r="D369" s="1" t="n">
        <v>44778</v>
      </c>
      <c r="E369" s="1" t="n">
        <v>46216</v>
      </c>
      <c r="F369" t="inlineStr">
        <is>
          <t>DALARNAS LÄN</t>
        </is>
      </c>
      <c r="G369" t="inlineStr">
        <is>
          <t>SMEDJEBACKEN</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12447-2026</t>
        </is>
      </c>
      <c r="B370" t="inlineStr">
        <is>
          <t>avverkningsanmälan</t>
        </is>
      </c>
      <c r="C370" t="inlineStr">
        <is>
          <t>Föryngringsavverkning</t>
        </is>
      </c>
      <c r="D370" s="1" t="n">
        <v>46090</v>
      </c>
      <c r="E370" s="1" t="n">
        <v>46216</v>
      </c>
      <c r="F370" t="inlineStr">
        <is>
          <t>DALARNAS LÄN</t>
        </is>
      </c>
      <c r="G370" t="inlineStr">
        <is>
          <t>SMEDJEBACKEN</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56393-2024</t>
        </is>
      </c>
      <c r="B371" t="inlineStr">
        <is>
          <t>avverkningsanmälan</t>
        </is>
      </c>
      <c r="C371" t="inlineStr">
        <is>
          <t>Föryngringsavverkning</t>
        </is>
      </c>
      <c r="D371" s="1" t="n">
        <v>45625</v>
      </c>
      <c r="E371" s="1" t="n">
        <v>46216</v>
      </c>
      <c r="F371" t="inlineStr">
        <is>
          <t>DALARNAS LÄN</t>
        </is>
      </c>
      <c r="G371" t="inlineStr">
        <is>
          <t>SMEDJEBACKEN</t>
        </is>
      </c>
      <c r="H371" t="inlineStr">
        <is>
          <t>Sveaskog</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13535-2026</t>
        </is>
      </c>
      <c r="B372" t="inlineStr">
        <is>
          <t>avverkningsanmälan</t>
        </is>
      </c>
      <c r="C372" t="inlineStr">
        <is>
          <t>Föryngringsavverkning</t>
        </is>
      </c>
      <c r="D372" s="1" t="n">
        <v>46094</v>
      </c>
      <c r="E372" s="1" t="n">
        <v>46216</v>
      </c>
      <c r="F372" t="inlineStr">
        <is>
          <t>DALARNAS LÄN</t>
        </is>
      </c>
      <c r="G372" t="inlineStr">
        <is>
          <t>SMEDJEBACKEN</t>
        </is>
      </c>
      <c r="H372" t="inlineStr">
        <is>
          <t>Övriga Aktiebolag</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16155-2022</t>
        </is>
      </c>
      <c r="B373" t="inlineStr">
        <is>
          <t>avverkningsanmälan</t>
        </is>
      </c>
      <c r="C373" t="inlineStr">
        <is>
          <t>Föryngringsavverkning</t>
        </is>
      </c>
      <c r="D373" s="1" t="n">
        <v>44666</v>
      </c>
      <c r="E373" s="1" t="n">
        <v>46216</v>
      </c>
      <c r="F373" t="inlineStr">
        <is>
          <t>DALARNAS LÄN</t>
        </is>
      </c>
      <c r="G373" t="inlineStr">
        <is>
          <t>SMEDJEBACKEN</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29449-2023</t>
        </is>
      </c>
      <c r="B374" t="inlineStr">
        <is>
          <t>avverkningsanmälan</t>
        </is>
      </c>
      <c r="C374" t="inlineStr">
        <is>
          <t>Föryngringsavverkning</t>
        </is>
      </c>
      <c r="D374" s="1" t="n">
        <v>45106</v>
      </c>
      <c r="E374" s="1" t="n">
        <v>46216</v>
      </c>
      <c r="F374" t="inlineStr">
        <is>
          <t>DALARNAS LÄN</t>
        </is>
      </c>
      <c r="G374" t="inlineStr">
        <is>
          <t>SMEDJEBACKEN</t>
        </is>
      </c>
      <c r="H374" t="inlineStr">
        <is>
          <t>Sveaskog</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13851-2026</t>
        </is>
      </c>
      <c r="B375" t="inlineStr">
        <is>
          <t>avverkningsanmälan</t>
        </is>
      </c>
      <c r="C375" t="inlineStr">
        <is>
          <t>Föryngringsavverkning</t>
        </is>
      </c>
      <c r="D375" s="1" t="n">
        <v>46098</v>
      </c>
      <c r="E375" s="1" t="n">
        <v>46216</v>
      </c>
      <c r="F375" t="inlineStr">
        <is>
          <t>DALARNAS LÄN</t>
        </is>
      </c>
      <c r="G375" t="inlineStr">
        <is>
          <t>SMEDJEBACKEN</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14011-2026</t>
        </is>
      </c>
      <c r="B376" t="inlineStr">
        <is>
          <t>avverkningsanmälan</t>
        </is>
      </c>
      <c r="C376" t="inlineStr">
        <is>
          <t>Föryngringsavverkning</t>
        </is>
      </c>
      <c r="D376" s="1" t="n">
        <v>46098</v>
      </c>
      <c r="E376" s="1" t="n">
        <v>46216</v>
      </c>
      <c r="F376" t="inlineStr">
        <is>
          <t>DALARNAS LÄN</t>
        </is>
      </c>
      <c r="G376" t="inlineStr">
        <is>
          <t>SMEDJEBACKEN</t>
        </is>
      </c>
      <c r="H376" t="inlineStr">
        <is>
          <t>Bergvik skog väst AB</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13956-2026</t>
        </is>
      </c>
      <c r="B377" t="inlineStr">
        <is>
          <t>avverkningsanmälan</t>
        </is>
      </c>
      <c r="C377" t="inlineStr">
        <is>
          <t>Föryngringsavverkning</t>
        </is>
      </c>
      <c r="D377" s="1" t="n">
        <v>46098</v>
      </c>
      <c r="E377" s="1" t="n">
        <v>46216</v>
      </c>
      <c r="F377" t="inlineStr">
        <is>
          <t>DALARNAS LÄN</t>
        </is>
      </c>
      <c r="G377" t="inlineStr">
        <is>
          <t>SMEDJEBACKEN</t>
        </is>
      </c>
      <c r="H377" t="inlineStr">
        <is>
          <t>Övriga Aktiebolag</t>
        </is>
      </c>
      <c r="I377" t="n">
        <v>28.8</v>
      </c>
      <c r="J377" t="n">
        <v>0</v>
      </c>
      <c r="K377" t="n">
        <v>0</v>
      </c>
      <c r="L377" t="n">
        <v>0</v>
      </c>
      <c r="M377" t="n">
        <v>0</v>
      </c>
      <c r="N377" t="n">
        <v>0</v>
      </c>
      <c r="O377" t="n">
        <v>0</v>
      </c>
      <c r="P377" t="n">
        <v>0</v>
      </c>
      <c r="Q377" t="n">
        <v>0</v>
      </c>
      <c r="R377" t="n">
        <v>0</v>
      </c>
      <c r="S377" t="n">
        <v>0</v>
      </c>
      <c r="T377" t="n">
        <v>0</v>
      </c>
      <c r="U377" s="2" t="inlineStr"/>
    </row>
    <row r="378" ht="15" customHeight="1">
      <c r="A378" t="inlineStr">
        <is>
          <t>A 19179-2024</t>
        </is>
      </c>
      <c r="B378" t="inlineStr">
        <is>
          <t>avverkningsanmälan</t>
        </is>
      </c>
      <c r="C378" t="inlineStr">
        <is>
          <t>Föryngringsavverkning</t>
        </is>
      </c>
      <c r="D378" s="1" t="n">
        <v>45428</v>
      </c>
      <c r="E378" s="1" t="n">
        <v>46216</v>
      </c>
      <c r="F378" t="inlineStr">
        <is>
          <t>DALARNAS LÄN</t>
        </is>
      </c>
      <c r="G378" t="inlineStr">
        <is>
          <t>SMEDJEBACKEN</t>
        </is>
      </c>
      <c r="I378" t="n">
        <v>3.3</v>
      </c>
      <c r="J378" t="n">
        <v>0</v>
      </c>
      <c r="K378" t="n">
        <v>0</v>
      </c>
      <c r="L378" t="n">
        <v>0</v>
      </c>
      <c r="M378" t="n">
        <v>0</v>
      </c>
      <c r="N378" t="n">
        <v>0</v>
      </c>
      <c r="O378" t="n">
        <v>0</v>
      </c>
      <c r="P378" t="n">
        <v>0</v>
      </c>
      <c r="Q378" t="n">
        <v>0</v>
      </c>
      <c r="R378" t="n">
        <v>0</v>
      </c>
      <c r="S378" t="n">
        <v>0</v>
      </c>
      <c r="T378" t="n">
        <v>0</v>
      </c>
      <c r="U378" s="2" t="inlineStr"/>
    </row>
    <row r="379" ht="15" customHeight="1">
      <c r="A379" t="inlineStr">
        <is>
          <t>A 14415-2026</t>
        </is>
      </c>
      <c r="B379" t="inlineStr">
        <is>
          <t>avverkningsanmälan</t>
        </is>
      </c>
      <c r="C379" t="inlineStr">
        <is>
          <t>Föryngringsavverkning</t>
        </is>
      </c>
      <c r="D379" s="1" t="n">
        <v>46100</v>
      </c>
      <c r="E379" s="1" t="n">
        <v>46216</v>
      </c>
      <c r="F379" t="inlineStr">
        <is>
          <t>DALARNAS LÄN</t>
        </is>
      </c>
      <c r="G379" t="inlineStr">
        <is>
          <t>SMEDJEBACKEN</t>
        </is>
      </c>
      <c r="H379" t="inlineStr">
        <is>
          <t>Övriga Aktiebolag</t>
        </is>
      </c>
      <c r="I379" t="n">
        <v>3.5</v>
      </c>
      <c r="J379" t="n">
        <v>0</v>
      </c>
      <c r="K379" t="n">
        <v>0</v>
      </c>
      <c r="L379" t="n">
        <v>0</v>
      </c>
      <c r="M379" t="n">
        <v>0</v>
      </c>
      <c r="N379" t="n">
        <v>0</v>
      </c>
      <c r="O379" t="n">
        <v>0</v>
      </c>
      <c r="P379" t="n">
        <v>0</v>
      </c>
      <c r="Q379" t="n">
        <v>0</v>
      </c>
      <c r="R379" t="n">
        <v>0</v>
      </c>
      <c r="S379" t="n">
        <v>0</v>
      </c>
      <c r="T379" t="n">
        <v>0</v>
      </c>
      <c r="U379" s="2" t="inlineStr"/>
    </row>
    <row r="380" ht="15" customHeight="1">
      <c r="A380" t="inlineStr">
        <is>
          <t>A 14430-2026</t>
        </is>
      </c>
      <c r="B380" t="inlineStr">
        <is>
          <t>avverkningsanmälan</t>
        </is>
      </c>
      <c r="C380" t="inlineStr">
        <is>
          <t>Föryngringsavverkning</t>
        </is>
      </c>
      <c r="D380" s="1" t="n">
        <v>46100</v>
      </c>
      <c r="E380" s="1" t="n">
        <v>46216</v>
      </c>
      <c r="F380" t="inlineStr">
        <is>
          <t>DALARNAS LÄN</t>
        </is>
      </c>
      <c r="G380" t="inlineStr">
        <is>
          <t>SMEDJEBACKEN</t>
        </is>
      </c>
      <c r="H380" t="inlineStr">
        <is>
          <t>Övriga Aktiebolag</t>
        </is>
      </c>
      <c r="I380" t="n">
        <v>4</v>
      </c>
      <c r="J380" t="n">
        <v>0</v>
      </c>
      <c r="K380" t="n">
        <v>0</v>
      </c>
      <c r="L380" t="n">
        <v>0</v>
      </c>
      <c r="M380" t="n">
        <v>0</v>
      </c>
      <c r="N380" t="n">
        <v>0</v>
      </c>
      <c r="O380" t="n">
        <v>0</v>
      </c>
      <c r="P380" t="n">
        <v>0</v>
      </c>
      <c r="Q380" t="n">
        <v>0</v>
      </c>
      <c r="R380" t="n">
        <v>0</v>
      </c>
      <c r="S380" t="n">
        <v>0</v>
      </c>
      <c r="T380" t="n">
        <v>0</v>
      </c>
      <c r="U380" s="2" t="inlineStr"/>
    </row>
    <row r="381" ht="15" customHeight="1">
      <c r="A381" t="inlineStr">
        <is>
          <t>A 14276-2026</t>
        </is>
      </c>
      <c r="B381" t="inlineStr">
        <is>
          <t>avverkningsanmälan</t>
        </is>
      </c>
      <c r="C381" t="inlineStr">
        <is>
          <t>Föryngringsavverkning</t>
        </is>
      </c>
      <c r="D381" s="1" t="n">
        <v>46099</v>
      </c>
      <c r="E381" s="1" t="n">
        <v>46216</v>
      </c>
      <c r="F381" t="inlineStr">
        <is>
          <t>DALARNAS LÄN</t>
        </is>
      </c>
      <c r="G381" t="inlineStr">
        <is>
          <t>SMEDJEBACKEN</t>
        </is>
      </c>
      <c r="I381" t="n">
        <v>5.1</v>
      </c>
      <c r="J381" t="n">
        <v>0</v>
      </c>
      <c r="K381" t="n">
        <v>0</v>
      </c>
      <c r="L381" t="n">
        <v>0</v>
      </c>
      <c r="M381" t="n">
        <v>0</v>
      </c>
      <c r="N381" t="n">
        <v>0</v>
      </c>
      <c r="O381" t="n">
        <v>0</v>
      </c>
      <c r="P381" t="n">
        <v>0</v>
      </c>
      <c r="Q381" t="n">
        <v>0</v>
      </c>
      <c r="R381" t="n">
        <v>0</v>
      </c>
      <c r="S381" t="n">
        <v>0</v>
      </c>
      <c r="T381" t="n">
        <v>0</v>
      </c>
      <c r="U381" s="2" t="inlineStr"/>
    </row>
    <row r="382" ht="15" customHeight="1">
      <c r="A382" t="inlineStr">
        <is>
          <t>A 45478-2022</t>
        </is>
      </c>
      <c r="B382" t="inlineStr">
        <is>
          <t>avverkningsanmälan</t>
        </is>
      </c>
      <c r="C382" t="inlineStr">
        <is>
          <t>Föryngringsavverkning</t>
        </is>
      </c>
      <c r="D382" s="1" t="n">
        <v>44845</v>
      </c>
      <c r="E382" s="1" t="n">
        <v>46216</v>
      </c>
      <c r="F382" t="inlineStr">
        <is>
          <t>DALARNAS LÄN</t>
        </is>
      </c>
      <c r="G382" t="inlineStr">
        <is>
          <t>SMEDJEBACKEN</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14605-2026</t>
        </is>
      </c>
      <c r="B383" t="inlineStr">
        <is>
          <t>avverkningsanmälan</t>
        </is>
      </c>
      <c r="C383" t="inlineStr">
        <is>
          <t>Föryngringsavverkning</t>
        </is>
      </c>
      <c r="D383" s="1" t="n">
        <v>46101</v>
      </c>
      <c r="E383" s="1" t="n">
        <v>46216</v>
      </c>
      <c r="F383" t="inlineStr">
        <is>
          <t>DALARNAS LÄN</t>
        </is>
      </c>
      <c r="G383" t="inlineStr">
        <is>
          <t>SMEDJEBACKEN</t>
        </is>
      </c>
      <c r="H383" t="inlineStr">
        <is>
          <t>Sveaskog</t>
        </is>
      </c>
      <c r="I383" t="n">
        <v>3.3</v>
      </c>
      <c r="J383" t="n">
        <v>0</v>
      </c>
      <c r="K383" t="n">
        <v>0</v>
      </c>
      <c r="L383" t="n">
        <v>0</v>
      </c>
      <c r="M383" t="n">
        <v>0</v>
      </c>
      <c r="N383" t="n">
        <v>0</v>
      </c>
      <c r="O383" t="n">
        <v>0</v>
      </c>
      <c r="P383" t="n">
        <v>0</v>
      </c>
      <c r="Q383" t="n">
        <v>0</v>
      </c>
      <c r="R383" t="n">
        <v>0</v>
      </c>
      <c r="S383" t="n">
        <v>0</v>
      </c>
      <c r="T383" t="n">
        <v>0</v>
      </c>
      <c r="U383" s="2" t="inlineStr"/>
    </row>
    <row r="384" ht="15" customHeight="1">
      <c r="A384" t="inlineStr">
        <is>
          <t>A 14606-2026</t>
        </is>
      </c>
      <c r="B384" t="inlineStr">
        <is>
          <t>avverkningsanmälan</t>
        </is>
      </c>
      <c r="C384" t="inlineStr">
        <is>
          <t>Föryngringsavverkning</t>
        </is>
      </c>
      <c r="D384" s="1" t="n">
        <v>46101</v>
      </c>
      <c r="E384" s="1" t="n">
        <v>46216</v>
      </c>
      <c r="F384" t="inlineStr">
        <is>
          <t>DALARNAS LÄN</t>
        </is>
      </c>
      <c r="G384" t="inlineStr">
        <is>
          <t>SMEDJEBACKEN</t>
        </is>
      </c>
      <c r="H384" t="inlineStr">
        <is>
          <t>Sveaskog</t>
        </is>
      </c>
      <c r="I384" t="n">
        <v>2.2</v>
      </c>
      <c r="J384" t="n">
        <v>0</v>
      </c>
      <c r="K384" t="n">
        <v>0</v>
      </c>
      <c r="L384" t="n">
        <v>0</v>
      </c>
      <c r="M384" t="n">
        <v>0</v>
      </c>
      <c r="N384" t="n">
        <v>0</v>
      </c>
      <c r="O384" t="n">
        <v>0</v>
      </c>
      <c r="P384" t="n">
        <v>0</v>
      </c>
      <c r="Q384" t="n">
        <v>0</v>
      </c>
      <c r="R384" t="n">
        <v>0</v>
      </c>
      <c r="S384" t="n">
        <v>0</v>
      </c>
      <c r="T384" t="n">
        <v>0</v>
      </c>
      <c r="U384" s="2" t="inlineStr"/>
    </row>
    <row r="385" ht="15" customHeight="1">
      <c r="A385" t="inlineStr">
        <is>
          <t>A 14601-2026</t>
        </is>
      </c>
      <c r="B385" t="inlineStr">
        <is>
          <t>avverkningsanmälan</t>
        </is>
      </c>
      <c r="C385" t="inlineStr">
        <is>
          <t>Föryngringsavverkning</t>
        </is>
      </c>
      <c r="D385" s="1" t="n">
        <v>46101</v>
      </c>
      <c r="E385" s="1" t="n">
        <v>46216</v>
      </c>
      <c r="F385" t="inlineStr">
        <is>
          <t>DALARNAS LÄN</t>
        </is>
      </c>
      <c r="G385" t="inlineStr">
        <is>
          <t>SMEDJEBACKEN</t>
        </is>
      </c>
      <c r="H385" t="inlineStr">
        <is>
          <t>Sveaskog</t>
        </is>
      </c>
      <c r="I385" t="n">
        <v>4.9</v>
      </c>
      <c r="J385" t="n">
        <v>0</v>
      </c>
      <c r="K385" t="n">
        <v>0</v>
      </c>
      <c r="L385" t="n">
        <v>0</v>
      </c>
      <c r="M385" t="n">
        <v>0</v>
      </c>
      <c r="N385" t="n">
        <v>0</v>
      </c>
      <c r="O385" t="n">
        <v>0</v>
      </c>
      <c r="P385" t="n">
        <v>0</v>
      </c>
      <c r="Q385" t="n">
        <v>0</v>
      </c>
      <c r="R385" t="n">
        <v>0</v>
      </c>
      <c r="S385" t="n">
        <v>0</v>
      </c>
      <c r="T385" t="n">
        <v>0</v>
      </c>
      <c r="U385" s="2" t="inlineStr"/>
    </row>
    <row r="386" ht="15" customHeight="1">
      <c r="A386" t="inlineStr">
        <is>
          <t>A 14609-2026</t>
        </is>
      </c>
      <c r="B386" t="inlineStr">
        <is>
          <t>avverkningsanmälan</t>
        </is>
      </c>
      <c r="C386" t="inlineStr">
        <is>
          <t>Föryngringsavverkning</t>
        </is>
      </c>
      <c r="D386" s="1" t="n">
        <v>46101</v>
      </c>
      <c r="E386" s="1" t="n">
        <v>46216</v>
      </c>
      <c r="F386" t="inlineStr">
        <is>
          <t>DALARNAS LÄN</t>
        </is>
      </c>
      <c r="G386" t="inlineStr">
        <is>
          <t>SMEDJEBACKEN</t>
        </is>
      </c>
      <c r="H386" t="inlineStr">
        <is>
          <t>Sveaskog</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18908-2024</t>
        </is>
      </c>
      <c r="B387" t="inlineStr">
        <is>
          <t>avverkningsanmälan</t>
        </is>
      </c>
      <c r="C387" t="inlineStr">
        <is>
          <t>Föryngringsavverkning</t>
        </is>
      </c>
      <c r="D387" s="1" t="n">
        <v>45427</v>
      </c>
      <c r="E387" s="1" t="n">
        <v>46216</v>
      </c>
      <c r="F387" t="inlineStr">
        <is>
          <t>DALARNAS LÄN</t>
        </is>
      </c>
      <c r="G387" t="inlineStr">
        <is>
          <t>SMEDJEBACKEN</t>
        </is>
      </c>
      <c r="H387" t="inlineStr">
        <is>
          <t>Sveaskog</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15047-2026</t>
        </is>
      </c>
      <c r="B388" t="inlineStr">
        <is>
          <t>avverkningsanmälan</t>
        </is>
      </c>
      <c r="C388" t="inlineStr">
        <is>
          <t>Föryngringsavverkning</t>
        </is>
      </c>
      <c r="D388" s="1" t="n">
        <v>46104</v>
      </c>
      <c r="E388" s="1" t="n">
        <v>46216</v>
      </c>
      <c r="F388" t="inlineStr">
        <is>
          <t>DALARNAS LÄN</t>
        </is>
      </c>
      <c r="G388" t="inlineStr">
        <is>
          <t>SMEDJEBACKEN</t>
        </is>
      </c>
      <c r="H388" t="inlineStr">
        <is>
          <t>Sveaskog</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14613-2026</t>
        </is>
      </c>
      <c r="B389" t="inlineStr">
        <is>
          <t>avverkningsanmälan</t>
        </is>
      </c>
      <c r="C389" t="inlineStr">
        <is>
          <t>Föryngringsavverkning</t>
        </is>
      </c>
      <c r="D389" s="1" t="n">
        <v>46101</v>
      </c>
      <c r="E389" s="1" t="n">
        <v>46216</v>
      </c>
      <c r="F389" t="inlineStr">
        <is>
          <t>DALARNAS LÄN</t>
        </is>
      </c>
      <c r="G389" t="inlineStr">
        <is>
          <t>SMEDJEBACKEN</t>
        </is>
      </c>
      <c r="H389" t="inlineStr">
        <is>
          <t>Sveaskog</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15049-2026</t>
        </is>
      </c>
      <c r="B390" t="inlineStr">
        <is>
          <t>avverkningsanmälan</t>
        </is>
      </c>
      <c r="C390" t="inlineStr">
        <is>
          <t>Föryngringsavverkning</t>
        </is>
      </c>
      <c r="D390" s="1" t="n">
        <v>46104</v>
      </c>
      <c r="E390" s="1" t="n">
        <v>46216</v>
      </c>
      <c r="F390" t="inlineStr">
        <is>
          <t>DALARNAS LÄN</t>
        </is>
      </c>
      <c r="G390" t="inlineStr">
        <is>
          <t>SMEDJEBACKEN</t>
        </is>
      </c>
      <c r="H390" t="inlineStr">
        <is>
          <t>Sveaskog</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14602-2026</t>
        </is>
      </c>
      <c r="B391" t="inlineStr">
        <is>
          <t>avverkningsanmälan</t>
        </is>
      </c>
      <c r="C391" t="inlineStr">
        <is>
          <t>Föryngringsavverkning</t>
        </is>
      </c>
      <c r="D391" s="1" t="n">
        <v>46101</v>
      </c>
      <c r="E391" s="1" t="n">
        <v>46216</v>
      </c>
      <c r="F391" t="inlineStr">
        <is>
          <t>DALARNAS LÄN</t>
        </is>
      </c>
      <c r="G391" t="inlineStr">
        <is>
          <t>SMEDJEBACKEN</t>
        </is>
      </c>
      <c r="H391" t="inlineStr">
        <is>
          <t>Sveaskog</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18419-2022</t>
        </is>
      </c>
      <c r="B392" t="inlineStr">
        <is>
          <t>avverkningsanmälan</t>
        </is>
      </c>
      <c r="C392" t="inlineStr">
        <is>
          <t>Föryngringsavverkning</t>
        </is>
      </c>
      <c r="D392" s="1" t="n">
        <v>44686</v>
      </c>
      <c r="E392" s="1" t="n">
        <v>46216</v>
      </c>
      <c r="F392" t="inlineStr">
        <is>
          <t>DALARNAS LÄN</t>
        </is>
      </c>
      <c r="G392" t="inlineStr">
        <is>
          <t>SMEDJEBACKEN</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62380-2021</t>
        </is>
      </c>
      <c r="B393" t="inlineStr">
        <is>
          <t>avverkningsanmälan</t>
        </is>
      </c>
      <c r="C393" t="inlineStr">
        <is>
          <t>Föryngringsavverkning</t>
        </is>
      </c>
      <c r="D393" s="1" t="n">
        <v>44503</v>
      </c>
      <c r="E393" s="1" t="n">
        <v>46216</v>
      </c>
      <c r="F393" t="inlineStr">
        <is>
          <t>DALARNAS LÄN</t>
        </is>
      </c>
      <c r="G393" t="inlineStr">
        <is>
          <t>SMEDJEBACKEN</t>
        </is>
      </c>
      <c r="I393" t="n">
        <v>10.4</v>
      </c>
      <c r="J393" t="n">
        <v>0</v>
      </c>
      <c r="K393" t="n">
        <v>0</v>
      </c>
      <c r="L393" t="n">
        <v>0</v>
      </c>
      <c r="M393" t="n">
        <v>0</v>
      </c>
      <c r="N393" t="n">
        <v>0</v>
      </c>
      <c r="O393" t="n">
        <v>0</v>
      </c>
      <c r="P393" t="n">
        <v>0</v>
      </c>
      <c r="Q393" t="n">
        <v>0</v>
      </c>
      <c r="R393" t="n">
        <v>0</v>
      </c>
      <c r="S393" t="n">
        <v>0</v>
      </c>
      <c r="T393" t="n">
        <v>0</v>
      </c>
      <c r="U393" s="2" t="inlineStr"/>
    </row>
    <row r="394" ht="15" customHeight="1">
      <c r="A394" t="inlineStr">
        <is>
          <t>A 5706-2026</t>
        </is>
      </c>
      <c r="B394" t="inlineStr">
        <is>
          <t>avverkningsanmälan</t>
        </is>
      </c>
      <c r="C394" t="inlineStr">
        <is>
          <t>Föryngringsavverkning</t>
        </is>
      </c>
      <c r="D394" s="1" t="n">
        <v>46051</v>
      </c>
      <c r="E394" s="1" t="n">
        <v>46216</v>
      </c>
      <c r="F394" t="inlineStr">
        <is>
          <t>DALARNAS LÄN</t>
        </is>
      </c>
      <c r="G394" t="inlineStr">
        <is>
          <t>SMEDJEBACKEN</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48530-2023</t>
        </is>
      </c>
      <c r="B395" t="inlineStr">
        <is>
          <t>avverkningsanmälan</t>
        </is>
      </c>
      <c r="C395" t="inlineStr">
        <is>
          <t>Föryngringsavverkning</t>
        </is>
      </c>
      <c r="D395" s="1" t="n">
        <v>45208</v>
      </c>
      <c r="E395" s="1" t="n">
        <v>46216</v>
      </c>
      <c r="F395" t="inlineStr">
        <is>
          <t>DALARNAS LÄN</t>
        </is>
      </c>
      <c r="G395" t="inlineStr">
        <is>
          <t>SMEDJEBACKEN</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A 6722-2023</t>
        </is>
      </c>
      <c r="B396" t="inlineStr">
        <is>
          <t>avverkningsanmälan</t>
        </is>
      </c>
      <c r="C396" t="inlineStr">
        <is>
          <t>Föryngringsavverkning</t>
        </is>
      </c>
      <c r="D396" s="1" t="n">
        <v>44966</v>
      </c>
      <c r="E396" s="1" t="n">
        <v>46216</v>
      </c>
      <c r="F396" t="inlineStr">
        <is>
          <t>DALARNAS LÄN</t>
        </is>
      </c>
      <c r="G396" t="inlineStr">
        <is>
          <t>SMEDJEBACKEN</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52780-2023</t>
        </is>
      </c>
      <c r="B397" t="inlineStr">
        <is>
          <t>avverkningsanmälan</t>
        </is>
      </c>
      <c r="C397" t="inlineStr">
        <is>
          <t>Föryngringsavverkning</t>
        </is>
      </c>
      <c r="D397" s="1" t="n">
        <v>45226</v>
      </c>
      <c r="E397" s="1" t="n">
        <v>46216</v>
      </c>
      <c r="F397" t="inlineStr">
        <is>
          <t>DALARNAS LÄN</t>
        </is>
      </c>
      <c r="G397" t="inlineStr">
        <is>
          <t>SMEDJEBACKEN</t>
        </is>
      </c>
      <c r="H397" t="inlineStr">
        <is>
          <t>Sveaskog</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60421-2021</t>
        </is>
      </c>
      <c r="B398" t="inlineStr">
        <is>
          <t>avverkningsanmälan</t>
        </is>
      </c>
      <c r="C398" t="inlineStr">
        <is>
          <t>Avverkning för att bevara och utveckla /försöksver</t>
        </is>
      </c>
      <c r="D398" s="1" t="n">
        <v>44496</v>
      </c>
      <c r="E398" s="1" t="n">
        <v>46216</v>
      </c>
      <c r="F398" t="inlineStr">
        <is>
          <t>DALARNAS LÄN</t>
        </is>
      </c>
      <c r="G398" t="inlineStr">
        <is>
          <t>SMEDJEBACKEN</t>
        </is>
      </c>
      <c r="H398" t="inlineStr">
        <is>
          <t>Sveaskog</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34673-2023</t>
        </is>
      </c>
      <c r="B399" t="inlineStr">
        <is>
          <t>avverkningsanmälan</t>
        </is>
      </c>
      <c r="C399" t="inlineStr">
        <is>
          <t>Föryngringsavverkning</t>
        </is>
      </c>
      <c r="D399" s="1" t="n">
        <v>45140</v>
      </c>
      <c r="E399" s="1" t="n">
        <v>46216</v>
      </c>
      <c r="F399" t="inlineStr">
        <is>
          <t>DALARNAS LÄN</t>
        </is>
      </c>
      <c r="G399" t="inlineStr">
        <is>
          <t>SMEDJEBACKEN</t>
        </is>
      </c>
      <c r="I399" t="n">
        <v>10</v>
      </c>
      <c r="J399" t="n">
        <v>0</v>
      </c>
      <c r="K399" t="n">
        <v>0</v>
      </c>
      <c r="L399" t="n">
        <v>0</v>
      </c>
      <c r="M399" t="n">
        <v>0</v>
      </c>
      <c r="N399" t="n">
        <v>0</v>
      </c>
      <c r="O399" t="n">
        <v>0</v>
      </c>
      <c r="P399" t="n">
        <v>0</v>
      </c>
      <c r="Q399" t="n">
        <v>0</v>
      </c>
      <c r="R399" t="n">
        <v>0</v>
      </c>
      <c r="S399" t="n">
        <v>0</v>
      </c>
      <c r="T399" t="n">
        <v>0</v>
      </c>
      <c r="U399" s="2" t="inlineStr"/>
    </row>
    <row r="400" ht="15" customHeight="1">
      <c r="A400" t="inlineStr">
        <is>
          <t>A 16881-2026</t>
        </is>
      </c>
      <c r="B400" t="inlineStr">
        <is>
          <t>avverkningsanmälan</t>
        </is>
      </c>
      <c r="C400" t="inlineStr">
        <is>
          <t>Föryngringsavverkning</t>
        </is>
      </c>
      <c r="D400" s="1" t="n">
        <v>46113</v>
      </c>
      <c r="E400" s="1" t="n">
        <v>46216</v>
      </c>
      <c r="F400" t="inlineStr">
        <is>
          <t>DALARNAS LÄN</t>
        </is>
      </c>
      <c r="G400" t="inlineStr">
        <is>
          <t>SMEDJEBACKEN</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16395-2025</t>
        </is>
      </c>
      <c r="B401" t="inlineStr">
        <is>
          <t>avverkningsanmälan</t>
        </is>
      </c>
      <c r="C401" t="inlineStr">
        <is>
          <t>Föryngringsavverkning</t>
        </is>
      </c>
      <c r="D401" s="1" t="n">
        <v>45751</v>
      </c>
      <c r="E401" s="1" t="n">
        <v>46216</v>
      </c>
      <c r="F401" t="inlineStr">
        <is>
          <t>DALARNAS LÄN</t>
        </is>
      </c>
      <c r="G401" t="inlineStr">
        <is>
          <t>SMEDJEBACKEN</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6464-2024</t>
        </is>
      </c>
      <c r="B402" t="inlineStr">
        <is>
          <t>avverkningsanmälan</t>
        </is>
      </c>
      <c r="C402" t="inlineStr">
        <is>
          <t>Föryngringsavverkning</t>
        </is>
      </c>
      <c r="D402" s="1" t="n">
        <v>45338</v>
      </c>
      <c r="E402" s="1" t="n">
        <v>46216</v>
      </c>
      <c r="F402" t="inlineStr">
        <is>
          <t>DALARNAS LÄN</t>
        </is>
      </c>
      <c r="G402" t="inlineStr">
        <is>
          <t>SMEDJEBACKEN</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16826-2026</t>
        </is>
      </c>
      <c r="B403" t="inlineStr">
        <is>
          <t>avverkningsanmälan</t>
        </is>
      </c>
      <c r="C403" t="inlineStr">
        <is>
          <t>Föryngringsavverkning</t>
        </is>
      </c>
      <c r="D403" s="1" t="n">
        <v>46113</v>
      </c>
      <c r="E403" s="1" t="n">
        <v>46216</v>
      </c>
      <c r="F403" t="inlineStr">
        <is>
          <t>DALARNAS LÄN</t>
        </is>
      </c>
      <c r="G403" t="inlineStr">
        <is>
          <t>SMEDJEBACKEN</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17335-2026</t>
        </is>
      </c>
      <c r="B404" t="inlineStr">
        <is>
          <t>avverkningsanmälan</t>
        </is>
      </c>
      <c r="C404" t="inlineStr">
        <is>
          <t>Föryngringsavverkning</t>
        </is>
      </c>
      <c r="D404" s="1" t="n">
        <v>46119</v>
      </c>
      <c r="E404" s="1" t="n">
        <v>46216</v>
      </c>
      <c r="F404" t="inlineStr">
        <is>
          <t>DALARNAS LÄN</t>
        </is>
      </c>
      <c r="G404" t="inlineStr">
        <is>
          <t>SMEDJEBACKEN</t>
        </is>
      </c>
      <c r="H404" t="inlineStr">
        <is>
          <t>Sveaskog</t>
        </is>
      </c>
      <c r="I404" t="n">
        <v>7.7</v>
      </c>
      <c r="J404" t="n">
        <v>0</v>
      </c>
      <c r="K404" t="n">
        <v>0</v>
      </c>
      <c r="L404" t="n">
        <v>0</v>
      </c>
      <c r="M404" t="n">
        <v>0</v>
      </c>
      <c r="N404" t="n">
        <v>0</v>
      </c>
      <c r="O404" t="n">
        <v>0</v>
      </c>
      <c r="P404" t="n">
        <v>0</v>
      </c>
      <c r="Q404" t="n">
        <v>0</v>
      </c>
      <c r="R404" t="n">
        <v>0</v>
      </c>
      <c r="S404" t="n">
        <v>0</v>
      </c>
      <c r="T404" t="n">
        <v>0</v>
      </c>
      <c r="U404" s="2" t="inlineStr"/>
    </row>
    <row r="405" ht="15" customHeight="1">
      <c r="A405" t="inlineStr">
        <is>
          <t>A 17337-2026</t>
        </is>
      </c>
      <c r="B405" t="inlineStr">
        <is>
          <t>avverkningsanmälan</t>
        </is>
      </c>
      <c r="C405" t="inlineStr">
        <is>
          <t>Föryngringsavverkning</t>
        </is>
      </c>
      <c r="D405" s="1" t="n">
        <v>46119</v>
      </c>
      <c r="E405" s="1" t="n">
        <v>46216</v>
      </c>
      <c r="F405" t="inlineStr">
        <is>
          <t>DALARNAS LÄN</t>
        </is>
      </c>
      <c r="G405" t="inlineStr">
        <is>
          <t>SMEDJEBACKEN</t>
        </is>
      </c>
      <c r="H405" t="inlineStr">
        <is>
          <t>Sveaskog</t>
        </is>
      </c>
      <c r="I405" t="n">
        <v>7.4</v>
      </c>
      <c r="J405" t="n">
        <v>0</v>
      </c>
      <c r="K405" t="n">
        <v>0</v>
      </c>
      <c r="L405" t="n">
        <v>0</v>
      </c>
      <c r="M405" t="n">
        <v>0</v>
      </c>
      <c r="N405" t="n">
        <v>0</v>
      </c>
      <c r="O405" t="n">
        <v>0</v>
      </c>
      <c r="P405" t="n">
        <v>0</v>
      </c>
      <c r="Q405" t="n">
        <v>0</v>
      </c>
      <c r="R405" t="n">
        <v>0</v>
      </c>
      <c r="S405" t="n">
        <v>0</v>
      </c>
      <c r="T405" t="n">
        <v>0</v>
      </c>
      <c r="U405" s="2" t="inlineStr"/>
    </row>
    <row r="406" ht="15" customHeight="1">
      <c r="A406" t="inlineStr">
        <is>
          <t>A 18294-2023</t>
        </is>
      </c>
      <c r="B406" t="inlineStr">
        <is>
          <t>avverkningsanmälan</t>
        </is>
      </c>
      <c r="C406" t="inlineStr">
        <is>
          <t>Föryngringsavverkning</t>
        </is>
      </c>
      <c r="D406" s="1" t="n">
        <v>45041</v>
      </c>
      <c r="E406" s="1" t="n">
        <v>46216</v>
      </c>
      <c r="F406" t="inlineStr">
        <is>
          <t>DALARNAS LÄN</t>
        </is>
      </c>
      <c r="G406" t="inlineStr">
        <is>
          <t>SMEDJEBACKEN</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17831-2026</t>
        </is>
      </c>
      <c r="B407" t="inlineStr">
        <is>
          <t>avverkningsanmälan</t>
        </is>
      </c>
      <c r="C407" t="inlineStr">
        <is>
          <t>Föryngringsavverkning</t>
        </is>
      </c>
      <c r="D407" s="1" t="n">
        <v>46122</v>
      </c>
      <c r="E407" s="1" t="n">
        <v>46216</v>
      </c>
      <c r="F407" t="inlineStr">
        <is>
          <t>DALARNAS LÄN</t>
        </is>
      </c>
      <c r="G407" t="inlineStr">
        <is>
          <t>SMEDJEBACKEN</t>
        </is>
      </c>
      <c r="H407" t="inlineStr">
        <is>
          <t>Sveaskog</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17832-2026</t>
        </is>
      </c>
      <c r="B408" t="inlineStr">
        <is>
          <t>avverkningsanmälan</t>
        </is>
      </c>
      <c r="C408" t="inlineStr">
        <is>
          <t>Föryngringsavverkning</t>
        </is>
      </c>
      <c r="D408" s="1" t="n">
        <v>46122</v>
      </c>
      <c r="E408" s="1" t="n">
        <v>46216</v>
      </c>
      <c r="F408" t="inlineStr">
        <is>
          <t>DALARNAS LÄN</t>
        </is>
      </c>
      <c r="G408" t="inlineStr">
        <is>
          <t>SMEDJEBACKEN</t>
        </is>
      </c>
      <c r="H408" t="inlineStr">
        <is>
          <t>Sveaskog</t>
        </is>
      </c>
      <c r="I408" t="n">
        <v>5.8</v>
      </c>
      <c r="J408" t="n">
        <v>0</v>
      </c>
      <c r="K408" t="n">
        <v>0</v>
      </c>
      <c r="L408" t="n">
        <v>0</v>
      </c>
      <c r="M408" t="n">
        <v>0</v>
      </c>
      <c r="N408" t="n">
        <v>0</v>
      </c>
      <c r="O408" t="n">
        <v>0</v>
      </c>
      <c r="P408" t="n">
        <v>0</v>
      </c>
      <c r="Q408" t="n">
        <v>0</v>
      </c>
      <c r="R408" t="n">
        <v>0</v>
      </c>
      <c r="S408" t="n">
        <v>0</v>
      </c>
      <c r="T408" t="n">
        <v>0</v>
      </c>
      <c r="U408" s="2" t="inlineStr"/>
    </row>
    <row r="409" ht="15" customHeight="1">
      <c r="A409" t="inlineStr">
        <is>
          <t>A 17869-2026</t>
        </is>
      </c>
      <c r="B409" t="inlineStr">
        <is>
          <t>avverkningsanmälan</t>
        </is>
      </c>
      <c r="C409" t="inlineStr">
        <is>
          <t>Föryngringsavverkning</t>
        </is>
      </c>
      <c r="D409" s="1" t="n">
        <v>46122</v>
      </c>
      <c r="E409" s="1" t="n">
        <v>46216</v>
      </c>
      <c r="F409" t="inlineStr">
        <is>
          <t>DALARNAS LÄN</t>
        </is>
      </c>
      <c r="G409" t="inlineStr">
        <is>
          <t>SMEDJEBACKEN</t>
        </is>
      </c>
      <c r="H409" t="inlineStr">
        <is>
          <t>Sveaskog</t>
        </is>
      </c>
      <c r="I409" t="n">
        <v>5.2</v>
      </c>
      <c r="J409" t="n">
        <v>0</v>
      </c>
      <c r="K409" t="n">
        <v>0</v>
      </c>
      <c r="L409" t="n">
        <v>0</v>
      </c>
      <c r="M409" t="n">
        <v>0</v>
      </c>
      <c r="N409" t="n">
        <v>0</v>
      </c>
      <c r="O409" t="n">
        <v>0</v>
      </c>
      <c r="P409" t="n">
        <v>0</v>
      </c>
      <c r="Q409" t="n">
        <v>0</v>
      </c>
      <c r="R409" t="n">
        <v>0</v>
      </c>
      <c r="S409" t="n">
        <v>0</v>
      </c>
      <c r="T409" t="n">
        <v>0</v>
      </c>
      <c r="U409" s="2" t="inlineStr"/>
    </row>
    <row r="410" ht="15" customHeight="1">
      <c r="A410" t="inlineStr">
        <is>
          <t>A 42418-2021</t>
        </is>
      </c>
      <c r="B410" t="inlineStr">
        <is>
          <t>avverkningsanmälan</t>
        </is>
      </c>
      <c r="C410" t="inlineStr">
        <is>
          <t>Föryngringsavverkning</t>
        </is>
      </c>
      <c r="D410" s="1" t="n">
        <v>44427</v>
      </c>
      <c r="E410" s="1" t="n">
        <v>46216</v>
      </c>
      <c r="F410" t="inlineStr">
        <is>
          <t>DALARNAS LÄN</t>
        </is>
      </c>
      <c r="G410" t="inlineStr">
        <is>
          <t>SMEDJEBACKEN</t>
        </is>
      </c>
      <c r="H410" t="inlineStr">
        <is>
          <t>Bergvik skog väst AB</t>
        </is>
      </c>
      <c r="I410" t="n">
        <v>2.8</v>
      </c>
      <c r="J410" t="n">
        <v>0</v>
      </c>
      <c r="K410" t="n">
        <v>0</v>
      </c>
      <c r="L410" t="n">
        <v>0</v>
      </c>
      <c r="M410" t="n">
        <v>0</v>
      </c>
      <c r="N410" t="n">
        <v>0</v>
      </c>
      <c r="O410" t="n">
        <v>0</v>
      </c>
      <c r="P410" t="n">
        <v>0</v>
      </c>
      <c r="Q410" t="n">
        <v>0</v>
      </c>
      <c r="R410" t="n">
        <v>0</v>
      </c>
      <c r="S410" t="n">
        <v>0</v>
      </c>
      <c r="T410" t="n">
        <v>0</v>
      </c>
      <c r="U410" s="2" t="inlineStr"/>
    </row>
    <row r="411" ht="15" customHeight="1">
      <c r="A411" t="inlineStr">
        <is>
          <t>A 17846-2026</t>
        </is>
      </c>
      <c r="B411" t="inlineStr">
        <is>
          <t>avverkningsanmälan</t>
        </is>
      </c>
      <c r="C411" t="inlineStr">
        <is>
          <t>Föryngringsavverkning</t>
        </is>
      </c>
      <c r="D411" s="1" t="n">
        <v>46122</v>
      </c>
      <c r="E411" s="1" t="n">
        <v>46216</v>
      </c>
      <c r="F411" t="inlineStr">
        <is>
          <t>DALARNAS LÄN</t>
        </is>
      </c>
      <c r="G411" t="inlineStr">
        <is>
          <t>SMEDJEBACKEN</t>
        </is>
      </c>
      <c r="H411" t="inlineStr">
        <is>
          <t>Sveaskog</t>
        </is>
      </c>
      <c r="I411" t="n">
        <v>7</v>
      </c>
      <c r="J411" t="n">
        <v>0</v>
      </c>
      <c r="K411" t="n">
        <v>0</v>
      </c>
      <c r="L411" t="n">
        <v>0</v>
      </c>
      <c r="M411" t="n">
        <v>0</v>
      </c>
      <c r="N411" t="n">
        <v>0</v>
      </c>
      <c r="O411" t="n">
        <v>0</v>
      </c>
      <c r="P411" t="n">
        <v>0</v>
      </c>
      <c r="Q411" t="n">
        <v>0</v>
      </c>
      <c r="R411" t="n">
        <v>0</v>
      </c>
      <c r="S411" t="n">
        <v>0</v>
      </c>
      <c r="T411" t="n">
        <v>0</v>
      </c>
      <c r="U411" s="2" t="inlineStr"/>
    </row>
    <row r="412" ht="15" customHeight="1">
      <c r="A412" t="inlineStr">
        <is>
          <t>A 17868-2026</t>
        </is>
      </c>
      <c r="B412" t="inlineStr">
        <is>
          <t>avverkningsanmälan</t>
        </is>
      </c>
      <c r="C412" t="inlineStr">
        <is>
          <t>Föryngringsavverkning</t>
        </is>
      </c>
      <c r="D412" s="1" t="n">
        <v>46122</v>
      </c>
      <c r="E412" s="1" t="n">
        <v>46216</v>
      </c>
      <c r="F412" t="inlineStr">
        <is>
          <t>DALARNAS LÄN</t>
        </is>
      </c>
      <c r="G412" t="inlineStr">
        <is>
          <t>SMEDJEBACKEN</t>
        </is>
      </c>
      <c r="H412" t="inlineStr">
        <is>
          <t>Sveaskog</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18093-2026</t>
        </is>
      </c>
      <c r="B413" t="inlineStr">
        <is>
          <t>avverkningsanmälan</t>
        </is>
      </c>
      <c r="C413" t="inlineStr">
        <is>
          <t>Föryngringsavverkning</t>
        </is>
      </c>
      <c r="D413" s="1" t="n">
        <v>46125</v>
      </c>
      <c r="E413" s="1" t="n">
        <v>46216</v>
      </c>
      <c r="F413" t="inlineStr">
        <is>
          <t>DALARNAS LÄN</t>
        </is>
      </c>
      <c r="G413" t="inlineStr">
        <is>
          <t>SMEDJEBACKEN</t>
        </is>
      </c>
      <c r="I413" t="n">
        <v>3.7</v>
      </c>
      <c r="J413" t="n">
        <v>0</v>
      </c>
      <c r="K413" t="n">
        <v>0</v>
      </c>
      <c r="L413" t="n">
        <v>0</v>
      </c>
      <c r="M413" t="n">
        <v>0</v>
      </c>
      <c r="N413" t="n">
        <v>0</v>
      </c>
      <c r="O413" t="n">
        <v>0</v>
      </c>
      <c r="P413" t="n">
        <v>0</v>
      </c>
      <c r="Q413" t="n">
        <v>0</v>
      </c>
      <c r="R413" t="n">
        <v>0</v>
      </c>
      <c r="S413" t="n">
        <v>0</v>
      </c>
      <c r="T413" t="n">
        <v>0</v>
      </c>
      <c r="U413" s="2" t="inlineStr"/>
    </row>
    <row r="414" ht="15" customHeight="1">
      <c r="A414" t="inlineStr">
        <is>
          <t>A 40644-2022</t>
        </is>
      </c>
      <c r="B414" t="inlineStr">
        <is>
          <t>avverkningsanmälan</t>
        </is>
      </c>
      <c r="C414" t="inlineStr">
        <is>
          <t>Föryngringsavverkning</t>
        </is>
      </c>
      <c r="D414" s="1" t="n">
        <v>44824</v>
      </c>
      <c r="E414" s="1" t="n">
        <v>46216</v>
      </c>
      <c r="F414" t="inlineStr">
        <is>
          <t>DALARNAS LÄN</t>
        </is>
      </c>
      <c r="G414" t="inlineStr">
        <is>
          <t>SMEDJEBACKEN</t>
        </is>
      </c>
      <c r="H414" t="inlineStr">
        <is>
          <t>Sveaskog</t>
        </is>
      </c>
      <c r="I414" t="n">
        <v>18.7</v>
      </c>
      <c r="J414" t="n">
        <v>0</v>
      </c>
      <c r="K414" t="n">
        <v>0</v>
      </c>
      <c r="L414" t="n">
        <v>0</v>
      </c>
      <c r="M414" t="n">
        <v>0</v>
      </c>
      <c r="N414" t="n">
        <v>0</v>
      </c>
      <c r="O414" t="n">
        <v>0</v>
      </c>
      <c r="P414" t="n">
        <v>0</v>
      </c>
      <c r="Q414" t="n">
        <v>0</v>
      </c>
      <c r="R414" t="n">
        <v>0</v>
      </c>
      <c r="S414" t="n">
        <v>0</v>
      </c>
      <c r="T414" t="n">
        <v>0</v>
      </c>
      <c r="U414" s="2" t="inlineStr"/>
    </row>
    <row r="415" ht="15" customHeight="1">
      <c r="A415" t="inlineStr">
        <is>
          <t>A 18265-2026</t>
        </is>
      </c>
      <c r="B415" t="inlineStr">
        <is>
          <t>avverkningsanmälan</t>
        </is>
      </c>
      <c r="C415" t="inlineStr">
        <is>
          <t>Föryngringsavverkning</t>
        </is>
      </c>
      <c r="D415" s="1" t="n">
        <v>46126</v>
      </c>
      <c r="E415" s="1" t="n">
        <v>46216</v>
      </c>
      <c r="F415" t="inlineStr">
        <is>
          <t>DALARNAS LÄN</t>
        </is>
      </c>
      <c r="G415" t="inlineStr">
        <is>
          <t>SMEDJEBACKEN</t>
        </is>
      </c>
      <c r="I415" t="n">
        <v>2.5</v>
      </c>
      <c r="J415" t="n">
        <v>0</v>
      </c>
      <c r="K415" t="n">
        <v>0</v>
      </c>
      <c r="L415" t="n">
        <v>0</v>
      </c>
      <c r="M415" t="n">
        <v>0</v>
      </c>
      <c r="N415" t="n">
        <v>0</v>
      </c>
      <c r="O415" t="n">
        <v>0</v>
      </c>
      <c r="P415" t="n">
        <v>0</v>
      </c>
      <c r="Q415" t="n">
        <v>0</v>
      </c>
      <c r="R415" t="n">
        <v>0</v>
      </c>
      <c r="S415" t="n">
        <v>0</v>
      </c>
      <c r="T415" t="n">
        <v>0</v>
      </c>
      <c r="U415" s="2" t="inlineStr"/>
    </row>
    <row r="416" ht="15" customHeight="1">
      <c r="A416" t="inlineStr">
        <is>
          <t>A 18119-2026</t>
        </is>
      </c>
      <c r="B416" t="inlineStr">
        <is>
          <t>avverkningsanmälan</t>
        </is>
      </c>
      <c r="C416" t="inlineStr">
        <is>
          <t>Föryngringsavverkning</t>
        </is>
      </c>
      <c r="D416" s="1" t="n">
        <v>46125</v>
      </c>
      <c r="E416" s="1" t="n">
        <v>46216</v>
      </c>
      <c r="F416" t="inlineStr">
        <is>
          <t>DALARNAS LÄN</t>
        </is>
      </c>
      <c r="G416" t="inlineStr">
        <is>
          <t>SMEDJEBACKEN</t>
        </is>
      </c>
      <c r="I416" t="n">
        <v>2.9</v>
      </c>
      <c r="J416" t="n">
        <v>0</v>
      </c>
      <c r="K416" t="n">
        <v>0</v>
      </c>
      <c r="L416" t="n">
        <v>0</v>
      </c>
      <c r="M416" t="n">
        <v>0</v>
      </c>
      <c r="N416" t="n">
        <v>0</v>
      </c>
      <c r="O416" t="n">
        <v>0</v>
      </c>
      <c r="P416" t="n">
        <v>0</v>
      </c>
      <c r="Q416" t="n">
        <v>0</v>
      </c>
      <c r="R416" t="n">
        <v>0</v>
      </c>
      <c r="S416" t="n">
        <v>0</v>
      </c>
      <c r="T416" t="n">
        <v>0</v>
      </c>
      <c r="U416" s="2" t="inlineStr"/>
    </row>
    <row r="417" ht="15" customHeight="1">
      <c r="A417" t="inlineStr">
        <is>
          <t>A 31326-2022</t>
        </is>
      </c>
      <c r="B417" t="inlineStr">
        <is>
          <t>avverkningsanmälan</t>
        </is>
      </c>
      <c r="C417" t="inlineStr">
        <is>
          <t>Föryngringsavverkning</t>
        </is>
      </c>
      <c r="D417" s="1" t="n">
        <v>44774</v>
      </c>
      <c r="E417" s="1" t="n">
        <v>46216</v>
      </c>
      <c r="F417" t="inlineStr">
        <is>
          <t>DALARNAS LÄN</t>
        </is>
      </c>
      <c r="G417" t="inlineStr">
        <is>
          <t>SMEDJEBACKEN</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17472-2023</t>
        </is>
      </c>
      <c r="B418" t="inlineStr">
        <is>
          <t>avverkningsanmälan</t>
        </is>
      </c>
      <c r="C418" t="inlineStr">
        <is>
          <t>Föryngringsavverkning</t>
        </is>
      </c>
      <c r="D418" s="1" t="n">
        <v>45034</v>
      </c>
      <c r="E418" s="1" t="n">
        <v>46216</v>
      </c>
      <c r="F418" t="inlineStr">
        <is>
          <t>DALARNAS LÄN</t>
        </is>
      </c>
      <c r="G418" t="inlineStr">
        <is>
          <t>SMEDJEBACKEN</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18877-2026</t>
        </is>
      </c>
      <c r="B419" t="inlineStr">
        <is>
          <t>avverkningsanmälan</t>
        </is>
      </c>
      <c r="C419" t="inlineStr">
        <is>
          <t>Föryngringsavverkning</t>
        </is>
      </c>
      <c r="D419" s="1" t="n">
        <v>46129</v>
      </c>
      <c r="E419" s="1" t="n">
        <v>46216</v>
      </c>
      <c r="F419" t="inlineStr">
        <is>
          <t>DALARNAS LÄN</t>
        </is>
      </c>
      <c r="G419" t="inlineStr">
        <is>
          <t>SMEDJEBACKEN</t>
        </is>
      </c>
      <c r="H419" t="inlineStr">
        <is>
          <t>Sveaskog</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18590-2026</t>
        </is>
      </c>
      <c r="B420" t="inlineStr">
        <is>
          <t>avverkningsanmälan</t>
        </is>
      </c>
      <c r="C420" t="inlineStr">
        <is>
          <t>Föryngringsavverkning</t>
        </is>
      </c>
      <c r="D420" s="1" t="n">
        <v>46127</v>
      </c>
      <c r="E420" s="1" t="n">
        <v>46216</v>
      </c>
      <c r="F420" t="inlineStr">
        <is>
          <t>DALARNAS LÄN</t>
        </is>
      </c>
      <c r="G420" t="inlineStr">
        <is>
          <t>SMEDJEBACKEN</t>
        </is>
      </c>
      <c r="H420" t="inlineStr">
        <is>
          <t>Sveaskog</t>
        </is>
      </c>
      <c r="I420" t="n">
        <v>4.3</v>
      </c>
      <c r="J420" t="n">
        <v>0</v>
      </c>
      <c r="K420" t="n">
        <v>0</v>
      </c>
      <c r="L420" t="n">
        <v>0</v>
      </c>
      <c r="M420" t="n">
        <v>0</v>
      </c>
      <c r="N420" t="n">
        <v>0</v>
      </c>
      <c r="O420" t="n">
        <v>0</v>
      </c>
      <c r="P420" t="n">
        <v>0</v>
      </c>
      <c r="Q420" t="n">
        <v>0</v>
      </c>
      <c r="R420" t="n">
        <v>0</v>
      </c>
      <c r="S420" t="n">
        <v>0</v>
      </c>
      <c r="T420" t="n">
        <v>0</v>
      </c>
      <c r="U420" s="2" t="inlineStr"/>
    </row>
    <row r="421" ht="15" customHeight="1">
      <c r="A421" t="inlineStr">
        <is>
          <t>A 18591-2026</t>
        </is>
      </c>
      <c r="B421" t="inlineStr">
        <is>
          <t>avverkningsanmälan</t>
        </is>
      </c>
      <c r="C421" t="inlineStr">
        <is>
          <t>Föryngringsavverkning</t>
        </is>
      </c>
      <c r="D421" s="1" t="n">
        <v>46127</v>
      </c>
      <c r="E421" s="1" t="n">
        <v>46216</v>
      </c>
      <c r="F421" t="inlineStr">
        <is>
          <t>DALARNAS LÄN</t>
        </is>
      </c>
      <c r="G421" t="inlineStr">
        <is>
          <t>SMEDJEBACKEN</t>
        </is>
      </c>
      <c r="H421" t="inlineStr">
        <is>
          <t>Sveaskog</t>
        </is>
      </c>
      <c r="I421" t="n">
        <v>2.1</v>
      </c>
      <c r="J421" t="n">
        <v>0</v>
      </c>
      <c r="K421" t="n">
        <v>0</v>
      </c>
      <c r="L421" t="n">
        <v>0</v>
      </c>
      <c r="M421" t="n">
        <v>0</v>
      </c>
      <c r="N421" t="n">
        <v>0</v>
      </c>
      <c r="O421" t="n">
        <v>0</v>
      </c>
      <c r="P421" t="n">
        <v>0</v>
      </c>
      <c r="Q421" t="n">
        <v>0</v>
      </c>
      <c r="R421" t="n">
        <v>0</v>
      </c>
      <c r="S421" t="n">
        <v>0</v>
      </c>
      <c r="T421" t="n">
        <v>0</v>
      </c>
      <c r="U421" s="2" t="inlineStr"/>
    </row>
    <row r="422" ht="15" customHeight="1">
      <c r="A422" t="inlineStr">
        <is>
          <t>A 24902-2026</t>
        </is>
      </c>
      <c r="B422" t="inlineStr">
        <is>
          <t>avverkningsanmälan</t>
        </is>
      </c>
      <c r="C422" t="inlineStr">
        <is>
          <t>Föryngringsavverkning</t>
        </is>
      </c>
      <c r="D422" s="1" t="n">
        <v>46174</v>
      </c>
      <c r="E422" s="1" t="n">
        <v>46216</v>
      </c>
      <c r="F422" t="inlineStr">
        <is>
          <t>DALARNAS LÄN</t>
        </is>
      </c>
      <c r="G422" t="inlineStr">
        <is>
          <t>SMEDJEBACKEN</t>
        </is>
      </c>
      <c r="H422" t="inlineStr">
        <is>
          <t>Sveaskog</t>
        </is>
      </c>
      <c r="I422" t="n">
        <v>7.5</v>
      </c>
      <c r="J422" t="n">
        <v>0</v>
      </c>
      <c r="K422" t="n">
        <v>0</v>
      </c>
      <c r="L422" t="n">
        <v>0</v>
      </c>
      <c r="M422" t="n">
        <v>0</v>
      </c>
      <c r="N422" t="n">
        <v>0</v>
      </c>
      <c r="O422" t="n">
        <v>0</v>
      </c>
      <c r="P422" t="n">
        <v>0</v>
      </c>
      <c r="Q422" t="n">
        <v>0</v>
      </c>
      <c r="R422" t="n">
        <v>0</v>
      </c>
      <c r="S422" t="n">
        <v>0</v>
      </c>
      <c r="T422" t="n">
        <v>0</v>
      </c>
      <c r="U422" s="2" t="inlineStr"/>
    </row>
    <row r="423" ht="15" customHeight="1">
      <c r="A423" t="inlineStr">
        <is>
          <t>A 24946-2026</t>
        </is>
      </c>
      <c r="B423" t="inlineStr">
        <is>
          <t>avverkningsanmälan</t>
        </is>
      </c>
      <c r="C423" t="inlineStr">
        <is>
          <t>Föryngringsavverkning</t>
        </is>
      </c>
      <c r="D423" s="1" t="n">
        <v>46174</v>
      </c>
      <c r="E423" s="1" t="n">
        <v>46216</v>
      </c>
      <c r="F423" t="inlineStr">
        <is>
          <t>DALARNAS LÄN</t>
        </is>
      </c>
      <c r="G423" t="inlineStr">
        <is>
          <t>SMEDJEBACKEN</t>
        </is>
      </c>
      <c r="H423" t="inlineStr">
        <is>
          <t>Sveaskog</t>
        </is>
      </c>
      <c r="I423" t="n">
        <v>3.7</v>
      </c>
      <c r="J423" t="n">
        <v>0</v>
      </c>
      <c r="K423" t="n">
        <v>0</v>
      </c>
      <c r="L423" t="n">
        <v>0</v>
      </c>
      <c r="M423" t="n">
        <v>0</v>
      </c>
      <c r="N423" t="n">
        <v>0</v>
      </c>
      <c r="O423" t="n">
        <v>0</v>
      </c>
      <c r="P423" t="n">
        <v>0</v>
      </c>
      <c r="Q423" t="n">
        <v>0</v>
      </c>
      <c r="R423" t="n">
        <v>0</v>
      </c>
      <c r="S423" t="n">
        <v>0</v>
      </c>
      <c r="T423" t="n">
        <v>0</v>
      </c>
      <c r="U423" s="2" t="inlineStr"/>
    </row>
    <row r="424" ht="15" customHeight="1">
      <c r="A424" t="inlineStr">
        <is>
          <t>A 43351-2022</t>
        </is>
      </c>
      <c r="B424" t="inlineStr">
        <is>
          <t>avverkningsanmälan</t>
        </is>
      </c>
      <c r="C424" t="inlineStr">
        <is>
          <t>Föryngringsavverkning</t>
        </is>
      </c>
      <c r="D424" s="1" t="n">
        <v>44834</v>
      </c>
      <c r="E424" s="1" t="n">
        <v>46216</v>
      </c>
      <c r="F424" t="inlineStr">
        <is>
          <t>DALARNAS LÄN</t>
        </is>
      </c>
      <c r="G424" t="inlineStr">
        <is>
          <t>SMEDJEBACKEN</t>
        </is>
      </c>
      <c r="H424" t="inlineStr">
        <is>
          <t>Sveaskog</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36231-2022</t>
        </is>
      </c>
      <c r="B425" t="inlineStr">
        <is>
          <t>avverkningsanmälan</t>
        </is>
      </c>
      <c r="C425" t="inlineStr">
        <is>
          <t>Föryngringsavverkning</t>
        </is>
      </c>
      <c r="D425" s="1" t="n">
        <v>44803</v>
      </c>
      <c r="E425" s="1" t="n">
        <v>46216</v>
      </c>
      <c r="F425" t="inlineStr">
        <is>
          <t>DALARNAS LÄN</t>
        </is>
      </c>
      <c r="G425" t="inlineStr">
        <is>
          <t>SMEDJEBACKEN</t>
        </is>
      </c>
      <c r="I425" t="n">
        <v>5.7</v>
      </c>
      <c r="J425" t="n">
        <v>0</v>
      </c>
      <c r="K425" t="n">
        <v>0</v>
      </c>
      <c r="L425" t="n">
        <v>0</v>
      </c>
      <c r="M425" t="n">
        <v>0</v>
      </c>
      <c r="N425" t="n">
        <v>0</v>
      </c>
      <c r="O425" t="n">
        <v>0</v>
      </c>
      <c r="P425" t="n">
        <v>0</v>
      </c>
      <c r="Q425" t="n">
        <v>0</v>
      </c>
      <c r="R425" t="n">
        <v>0</v>
      </c>
      <c r="S425" t="n">
        <v>0</v>
      </c>
      <c r="T425" t="n">
        <v>0</v>
      </c>
      <c r="U425" s="2" t="inlineStr"/>
    </row>
    <row r="426" ht="15" customHeight="1">
      <c r="A426" t="inlineStr">
        <is>
          <t>A 19469-2026</t>
        </is>
      </c>
      <c r="B426" t="inlineStr">
        <is>
          <t>avverkningsanmälan</t>
        </is>
      </c>
      <c r="C426" t="inlineStr">
        <is>
          <t>Föryngringsavverkning</t>
        </is>
      </c>
      <c r="D426" s="1" t="n">
        <v>46130</v>
      </c>
      <c r="E426" s="1" t="n">
        <v>46216</v>
      </c>
      <c r="F426" t="inlineStr">
        <is>
          <t>DALARNAS LÄN</t>
        </is>
      </c>
      <c r="G426" t="inlineStr">
        <is>
          <t>SMEDJEBACKEN</t>
        </is>
      </c>
      <c r="H426" t="inlineStr">
        <is>
          <t>Bergvik skog väst AB</t>
        </is>
      </c>
      <c r="I426" t="n">
        <v>3.6</v>
      </c>
      <c r="J426" t="n">
        <v>0</v>
      </c>
      <c r="K426" t="n">
        <v>0</v>
      </c>
      <c r="L426" t="n">
        <v>0</v>
      </c>
      <c r="M426" t="n">
        <v>0</v>
      </c>
      <c r="N426" t="n">
        <v>0</v>
      </c>
      <c r="O426" t="n">
        <v>0</v>
      </c>
      <c r="P426" t="n">
        <v>0</v>
      </c>
      <c r="Q426" t="n">
        <v>0</v>
      </c>
      <c r="R426" t="n">
        <v>0</v>
      </c>
      <c r="S426" t="n">
        <v>0</v>
      </c>
      <c r="T426" t="n">
        <v>0</v>
      </c>
      <c r="U426" s="2" t="inlineStr"/>
    </row>
    <row r="427" ht="15" customHeight="1">
      <c r="A427" t="inlineStr">
        <is>
          <t>A 48634-2024</t>
        </is>
      </c>
      <c r="B427" t="inlineStr">
        <is>
          <t>avverkningsanmälan</t>
        </is>
      </c>
      <c r="C427" t="inlineStr">
        <is>
          <t>Föryngringsavverkning</t>
        </is>
      </c>
      <c r="D427" s="1" t="n">
        <v>45593</v>
      </c>
      <c r="E427" s="1" t="n">
        <v>46216</v>
      </c>
      <c r="F427" t="inlineStr">
        <is>
          <t>DALARNAS LÄN</t>
        </is>
      </c>
      <c r="G427" t="inlineStr">
        <is>
          <t>SMEDJEBACKEN</t>
        </is>
      </c>
      <c r="H427" t="inlineStr">
        <is>
          <t>Bergvik skog väst AB</t>
        </is>
      </c>
      <c r="I427" t="n">
        <v>8.699999999999999</v>
      </c>
      <c r="J427" t="n">
        <v>0</v>
      </c>
      <c r="K427" t="n">
        <v>0</v>
      </c>
      <c r="L427" t="n">
        <v>0</v>
      </c>
      <c r="M427" t="n">
        <v>0</v>
      </c>
      <c r="N427" t="n">
        <v>0</v>
      </c>
      <c r="O427" t="n">
        <v>0</v>
      </c>
      <c r="P427" t="n">
        <v>0</v>
      </c>
      <c r="Q427" t="n">
        <v>0</v>
      </c>
      <c r="R427" t="n">
        <v>0</v>
      </c>
      <c r="S427" t="n">
        <v>0</v>
      </c>
      <c r="T427" t="n">
        <v>0</v>
      </c>
      <c r="U427" s="2" t="inlineStr"/>
    </row>
    <row r="428" ht="15" customHeight="1">
      <c r="A428" t="inlineStr">
        <is>
          <t>A 24908-2026</t>
        </is>
      </c>
      <c r="B428" t="inlineStr">
        <is>
          <t>avverkningsanmälan</t>
        </is>
      </c>
      <c r="C428" t="inlineStr">
        <is>
          <t>Föryngringsavverkning</t>
        </is>
      </c>
      <c r="D428" s="1" t="n">
        <v>46174</v>
      </c>
      <c r="E428" s="1" t="n">
        <v>46216</v>
      </c>
      <c r="F428" t="inlineStr">
        <is>
          <t>DALARNAS LÄN</t>
        </is>
      </c>
      <c r="G428" t="inlineStr">
        <is>
          <t>SMEDJEBACKEN</t>
        </is>
      </c>
      <c r="H428" t="inlineStr">
        <is>
          <t>Sveaskog</t>
        </is>
      </c>
      <c r="I428" t="n">
        <v>5.3</v>
      </c>
      <c r="J428" t="n">
        <v>0</v>
      </c>
      <c r="K428" t="n">
        <v>0</v>
      </c>
      <c r="L428" t="n">
        <v>0</v>
      </c>
      <c r="M428" t="n">
        <v>0</v>
      </c>
      <c r="N428" t="n">
        <v>0</v>
      </c>
      <c r="O428" t="n">
        <v>0</v>
      </c>
      <c r="P428" t="n">
        <v>0</v>
      </c>
      <c r="Q428" t="n">
        <v>0</v>
      </c>
      <c r="R428" t="n">
        <v>0</v>
      </c>
      <c r="S428" t="n">
        <v>0</v>
      </c>
      <c r="T428" t="n">
        <v>0</v>
      </c>
      <c r="U428" s="2" t="inlineStr"/>
    </row>
    <row r="429" ht="15" customHeight="1">
      <c r="A429" t="inlineStr">
        <is>
          <t>A 24905-2026</t>
        </is>
      </c>
      <c r="B429" t="inlineStr">
        <is>
          <t>avverkningsanmälan</t>
        </is>
      </c>
      <c r="C429" t="inlineStr">
        <is>
          <t>Föryngringsavverkning</t>
        </is>
      </c>
      <c r="D429" s="1" t="n">
        <v>46174</v>
      </c>
      <c r="E429" s="1" t="n">
        <v>46216</v>
      </c>
      <c r="F429" t="inlineStr">
        <is>
          <t>DALARNAS LÄN</t>
        </is>
      </c>
      <c r="G429" t="inlineStr">
        <is>
          <t>SMEDJEBACKEN</t>
        </is>
      </c>
      <c r="H429" t="inlineStr">
        <is>
          <t>Sveaskog</t>
        </is>
      </c>
      <c r="I429" t="n">
        <v>2.2</v>
      </c>
      <c r="J429" t="n">
        <v>0</v>
      </c>
      <c r="K429" t="n">
        <v>0</v>
      </c>
      <c r="L429" t="n">
        <v>0</v>
      </c>
      <c r="M429" t="n">
        <v>0</v>
      </c>
      <c r="N429" t="n">
        <v>0</v>
      </c>
      <c r="O429" t="n">
        <v>0</v>
      </c>
      <c r="P429" t="n">
        <v>0</v>
      </c>
      <c r="Q429" t="n">
        <v>0</v>
      </c>
      <c r="R429" t="n">
        <v>0</v>
      </c>
      <c r="S429" t="n">
        <v>0</v>
      </c>
      <c r="T429" t="n">
        <v>0</v>
      </c>
      <c r="U429" s="2" t="inlineStr"/>
    </row>
    <row r="430" ht="15" customHeight="1">
      <c r="A430" t="inlineStr">
        <is>
          <t>A 24872-2026</t>
        </is>
      </c>
      <c r="B430" t="inlineStr">
        <is>
          <t>avverkningsanmälan</t>
        </is>
      </c>
      <c r="C430" t="inlineStr">
        <is>
          <t>Föryngringsavverkning</t>
        </is>
      </c>
      <c r="D430" s="1" t="n">
        <v>46174</v>
      </c>
      <c r="E430" s="1" t="n">
        <v>46216</v>
      </c>
      <c r="F430" t="inlineStr">
        <is>
          <t>DALARNAS LÄN</t>
        </is>
      </c>
      <c r="G430" t="inlineStr">
        <is>
          <t>SMEDJEBACKEN</t>
        </is>
      </c>
      <c r="H430" t="inlineStr">
        <is>
          <t>Sveaskog</t>
        </is>
      </c>
      <c r="I430" t="n">
        <v>7.4</v>
      </c>
      <c r="J430" t="n">
        <v>0</v>
      </c>
      <c r="K430" t="n">
        <v>0</v>
      </c>
      <c r="L430" t="n">
        <v>0</v>
      </c>
      <c r="M430" t="n">
        <v>0</v>
      </c>
      <c r="N430" t="n">
        <v>0</v>
      </c>
      <c r="O430" t="n">
        <v>0</v>
      </c>
      <c r="P430" t="n">
        <v>0</v>
      </c>
      <c r="Q430" t="n">
        <v>0</v>
      </c>
      <c r="R430" t="n">
        <v>0</v>
      </c>
      <c r="S430" t="n">
        <v>0</v>
      </c>
      <c r="T430" t="n">
        <v>0</v>
      </c>
      <c r="U430" s="2" t="inlineStr"/>
    </row>
    <row r="431" ht="15" customHeight="1">
      <c r="A431" t="inlineStr">
        <is>
          <t>A 55717-2022</t>
        </is>
      </c>
      <c r="B431" t="inlineStr">
        <is>
          <t>avverkningsanmälan</t>
        </is>
      </c>
      <c r="C431" t="inlineStr">
        <is>
          <t>Föryngringsavverkning</t>
        </is>
      </c>
      <c r="D431" s="1" t="n">
        <v>44888</v>
      </c>
      <c r="E431" s="1" t="n">
        <v>46216</v>
      </c>
      <c r="F431" t="inlineStr">
        <is>
          <t>DALARNAS LÄN</t>
        </is>
      </c>
      <c r="G431" t="inlineStr">
        <is>
          <t>SMEDJEBACKEN</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24906-2026</t>
        </is>
      </c>
      <c r="B432" t="inlineStr">
        <is>
          <t>avverkningsanmälan</t>
        </is>
      </c>
      <c r="C432" t="inlineStr">
        <is>
          <t>Föryngringsavverkning</t>
        </is>
      </c>
      <c r="D432" s="1" t="n">
        <v>46174</v>
      </c>
      <c r="E432" s="1" t="n">
        <v>46216</v>
      </c>
      <c r="F432" t="inlineStr">
        <is>
          <t>DALARNAS LÄN</t>
        </is>
      </c>
      <c r="G432" t="inlineStr">
        <is>
          <t>SMEDJEBACKEN</t>
        </is>
      </c>
      <c r="H432" t="inlineStr">
        <is>
          <t>Sveaskog</t>
        </is>
      </c>
      <c r="I432" t="n">
        <v>6.8</v>
      </c>
      <c r="J432" t="n">
        <v>0</v>
      </c>
      <c r="K432" t="n">
        <v>0</v>
      </c>
      <c r="L432" t="n">
        <v>0</v>
      </c>
      <c r="M432" t="n">
        <v>0</v>
      </c>
      <c r="N432" t="n">
        <v>0</v>
      </c>
      <c r="O432" t="n">
        <v>0</v>
      </c>
      <c r="P432" t="n">
        <v>0</v>
      </c>
      <c r="Q432" t="n">
        <v>0</v>
      </c>
      <c r="R432" t="n">
        <v>0</v>
      </c>
      <c r="S432" t="n">
        <v>0</v>
      </c>
      <c r="T432" t="n">
        <v>0</v>
      </c>
      <c r="U432" s="2" t="inlineStr"/>
    </row>
    <row r="433" ht="15" customHeight="1">
      <c r="A433" t="inlineStr">
        <is>
          <t>A 25296-2026</t>
        </is>
      </c>
      <c r="B433" t="inlineStr">
        <is>
          <t>avverkningsanmälan</t>
        </is>
      </c>
      <c r="C433" t="inlineStr">
        <is>
          <t>Föryngringsavverkning</t>
        </is>
      </c>
      <c r="D433" s="1" t="n">
        <v>46176</v>
      </c>
      <c r="E433" s="1" t="n">
        <v>46216</v>
      </c>
      <c r="F433" t="inlineStr">
        <is>
          <t>DALARNAS LÄN</t>
        </is>
      </c>
      <c r="G433" t="inlineStr">
        <is>
          <t>SMEDJEBACKEN</t>
        </is>
      </c>
      <c r="H433" t="inlineStr">
        <is>
          <t>Sveaskog</t>
        </is>
      </c>
      <c r="I433" t="n">
        <v>8.199999999999999</v>
      </c>
      <c r="J433" t="n">
        <v>0</v>
      </c>
      <c r="K433" t="n">
        <v>0</v>
      </c>
      <c r="L433" t="n">
        <v>0</v>
      </c>
      <c r="M433" t="n">
        <v>0</v>
      </c>
      <c r="N433" t="n">
        <v>0</v>
      </c>
      <c r="O433" t="n">
        <v>0</v>
      </c>
      <c r="P433" t="n">
        <v>0</v>
      </c>
      <c r="Q433" t="n">
        <v>0</v>
      </c>
      <c r="R433" t="n">
        <v>0</v>
      </c>
      <c r="S433" t="n">
        <v>0</v>
      </c>
      <c r="T433" t="n">
        <v>0</v>
      </c>
      <c r="U433" s="2" t="inlineStr"/>
    </row>
    <row r="434" ht="15" customHeight="1">
      <c r="A434" t="inlineStr">
        <is>
          <t>A 25322-2026</t>
        </is>
      </c>
      <c r="B434" t="inlineStr">
        <is>
          <t>avverkningsanmälan</t>
        </is>
      </c>
      <c r="C434" t="inlineStr">
        <is>
          <t>Föryngringsavverkning</t>
        </is>
      </c>
      <c r="D434" s="1" t="n">
        <v>46176</v>
      </c>
      <c r="E434" s="1" t="n">
        <v>46216</v>
      </c>
      <c r="F434" t="inlineStr">
        <is>
          <t>DALARNAS LÄN</t>
        </is>
      </c>
      <c r="G434" t="inlineStr">
        <is>
          <t>SMEDJEBACKEN</t>
        </is>
      </c>
      <c r="H434" t="inlineStr">
        <is>
          <t>Sveaskog</t>
        </is>
      </c>
      <c r="I434" t="n">
        <v>2.4</v>
      </c>
      <c r="J434" t="n">
        <v>0</v>
      </c>
      <c r="K434" t="n">
        <v>0</v>
      </c>
      <c r="L434" t="n">
        <v>0</v>
      </c>
      <c r="M434" t="n">
        <v>0</v>
      </c>
      <c r="N434" t="n">
        <v>0</v>
      </c>
      <c r="O434" t="n">
        <v>0</v>
      </c>
      <c r="P434" t="n">
        <v>0</v>
      </c>
      <c r="Q434" t="n">
        <v>0</v>
      </c>
      <c r="R434" t="n">
        <v>0</v>
      </c>
      <c r="S434" t="n">
        <v>0</v>
      </c>
      <c r="T434" t="n">
        <v>0</v>
      </c>
      <c r="U434" s="2" t="inlineStr"/>
    </row>
    <row r="435" ht="15" customHeight="1">
      <c r="A435" t="inlineStr">
        <is>
          <t>A 45091-2022</t>
        </is>
      </c>
      <c r="B435" t="inlineStr">
        <is>
          <t>avverkningsanmälan</t>
        </is>
      </c>
      <c r="C435" t="inlineStr">
        <is>
          <t>Föryngringsavverkning</t>
        </is>
      </c>
      <c r="D435" s="1" t="n">
        <v>44842</v>
      </c>
      <c r="E435" s="1" t="n">
        <v>46216</v>
      </c>
      <c r="F435" t="inlineStr">
        <is>
          <t>DALARNAS LÄN</t>
        </is>
      </c>
      <c r="G435" t="inlineStr">
        <is>
          <t>SMEDJEBACKEN</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25291-2026</t>
        </is>
      </c>
      <c r="B436" t="inlineStr">
        <is>
          <t>avverkningsanmälan</t>
        </is>
      </c>
      <c r="C436" t="inlineStr">
        <is>
          <t>Föryngringsavverkning</t>
        </is>
      </c>
      <c r="D436" s="1" t="n">
        <v>46176</v>
      </c>
      <c r="E436" s="1" t="n">
        <v>46216</v>
      </c>
      <c r="F436" t="inlineStr">
        <is>
          <t>DALARNAS LÄN</t>
        </is>
      </c>
      <c r="G436" t="inlineStr">
        <is>
          <t>SMEDJEBACKEN</t>
        </is>
      </c>
      <c r="H436" t="inlineStr">
        <is>
          <t>Sveaskog</t>
        </is>
      </c>
      <c r="I436" t="n">
        <v>18.4</v>
      </c>
      <c r="J436" t="n">
        <v>0</v>
      </c>
      <c r="K436" t="n">
        <v>0</v>
      </c>
      <c r="L436" t="n">
        <v>0</v>
      </c>
      <c r="M436" t="n">
        <v>0</v>
      </c>
      <c r="N436" t="n">
        <v>0</v>
      </c>
      <c r="O436" t="n">
        <v>0</v>
      </c>
      <c r="P436" t="n">
        <v>0</v>
      </c>
      <c r="Q436" t="n">
        <v>0</v>
      </c>
      <c r="R436" t="n">
        <v>0</v>
      </c>
      <c r="S436" t="n">
        <v>0</v>
      </c>
      <c r="T436" t="n">
        <v>0</v>
      </c>
      <c r="U436" s="2" t="inlineStr"/>
    </row>
    <row r="437" ht="15" customHeight="1">
      <c r="A437" t="inlineStr">
        <is>
          <t>A 25294-2026</t>
        </is>
      </c>
      <c r="B437" t="inlineStr">
        <is>
          <t>avverkningsanmälan</t>
        </is>
      </c>
      <c r="C437" t="inlineStr">
        <is>
          <t>Föryngringsavverkning</t>
        </is>
      </c>
      <c r="D437" s="1" t="n">
        <v>46176</v>
      </c>
      <c r="E437" s="1" t="n">
        <v>46216</v>
      </c>
      <c r="F437" t="inlineStr">
        <is>
          <t>DALARNAS LÄN</t>
        </is>
      </c>
      <c r="G437" t="inlineStr">
        <is>
          <t>SMEDJEBACKEN</t>
        </is>
      </c>
      <c r="H437" t="inlineStr">
        <is>
          <t>Sveaskog</t>
        </is>
      </c>
      <c r="I437" t="n">
        <v>5.9</v>
      </c>
      <c r="J437" t="n">
        <v>0</v>
      </c>
      <c r="K437" t="n">
        <v>0</v>
      </c>
      <c r="L437" t="n">
        <v>0</v>
      </c>
      <c r="M437" t="n">
        <v>0</v>
      </c>
      <c r="N437" t="n">
        <v>0</v>
      </c>
      <c r="O437" t="n">
        <v>0</v>
      </c>
      <c r="P437" t="n">
        <v>0</v>
      </c>
      <c r="Q437" t="n">
        <v>0</v>
      </c>
      <c r="R437" t="n">
        <v>0</v>
      </c>
      <c r="S437" t="n">
        <v>0</v>
      </c>
      <c r="T437" t="n">
        <v>0</v>
      </c>
      <c r="U437" s="2" t="inlineStr"/>
    </row>
    <row r="438" ht="15" customHeight="1">
      <c r="A438" t="inlineStr">
        <is>
          <t>A 19498-2026</t>
        </is>
      </c>
      <c r="B438" t="inlineStr">
        <is>
          <t>avverkningsanmälan</t>
        </is>
      </c>
      <c r="C438" t="inlineStr">
        <is>
          <t>Föryngringsavverkning</t>
        </is>
      </c>
      <c r="D438" s="1" t="n">
        <v>46134</v>
      </c>
      <c r="E438" s="1" t="n">
        <v>46216</v>
      </c>
      <c r="F438" t="inlineStr">
        <is>
          <t>DALARNAS LÄN</t>
        </is>
      </c>
      <c r="G438" t="inlineStr">
        <is>
          <t>SMEDJEBACKEN</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25289-2026</t>
        </is>
      </c>
      <c r="B439" t="inlineStr">
        <is>
          <t>avverkningsanmälan</t>
        </is>
      </c>
      <c r="C439" t="inlineStr">
        <is>
          <t>Föryngringsavverkning</t>
        </is>
      </c>
      <c r="D439" s="1" t="n">
        <v>46176</v>
      </c>
      <c r="E439" s="1" t="n">
        <v>46216</v>
      </c>
      <c r="F439" t="inlineStr">
        <is>
          <t>DALARNAS LÄN</t>
        </is>
      </c>
      <c r="G439" t="inlineStr">
        <is>
          <t>SMEDJEBACKEN</t>
        </is>
      </c>
      <c r="H439" t="inlineStr">
        <is>
          <t>Sveaskog</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25290-2026</t>
        </is>
      </c>
      <c r="B440" t="inlineStr">
        <is>
          <t>avverkningsanmälan</t>
        </is>
      </c>
      <c r="C440" t="inlineStr">
        <is>
          <t>Föryngringsavverkning</t>
        </is>
      </c>
      <c r="D440" s="1" t="n">
        <v>46176</v>
      </c>
      <c r="E440" s="1" t="n">
        <v>46216</v>
      </c>
      <c r="F440" t="inlineStr">
        <is>
          <t>DALARNAS LÄN</t>
        </is>
      </c>
      <c r="G440" t="inlineStr">
        <is>
          <t>SMEDJEBACKEN</t>
        </is>
      </c>
      <c r="H440" t="inlineStr">
        <is>
          <t>Sveaskog</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17834-2023</t>
        </is>
      </c>
      <c r="B441" t="inlineStr">
        <is>
          <t>avverkningsanmälan</t>
        </is>
      </c>
      <c r="C441" t="inlineStr">
        <is>
          <t>Föryngringsavverkning</t>
        </is>
      </c>
      <c r="D441" s="1" t="n">
        <v>45037</v>
      </c>
      <c r="E441" s="1" t="n">
        <v>46216</v>
      </c>
      <c r="F441" t="inlineStr">
        <is>
          <t>DALARNAS LÄN</t>
        </is>
      </c>
      <c r="G441" t="inlineStr">
        <is>
          <t>SMEDJEBACKEN</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38746-2023</t>
        </is>
      </c>
      <c r="B442" t="inlineStr">
        <is>
          <t>avverkningsanmälan</t>
        </is>
      </c>
      <c r="C442" t="inlineStr">
        <is>
          <t>Föryngringsavverkning</t>
        </is>
      </c>
      <c r="D442" s="1" t="n">
        <v>45163</v>
      </c>
      <c r="E442" s="1" t="n">
        <v>46216</v>
      </c>
      <c r="F442" t="inlineStr">
        <is>
          <t>DALARNAS LÄN</t>
        </is>
      </c>
      <c r="G442" t="inlineStr">
        <is>
          <t>SMEDJEBACKEN</t>
        </is>
      </c>
      <c r="H442" t="inlineStr">
        <is>
          <t>Sveaskog</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37408-2024</t>
        </is>
      </c>
      <c r="B443" t="inlineStr">
        <is>
          <t>avverkningsanmälan</t>
        </is>
      </c>
      <c r="C443" t="inlineStr">
        <is>
          <t>Föryngringsavverkning</t>
        </is>
      </c>
      <c r="D443" s="1" t="n">
        <v>45540</v>
      </c>
      <c r="E443" s="1" t="n">
        <v>46216</v>
      </c>
      <c r="F443" t="inlineStr">
        <is>
          <t>DALARNAS LÄN</t>
        </is>
      </c>
      <c r="G443" t="inlineStr">
        <is>
          <t>SMEDJEBACKEN</t>
        </is>
      </c>
      <c r="I443" t="n">
        <v>7.6</v>
      </c>
      <c r="J443" t="n">
        <v>0</v>
      </c>
      <c r="K443" t="n">
        <v>0</v>
      </c>
      <c r="L443" t="n">
        <v>0</v>
      </c>
      <c r="M443" t="n">
        <v>0</v>
      </c>
      <c r="N443" t="n">
        <v>0</v>
      </c>
      <c r="O443" t="n">
        <v>0</v>
      </c>
      <c r="P443" t="n">
        <v>0</v>
      </c>
      <c r="Q443" t="n">
        <v>0</v>
      </c>
      <c r="R443" t="n">
        <v>0</v>
      </c>
      <c r="S443" t="n">
        <v>0</v>
      </c>
      <c r="T443" t="n">
        <v>0</v>
      </c>
      <c r="U443" s="2" t="inlineStr"/>
    </row>
    <row r="444" ht="15" customHeight="1">
      <c r="A444" t="inlineStr">
        <is>
          <t>A 17418-2025</t>
        </is>
      </c>
      <c r="B444" t="inlineStr">
        <is>
          <t>avverkningsanmälan</t>
        </is>
      </c>
      <c r="C444" t="inlineStr">
        <is>
          <t>Föryngringsavverkning</t>
        </is>
      </c>
      <c r="D444" s="1" t="n">
        <v>45757</v>
      </c>
      <c r="E444" s="1" t="n">
        <v>46216</v>
      </c>
      <c r="F444" t="inlineStr">
        <is>
          <t>DALARNAS LÄN</t>
        </is>
      </c>
      <c r="G444" t="inlineStr">
        <is>
          <t>SMEDJEBACKEN</t>
        </is>
      </c>
      <c r="H444" t="inlineStr">
        <is>
          <t>Sveaskog</t>
        </is>
      </c>
      <c r="I444" t="n">
        <v>3.4</v>
      </c>
      <c r="J444" t="n">
        <v>0</v>
      </c>
      <c r="K444" t="n">
        <v>0</v>
      </c>
      <c r="L444" t="n">
        <v>0</v>
      </c>
      <c r="M444" t="n">
        <v>0</v>
      </c>
      <c r="N444" t="n">
        <v>0</v>
      </c>
      <c r="O444" t="n">
        <v>0</v>
      </c>
      <c r="P444" t="n">
        <v>0</v>
      </c>
      <c r="Q444" t="n">
        <v>0</v>
      </c>
      <c r="R444" t="n">
        <v>0</v>
      </c>
      <c r="S444" t="n">
        <v>0</v>
      </c>
      <c r="T444" t="n">
        <v>0</v>
      </c>
      <c r="U444" s="2" t="inlineStr"/>
    </row>
    <row r="445" ht="15" customHeight="1">
      <c r="A445" t="inlineStr">
        <is>
          <t>A 44034-2023</t>
        </is>
      </c>
      <c r="B445" t="inlineStr">
        <is>
          <t>avverkningsanmälan</t>
        </is>
      </c>
      <c r="C445" t="inlineStr">
        <is>
          <t>Avverkning för annat ändamål</t>
        </is>
      </c>
      <c r="D445" s="1" t="n">
        <v>45188</v>
      </c>
      <c r="E445" s="1" t="n">
        <v>46216</v>
      </c>
      <c r="F445" t="inlineStr">
        <is>
          <t>DALARNAS LÄN</t>
        </is>
      </c>
      <c r="G445" t="inlineStr">
        <is>
          <t>SMEDJEBACKEN</t>
        </is>
      </c>
      <c r="H445" t="inlineStr">
        <is>
          <t>Sveaskog</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26899-2024</t>
        </is>
      </c>
      <c r="B446" t="inlineStr">
        <is>
          <t>avverkningsanmälan</t>
        </is>
      </c>
      <c r="C446" t="inlineStr">
        <is>
          <t>Föryngringsavverkning</t>
        </is>
      </c>
      <c r="D446" s="1" t="n">
        <v>45470</v>
      </c>
      <c r="E446" s="1" t="n">
        <v>46216</v>
      </c>
      <c r="F446" t="inlineStr">
        <is>
          <t>DALARNAS LÄN</t>
        </is>
      </c>
      <c r="G446" t="inlineStr">
        <is>
          <t>SMEDJEBACKEN</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15786-2023</t>
        </is>
      </c>
      <c r="B447" t="inlineStr">
        <is>
          <t>avverkningsanmälan</t>
        </is>
      </c>
      <c r="C447" t="inlineStr">
        <is>
          <t>Föryngringsavverkning</t>
        </is>
      </c>
      <c r="D447" s="1" t="n">
        <v>45021</v>
      </c>
      <c r="E447" s="1" t="n">
        <v>46216</v>
      </c>
      <c r="F447" t="inlineStr">
        <is>
          <t>DALARNAS LÄN</t>
        </is>
      </c>
      <c r="G447" t="inlineStr">
        <is>
          <t>SMEDJEBACKEN</t>
        </is>
      </c>
      <c r="H447" t="inlineStr">
        <is>
          <t>Kommuner</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25728-2026</t>
        </is>
      </c>
      <c r="B448" t="inlineStr">
        <is>
          <t>avverkningsanmälan</t>
        </is>
      </c>
      <c r="C448" t="inlineStr">
        <is>
          <t>Föryngringsavverkning</t>
        </is>
      </c>
      <c r="D448" s="1" t="n">
        <v>46178</v>
      </c>
      <c r="E448" s="1" t="n">
        <v>46216</v>
      </c>
      <c r="F448" t="inlineStr">
        <is>
          <t>DALARNAS LÄN</t>
        </is>
      </c>
      <c r="G448" t="inlineStr">
        <is>
          <t>SMEDJEBACKEN</t>
        </is>
      </c>
      <c r="I448" t="n">
        <v>5.5</v>
      </c>
      <c r="J448" t="n">
        <v>0</v>
      </c>
      <c r="K448" t="n">
        <v>0</v>
      </c>
      <c r="L448" t="n">
        <v>0</v>
      </c>
      <c r="M448" t="n">
        <v>0</v>
      </c>
      <c r="N448" t="n">
        <v>0</v>
      </c>
      <c r="O448" t="n">
        <v>0</v>
      </c>
      <c r="P448" t="n">
        <v>0</v>
      </c>
      <c r="Q448" t="n">
        <v>0</v>
      </c>
      <c r="R448" t="n">
        <v>0</v>
      </c>
      <c r="S448" t="n">
        <v>0</v>
      </c>
      <c r="T448" t="n">
        <v>0</v>
      </c>
      <c r="U448" s="2" t="inlineStr"/>
    </row>
    <row r="449" ht="15" customHeight="1">
      <c r="A449" t="inlineStr">
        <is>
          <t>A 19258-2024</t>
        </is>
      </c>
      <c r="B449" t="inlineStr">
        <is>
          <t>avverkningsanmälan</t>
        </is>
      </c>
      <c r="C449" t="inlineStr">
        <is>
          <t>Föryngringsavverkning</t>
        </is>
      </c>
      <c r="D449" s="1" t="n">
        <v>45428</v>
      </c>
      <c r="E449" s="1" t="n">
        <v>46216</v>
      </c>
      <c r="F449" t="inlineStr">
        <is>
          <t>DALARNAS LÄN</t>
        </is>
      </c>
      <c r="G449" t="inlineStr">
        <is>
          <t>SMEDJEBACKEN</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28283-2025</t>
        </is>
      </c>
      <c r="B450" t="inlineStr">
        <is>
          <t>avverkningsanmälan</t>
        </is>
      </c>
      <c r="C450" t="inlineStr">
        <is>
          <t>Föryngringsavverkning</t>
        </is>
      </c>
      <c r="D450" s="1" t="n">
        <v>45818</v>
      </c>
      <c r="E450" s="1" t="n">
        <v>46216</v>
      </c>
      <c r="F450" t="inlineStr">
        <is>
          <t>DALARNAS LÄN</t>
        </is>
      </c>
      <c r="G450" t="inlineStr">
        <is>
          <t>SMEDJEBACKEN</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29530-2024</t>
        </is>
      </c>
      <c r="B451" t="inlineStr">
        <is>
          <t>avverkningsanmälan</t>
        </is>
      </c>
      <c r="C451" t="inlineStr">
        <is>
          <t>Föryngringsavverkning</t>
        </is>
      </c>
      <c r="D451" s="1" t="n">
        <v>45484</v>
      </c>
      <c r="E451" s="1" t="n">
        <v>46216</v>
      </c>
      <c r="F451" t="inlineStr">
        <is>
          <t>DALARNAS LÄN</t>
        </is>
      </c>
      <c r="G451" t="inlineStr">
        <is>
          <t>SMEDJEBACKEN</t>
        </is>
      </c>
      <c r="I451" t="n">
        <v>4</v>
      </c>
      <c r="J451" t="n">
        <v>0</v>
      </c>
      <c r="K451" t="n">
        <v>0</v>
      </c>
      <c r="L451" t="n">
        <v>0</v>
      </c>
      <c r="M451" t="n">
        <v>0</v>
      </c>
      <c r="N451" t="n">
        <v>0</v>
      </c>
      <c r="O451" t="n">
        <v>0</v>
      </c>
      <c r="P451" t="n">
        <v>0</v>
      </c>
      <c r="Q451" t="n">
        <v>0</v>
      </c>
      <c r="R451" t="n">
        <v>0</v>
      </c>
      <c r="S451" t="n">
        <v>0</v>
      </c>
      <c r="T451" t="n">
        <v>0</v>
      </c>
      <c r="U451" s="2" t="inlineStr"/>
    </row>
    <row r="452" ht="15" customHeight="1">
      <c r="A452" t="inlineStr">
        <is>
          <t>A 18538-2026</t>
        </is>
      </c>
      <c r="B452" t="inlineStr">
        <is>
          <t>avverkningsanmälan</t>
        </is>
      </c>
      <c r="C452" t="inlineStr">
        <is>
          <t>Föryngringsavverkning</t>
        </is>
      </c>
      <c r="D452" s="1" t="n">
        <v>46127</v>
      </c>
      <c r="E452" s="1" t="n">
        <v>46216</v>
      </c>
      <c r="F452" t="inlineStr">
        <is>
          <t>DALARNAS LÄN</t>
        </is>
      </c>
      <c r="G452" t="inlineStr">
        <is>
          <t>SMEDJEBACKEN</t>
        </is>
      </c>
      <c r="I452" t="n">
        <v>13.4</v>
      </c>
      <c r="J452" t="n">
        <v>0</v>
      </c>
      <c r="K452" t="n">
        <v>0</v>
      </c>
      <c r="L452" t="n">
        <v>0</v>
      </c>
      <c r="M452" t="n">
        <v>0</v>
      </c>
      <c r="N452" t="n">
        <v>0</v>
      </c>
      <c r="O452" t="n">
        <v>0</v>
      </c>
      <c r="P452" t="n">
        <v>0</v>
      </c>
      <c r="Q452" t="n">
        <v>0</v>
      </c>
      <c r="R452" t="n">
        <v>0</v>
      </c>
      <c r="S452" t="n">
        <v>0</v>
      </c>
      <c r="T452" t="n">
        <v>0</v>
      </c>
      <c r="U452" s="2" t="inlineStr"/>
    </row>
    <row r="453" ht="15" customHeight="1">
      <c r="A453" t="inlineStr">
        <is>
          <t>A 14462-2023</t>
        </is>
      </c>
      <c r="B453" t="inlineStr">
        <is>
          <t>avverkningsanmälan</t>
        </is>
      </c>
      <c r="C453" t="inlineStr">
        <is>
          <t>Föryngringsavverkning</t>
        </is>
      </c>
      <c r="D453" s="1" t="n">
        <v>45012</v>
      </c>
      <c r="E453" s="1" t="n">
        <v>46216</v>
      </c>
      <c r="F453" t="inlineStr">
        <is>
          <t>DALARNAS LÄN</t>
        </is>
      </c>
      <c r="G453" t="inlineStr">
        <is>
          <t>SMEDJEBACKEN</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45683-2024</t>
        </is>
      </c>
      <c r="B454" t="inlineStr">
        <is>
          <t>avverkningsanmälan</t>
        </is>
      </c>
      <c r="C454" t="inlineStr">
        <is>
          <t>Föryngringsavverkning</t>
        </is>
      </c>
      <c r="D454" s="1" t="n">
        <v>45579</v>
      </c>
      <c r="E454" s="1" t="n">
        <v>46216</v>
      </c>
      <c r="F454" t="inlineStr">
        <is>
          <t>DALARNAS LÄN</t>
        </is>
      </c>
      <c r="G454" t="inlineStr">
        <is>
          <t>SMEDJEBACKEN</t>
        </is>
      </c>
      <c r="H454" t="inlineStr">
        <is>
          <t>Bergvik skog väst AB</t>
        </is>
      </c>
      <c r="I454" t="n">
        <v>7.5</v>
      </c>
      <c r="J454" t="n">
        <v>0</v>
      </c>
      <c r="K454" t="n">
        <v>0</v>
      </c>
      <c r="L454" t="n">
        <v>0</v>
      </c>
      <c r="M454" t="n">
        <v>0</v>
      </c>
      <c r="N454" t="n">
        <v>0</v>
      </c>
      <c r="O454" t="n">
        <v>0</v>
      </c>
      <c r="P454" t="n">
        <v>0</v>
      </c>
      <c r="Q454" t="n">
        <v>0</v>
      </c>
      <c r="R454" t="n">
        <v>0</v>
      </c>
      <c r="S454" t="n">
        <v>0</v>
      </c>
      <c r="T454" t="n">
        <v>0</v>
      </c>
      <c r="U454" s="2" t="inlineStr"/>
    </row>
    <row r="455" ht="15" customHeight="1">
      <c r="A455" t="inlineStr">
        <is>
          <t>A 19955-2026</t>
        </is>
      </c>
      <c r="B455" t="inlineStr">
        <is>
          <t>avverkningsanmälan</t>
        </is>
      </c>
      <c r="C455" t="inlineStr">
        <is>
          <t>Föryngringsavverkning</t>
        </is>
      </c>
      <c r="D455" s="1" t="n">
        <v>46136</v>
      </c>
      <c r="E455" s="1" t="n">
        <v>46216</v>
      </c>
      <c r="F455" t="inlineStr">
        <is>
          <t>DALARNAS LÄN</t>
        </is>
      </c>
      <c r="G455" t="inlineStr">
        <is>
          <t>SMEDJEBACKEN</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12027-2023</t>
        </is>
      </c>
      <c r="B456" t="inlineStr">
        <is>
          <t>avverkningsanmälan</t>
        </is>
      </c>
      <c r="C456" t="inlineStr">
        <is>
          <t>Föryngringsavverkning</t>
        </is>
      </c>
      <c r="D456" s="1" t="n">
        <v>44995</v>
      </c>
      <c r="E456" s="1" t="n">
        <v>46216</v>
      </c>
      <c r="F456" t="inlineStr">
        <is>
          <t>DALARNAS LÄN</t>
        </is>
      </c>
      <c r="G456" t="inlineStr">
        <is>
          <t>SMEDJEBACKEN</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16597-2024</t>
        </is>
      </c>
      <c r="B457" t="inlineStr">
        <is>
          <t>avverkningsanmälan</t>
        </is>
      </c>
      <c r="C457" t="inlineStr">
        <is>
          <t>Föryngringsavverkning</t>
        </is>
      </c>
      <c r="D457" s="1" t="n">
        <v>45408</v>
      </c>
      <c r="E457" s="1" t="n">
        <v>46216</v>
      </c>
      <c r="F457" t="inlineStr">
        <is>
          <t>DALARNAS LÄN</t>
        </is>
      </c>
      <c r="G457" t="inlineStr">
        <is>
          <t>SMEDJEBACKEN</t>
        </is>
      </c>
      <c r="H457" t="inlineStr">
        <is>
          <t>Sveaskog</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4155-2023</t>
        </is>
      </c>
      <c r="B458" t="inlineStr">
        <is>
          <t>avverkningsanmälan</t>
        </is>
      </c>
      <c r="C458" t="inlineStr">
        <is>
          <t>Avverkning för annat ändamål</t>
        </is>
      </c>
      <c r="D458" s="1" t="n">
        <v>44950</v>
      </c>
      <c r="E458" s="1" t="n">
        <v>46216</v>
      </c>
      <c r="F458" t="inlineStr">
        <is>
          <t>DALARNAS LÄN</t>
        </is>
      </c>
      <c r="G458" t="inlineStr">
        <is>
          <t>SMEDJEBACKEN</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25858-2026</t>
        </is>
      </c>
      <c r="B459" t="inlineStr">
        <is>
          <t>avverkningsanmälan</t>
        </is>
      </c>
      <c r="C459" t="inlineStr">
        <is>
          <t>Föryngringsavverkning</t>
        </is>
      </c>
      <c r="D459" s="1" t="n">
        <v>46176</v>
      </c>
      <c r="E459" s="1" t="n">
        <v>46216</v>
      </c>
      <c r="F459" t="inlineStr">
        <is>
          <t>DALARNAS LÄN</t>
        </is>
      </c>
      <c r="G459" t="inlineStr">
        <is>
          <t>SMEDJEBACKEN</t>
        </is>
      </c>
      <c r="H459" t="inlineStr">
        <is>
          <t>Övriga Aktiebolag</t>
        </is>
      </c>
      <c r="I459" t="n">
        <v>6.9</v>
      </c>
      <c r="J459" t="n">
        <v>0</v>
      </c>
      <c r="K459" t="n">
        <v>0</v>
      </c>
      <c r="L459" t="n">
        <v>0</v>
      </c>
      <c r="M459" t="n">
        <v>0</v>
      </c>
      <c r="N459" t="n">
        <v>0</v>
      </c>
      <c r="O459" t="n">
        <v>0</v>
      </c>
      <c r="P459" t="n">
        <v>0</v>
      </c>
      <c r="Q459" t="n">
        <v>0</v>
      </c>
      <c r="R459" t="n">
        <v>0</v>
      </c>
      <c r="S459" t="n">
        <v>0</v>
      </c>
      <c r="T459" t="n">
        <v>0</v>
      </c>
      <c r="U459" s="2" t="inlineStr"/>
    </row>
    <row r="460" ht="15" customHeight="1">
      <c r="A460" t="inlineStr">
        <is>
          <t>A 58731-2025</t>
        </is>
      </c>
      <c r="B460" t="inlineStr">
        <is>
          <t>avverkningsanmälan</t>
        </is>
      </c>
      <c r="C460" t="inlineStr">
        <is>
          <t>Föryngringsavverkning</t>
        </is>
      </c>
      <c r="D460" s="1" t="n">
        <v>45986</v>
      </c>
      <c r="E460" s="1" t="n">
        <v>46216</v>
      </c>
      <c r="F460" t="inlineStr">
        <is>
          <t>DALARNAS LÄN</t>
        </is>
      </c>
      <c r="G460" t="inlineStr">
        <is>
          <t>SMEDJEBACKEN</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29120-2024</t>
        </is>
      </c>
      <c r="B461" t="inlineStr">
        <is>
          <t>avverkningsanmälan</t>
        </is>
      </c>
      <c r="C461" t="inlineStr">
        <is>
          <t>Föryngringsavverkning</t>
        </is>
      </c>
      <c r="D461" s="1" t="n">
        <v>45481</v>
      </c>
      <c r="E461" s="1" t="n">
        <v>46216</v>
      </c>
      <c r="F461" t="inlineStr">
        <is>
          <t>DALARNAS LÄN</t>
        </is>
      </c>
      <c r="G461" t="inlineStr">
        <is>
          <t>SMEDJEBACKEN</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40870-2023</t>
        </is>
      </c>
      <c r="B462" t="inlineStr">
        <is>
          <t>avverkningsanmälan</t>
        </is>
      </c>
      <c r="C462" t="inlineStr">
        <is>
          <t>Föryngringsavverkning</t>
        </is>
      </c>
      <c r="D462" s="1" t="n">
        <v>45173</v>
      </c>
      <c r="E462" s="1" t="n">
        <v>46216</v>
      </c>
      <c r="F462" t="inlineStr">
        <is>
          <t>DALARNAS LÄN</t>
        </is>
      </c>
      <c r="G462" t="inlineStr">
        <is>
          <t>SMEDJEBACKEN</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20707-2026</t>
        </is>
      </c>
      <c r="B463" t="inlineStr">
        <is>
          <t>avverkningsanmälan</t>
        </is>
      </c>
      <c r="C463" t="inlineStr">
        <is>
          <t>Föryngringsavverkning</t>
        </is>
      </c>
      <c r="D463" s="1" t="n">
        <v>46141</v>
      </c>
      <c r="E463" s="1" t="n">
        <v>46216</v>
      </c>
      <c r="F463" t="inlineStr">
        <is>
          <t>DALARNAS LÄN</t>
        </is>
      </c>
      <c r="G463" t="inlineStr">
        <is>
          <t>SMEDJEBACKEN</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20718-2026</t>
        </is>
      </c>
      <c r="B464" t="inlineStr">
        <is>
          <t>avverkningsanmälan</t>
        </is>
      </c>
      <c r="C464" t="inlineStr">
        <is>
          <t>Föryngringsavverkning</t>
        </is>
      </c>
      <c r="D464" s="1" t="n">
        <v>46141</v>
      </c>
      <c r="E464" s="1" t="n">
        <v>46216</v>
      </c>
      <c r="F464" t="inlineStr">
        <is>
          <t>DALARNAS LÄN</t>
        </is>
      </c>
      <c r="G464" t="inlineStr">
        <is>
          <t>SMEDJEBACKEN</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20610-2026</t>
        </is>
      </c>
      <c r="B465" t="inlineStr">
        <is>
          <t>avverkningsanmälan</t>
        </is>
      </c>
      <c r="C465" t="inlineStr">
        <is>
          <t>Föryngringsavverkning</t>
        </is>
      </c>
      <c r="D465" s="1" t="n">
        <v>46140</v>
      </c>
      <c r="E465" s="1" t="n">
        <v>46216</v>
      </c>
      <c r="F465" t="inlineStr">
        <is>
          <t>DALARNAS LÄN</t>
        </is>
      </c>
      <c r="G465" t="inlineStr">
        <is>
          <t>SMEDJEBACKEN</t>
        </is>
      </c>
      <c r="I465" t="n">
        <v>5</v>
      </c>
      <c r="J465" t="n">
        <v>0</v>
      </c>
      <c r="K465" t="n">
        <v>0</v>
      </c>
      <c r="L465" t="n">
        <v>0</v>
      </c>
      <c r="M465" t="n">
        <v>0</v>
      </c>
      <c r="N465" t="n">
        <v>0</v>
      </c>
      <c r="O465" t="n">
        <v>0</v>
      </c>
      <c r="P465" t="n">
        <v>0</v>
      </c>
      <c r="Q465" t="n">
        <v>0</v>
      </c>
      <c r="R465" t="n">
        <v>0</v>
      </c>
      <c r="S465" t="n">
        <v>0</v>
      </c>
      <c r="T465" t="n">
        <v>0</v>
      </c>
      <c r="U465" s="2" t="inlineStr"/>
    </row>
    <row r="466" ht="15" customHeight="1">
      <c r="A466" t="inlineStr">
        <is>
          <t>A 27070-2022</t>
        </is>
      </c>
      <c r="B466" t="inlineStr">
        <is>
          <t>avverkningsanmälan</t>
        </is>
      </c>
      <c r="C466" t="inlineStr">
        <is>
          <t>Föryngringsavverkning</t>
        </is>
      </c>
      <c r="D466" s="1" t="n">
        <v>44741</v>
      </c>
      <c r="E466" s="1" t="n">
        <v>46216</v>
      </c>
      <c r="F466" t="inlineStr">
        <is>
          <t>DALARNAS LÄN</t>
        </is>
      </c>
      <c r="G466" t="inlineStr">
        <is>
          <t>SMEDJEBACKEN</t>
        </is>
      </c>
      <c r="H466" t="inlineStr">
        <is>
          <t>Sveaskog</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28613-2022</t>
        </is>
      </c>
      <c r="B467" t="inlineStr">
        <is>
          <t>avverkningsanmälan</t>
        </is>
      </c>
      <c r="C467" t="inlineStr">
        <is>
          <t>Föryngringsavverkning</t>
        </is>
      </c>
      <c r="D467" s="1" t="n">
        <v>44748</v>
      </c>
      <c r="E467" s="1" t="n">
        <v>46216</v>
      </c>
      <c r="F467" t="inlineStr">
        <is>
          <t>DALARNAS LÄN</t>
        </is>
      </c>
      <c r="G467" t="inlineStr">
        <is>
          <t>SMEDJEBACKEN</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26367-2026</t>
        </is>
      </c>
      <c r="B468" t="inlineStr">
        <is>
          <t>avverkningsanmälan</t>
        </is>
      </c>
      <c r="C468" t="inlineStr">
        <is>
          <t>Föryngringsavverkning</t>
        </is>
      </c>
      <c r="D468" s="1" t="n">
        <v>46182</v>
      </c>
      <c r="E468" s="1" t="n">
        <v>46216</v>
      </c>
      <c r="F468" t="inlineStr">
        <is>
          <t>DALARNAS LÄN</t>
        </is>
      </c>
      <c r="G468" t="inlineStr">
        <is>
          <t>SMEDJEBACKEN</t>
        </is>
      </c>
      <c r="H468" t="inlineStr">
        <is>
          <t>Övriga Aktiebolag</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38356-2024</t>
        </is>
      </c>
      <c r="B469" t="inlineStr">
        <is>
          <t>avverkningsanmälan</t>
        </is>
      </c>
      <c r="C469" t="inlineStr">
        <is>
          <t>Föryngringsavverkning</t>
        </is>
      </c>
      <c r="D469" s="1" t="n">
        <v>45545</v>
      </c>
      <c r="E469" s="1" t="n">
        <v>46216</v>
      </c>
      <c r="F469" t="inlineStr">
        <is>
          <t>DALARNAS LÄN</t>
        </is>
      </c>
      <c r="G469" t="inlineStr">
        <is>
          <t>SMEDJEBACKEN</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51115-2024</t>
        </is>
      </c>
      <c r="B470" t="inlineStr">
        <is>
          <t>avverkningsanmälan</t>
        </is>
      </c>
      <c r="C470" t="inlineStr">
        <is>
          <t>Avverkning för att bevara och utveckla /försöksver</t>
        </is>
      </c>
      <c r="D470" s="1" t="n">
        <v>45603</v>
      </c>
      <c r="E470" s="1" t="n">
        <v>46216</v>
      </c>
      <c r="F470" t="inlineStr">
        <is>
          <t>DALARNAS LÄN</t>
        </is>
      </c>
      <c r="G470" t="inlineStr">
        <is>
          <t>SMEDJEBACKEN</t>
        </is>
      </c>
      <c r="H470" t="inlineStr">
        <is>
          <t>Sveaskog</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15322-2025</t>
        </is>
      </c>
      <c r="B471" t="inlineStr">
        <is>
          <t>avverkningsanmälan</t>
        </is>
      </c>
      <c r="C471" t="inlineStr">
        <is>
          <t>Föryngringsavverkning</t>
        </is>
      </c>
      <c r="D471" s="1" t="n">
        <v>45747</v>
      </c>
      <c r="E471" s="1" t="n">
        <v>46216</v>
      </c>
      <c r="F471" t="inlineStr">
        <is>
          <t>DALARNAS LÄN</t>
        </is>
      </c>
      <c r="G471" t="inlineStr">
        <is>
          <t>SMEDJEBACKEN</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14843-2023</t>
        </is>
      </c>
      <c r="B472" t="inlineStr">
        <is>
          <t>avverkningsanmälan</t>
        </is>
      </c>
      <c r="C472" t="inlineStr">
        <is>
          <t>Föryngringsavverkning</t>
        </is>
      </c>
      <c r="D472" s="1" t="n">
        <v>45014</v>
      </c>
      <c r="E472" s="1" t="n">
        <v>46216</v>
      </c>
      <c r="F472" t="inlineStr">
        <is>
          <t>DALARNAS LÄN</t>
        </is>
      </c>
      <c r="G472" t="inlineStr">
        <is>
          <t>SMEDJEBACKEN</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53474-2024</t>
        </is>
      </c>
      <c r="B473" t="inlineStr">
        <is>
          <t>avverkningsanmälan</t>
        </is>
      </c>
      <c r="C473" t="inlineStr">
        <is>
          <t>Föryngringsavverkning</t>
        </is>
      </c>
      <c r="D473" s="1" t="n">
        <v>45611</v>
      </c>
      <c r="E473" s="1" t="n">
        <v>46216</v>
      </c>
      <c r="F473" t="inlineStr">
        <is>
          <t>DALARNAS LÄN</t>
        </is>
      </c>
      <c r="G473" t="inlineStr">
        <is>
          <t>SMEDJEBACKEN</t>
        </is>
      </c>
      <c r="I473" t="n">
        <v>4.9</v>
      </c>
      <c r="J473" t="n">
        <v>0</v>
      </c>
      <c r="K473" t="n">
        <v>0</v>
      </c>
      <c r="L473" t="n">
        <v>0</v>
      </c>
      <c r="M473" t="n">
        <v>0</v>
      </c>
      <c r="N473" t="n">
        <v>0</v>
      </c>
      <c r="O473" t="n">
        <v>0</v>
      </c>
      <c r="P473" t="n">
        <v>0</v>
      </c>
      <c r="Q473" t="n">
        <v>0</v>
      </c>
      <c r="R473" t="n">
        <v>0</v>
      </c>
      <c r="S473" t="n">
        <v>0</v>
      </c>
      <c r="T473" t="n">
        <v>0</v>
      </c>
      <c r="U473" s="2" t="inlineStr"/>
    </row>
    <row r="474" ht="15" customHeight="1">
      <c r="A474" t="inlineStr">
        <is>
          <t>A 3418-2024</t>
        </is>
      </c>
      <c r="B474" t="inlineStr">
        <is>
          <t>avverkningsanmälan</t>
        </is>
      </c>
      <c r="C474" t="inlineStr">
        <is>
          <t>Föryngringsavverkning</t>
        </is>
      </c>
      <c r="D474" s="1" t="n">
        <v>45319</v>
      </c>
      <c r="E474" s="1" t="n">
        <v>46216</v>
      </c>
      <c r="F474" t="inlineStr">
        <is>
          <t>DALARNAS LÄN</t>
        </is>
      </c>
      <c r="G474" t="inlineStr">
        <is>
          <t>SMEDJEBACKEN</t>
        </is>
      </c>
      <c r="I474" t="n">
        <v>4.3</v>
      </c>
      <c r="J474" t="n">
        <v>0</v>
      </c>
      <c r="K474" t="n">
        <v>0</v>
      </c>
      <c r="L474" t="n">
        <v>0</v>
      </c>
      <c r="M474" t="n">
        <v>0</v>
      </c>
      <c r="N474" t="n">
        <v>0</v>
      </c>
      <c r="O474" t="n">
        <v>0</v>
      </c>
      <c r="P474" t="n">
        <v>0</v>
      </c>
      <c r="Q474" t="n">
        <v>0</v>
      </c>
      <c r="R474" t="n">
        <v>0</v>
      </c>
      <c r="S474" t="n">
        <v>0</v>
      </c>
      <c r="T474" t="n">
        <v>0</v>
      </c>
      <c r="U474" s="2" t="inlineStr"/>
    </row>
    <row r="475" ht="15" customHeight="1">
      <c r="A475" t="inlineStr">
        <is>
          <t>A 52354-2023</t>
        </is>
      </c>
      <c r="B475" t="inlineStr">
        <is>
          <t>avverkningsanmälan</t>
        </is>
      </c>
      <c r="C475" t="inlineStr">
        <is>
          <t>Föryngringsavverkning</t>
        </is>
      </c>
      <c r="D475" s="1" t="n">
        <v>45224</v>
      </c>
      <c r="E475" s="1" t="n">
        <v>46216</v>
      </c>
      <c r="F475" t="inlineStr">
        <is>
          <t>DALARNAS LÄN</t>
        </is>
      </c>
      <c r="G475" t="inlineStr">
        <is>
          <t>SMEDJEBACKEN</t>
        </is>
      </c>
      <c r="I475" t="n">
        <v>14.9</v>
      </c>
      <c r="J475" t="n">
        <v>0</v>
      </c>
      <c r="K475" t="n">
        <v>0</v>
      </c>
      <c r="L475" t="n">
        <v>0</v>
      </c>
      <c r="M475" t="n">
        <v>0</v>
      </c>
      <c r="N475" t="n">
        <v>0</v>
      </c>
      <c r="O475" t="n">
        <v>0</v>
      </c>
      <c r="P475" t="n">
        <v>0</v>
      </c>
      <c r="Q475" t="n">
        <v>0</v>
      </c>
      <c r="R475" t="n">
        <v>0</v>
      </c>
      <c r="S475" t="n">
        <v>0</v>
      </c>
      <c r="T475" t="n">
        <v>0</v>
      </c>
      <c r="U475" s="2" t="inlineStr"/>
    </row>
    <row r="476" ht="15" customHeight="1">
      <c r="A476" t="inlineStr">
        <is>
          <t>A 2243-2026</t>
        </is>
      </c>
      <c r="B476" t="inlineStr">
        <is>
          <t>avverkningsanmälan</t>
        </is>
      </c>
      <c r="C476" t="inlineStr">
        <is>
          <t>Föryngringsavverkning</t>
        </is>
      </c>
      <c r="D476" s="1" t="n">
        <v>46036</v>
      </c>
      <c r="E476" s="1" t="n">
        <v>46216</v>
      </c>
      <c r="F476" t="inlineStr">
        <is>
          <t>DALARNAS LÄN</t>
        </is>
      </c>
      <c r="G476" t="inlineStr">
        <is>
          <t>SMEDJEBACKEN</t>
        </is>
      </c>
      <c r="I476" t="n">
        <v>4.1</v>
      </c>
      <c r="J476" t="n">
        <v>0</v>
      </c>
      <c r="K476" t="n">
        <v>0</v>
      </c>
      <c r="L476" t="n">
        <v>0</v>
      </c>
      <c r="M476" t="n">
        <v>0</v>
      </c>
      <c r="N476" t="n">
        <v>0</v>
      </c>
      <c r="O476" t="n">
        <v>0</v>
      </c>
      <c r="P476" t="n">
        <v>0</v>
      </c>
      <c r="Q476" t="n">
        <v>0</v>
      </c>
      <c r="R476" t="n">
        <v>0</v>
      </c>
      <c r="S476" t="n">
        <v>0</v>
      </c>
      <c r="T476" t="n">
        <v>0</v>
      </c>
      <c r="U476" s="2" t="inlineStr"/>
    </row>
    <row r="477" ht="15" customHeight="1">
      <c r="A477" t="inlineStr">
        <is>
          <t>A 54260-2022</t>
        </is>
      </c>
      <c r="B477" t="inlineStr">
        <is>
          <t>avverkningsanmälan</t>
        </is>
      </c>
      <c r="C477" t="inlineStr">
        <is>
          <t>Föryngringsavverkning</t>
        </is>
      </c>
      <c r="D477" s="1" t="n">
        <v>44882</v>
      </c>
      <c r="E477" s="1" t="n">
        <v>46216</v>
      </c>
      <c r="F477" t="inlineStr">
        <is>
          <t>DALARNAS LÄN</t>
        </is>
      </c>
      <c r="G477" t="inlineStr">
        <is>
          <t>SMEDJEBACKEN</t>
        </is>
      </c>
      <c r="H477" t="inlineStr">
        <is>
          <t>Kyrkan</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18133-2024</t>
        </is>
      </c>
      <c r="B478" t="inlineStr">
        <is>
          <t>avverkningsanmälan</t>
        </is>
      </c>
      <c r="C478" t="inlineStr">
        <is>
          <t>Föryngringsavverkning</t>
        </is>
      </c>
      <c r="D478" s="1" t="n">
        <v>45420</v>
      </c>
      <c r="E478" s="1" t="n">
        <v>46216</v>
      </c>
      <c r="F478" t="inlineStr">
        <is>
          <t>DALARNAS LÄN</t>
        </is>
      </c>
      <c r="G478" t="inlineStr">
        <is>
          <t>SMEDJEBACKEN</t>
        </is>
      </c>
      <c r="H478" t="inlineStr">
        <is>
          <t>Sveaskog</t>
        </is>
      </c>
      <c r="I478" t="n">
        <v>8.5</v>
      </c>
      <c r="J478" t="n">
        <v>0</v>
      </c>
      <c r="K478" t="n">
        <v>0</v>
      </c>
      <c r="L478" t="n">
        <v>0</v>
      </c>
      <c r="M478" t="n">
        <v>0</v>
      </c>
      <c r="N478" t="n">
        <v>0</v>
      </c>
      <c r="O478" t="n">
        <v>0</v>
      </c>
      <c r="P478" t="n">
        <v>0</v>
      </c>
      <c r="Q478" t="n">
        <v>0</v>
      </c>
      <c r="R478" t="n">
        <v>0</v>
      </c>
      <c r="S478" t="n">
        <v>0</v>
      </c>
      <c r="T478" t="n">
        <v>0</v>
      </c>
      <c r="U478" s="2" t="inlineStr"/>
    </row>
    <row r="479" ht="15" customHeight="1">
      <c r="A479" t="inlineStr">
        <is>
          <t>A 26661-2026</t>
        </is>
      </c>
      <c r="B479" t="inlineStr">
        <is>
          <t>avverkningsanmälan</t>
        </is>
      </c>
      <c r="C479" t="inlineStr">
        <is>
          <t>Föryngringsavverkning</t>
        </is>
      </c>
      <c r="D479" s="1" t="n">
        <v>46184</v>
      </c>
      <c r="E479" s="1" t="n">
        <v>46216</v>
      </c>
      <c r="F479" t="inlineStr">
        <is>
          <t>DALARNAS LÄN</t>
        </is>
      </c>
      <c r="G479" t="inlineStr">
        <is>
          <t>SMEDJEBACKEN</t>
        </is>
      </c>
      <c r="H479" t="inlineStr">
        <is>
          <t>Sveaskog</t>
        </is>
      </c>
      <c r="I479" t="n">
        <v>6.7</v>
      </c>
      <c r="J479" t="n">
        <v>0</v>
      </c>
      <c r="K479" t="n">
        <v>0</v>
      </c>
      <c r="L479" t="n">
        <v>0</v>
      </c>
      <c r="M479" t="n">
        <v>0</v>
      </c>
      <c r="N479" t="n">
        <v>0</v>
      </c>
      <c r="O479" t="n">
        <v>0</v>
      </c>
      <c r="P479" t="n">
        <v>0</v>
      </c>
      <c r="Q479" t="n">
        <v>0</v>
      </c>
      <c r="R479" t="n">
        <v>0</v>
      </c>
      <c r="S479" t="n">
        <v>0</v>
      </c>
      <c r="T479" t="n">
        <v>0</v>
      </c>
      <c r="U479" s="2" t="inlineStr"/>
    </row>
    <row r="480" ht="15" customHeight="1">
      <c r="A480" t="inlineStr">
        <is>
          <t>A 56510-2024</t>
        </is>
      </c>
      <c r="B480" t="inlineStr">
        <is>
          <t>avverkningsanmälan</t>
        </is>
      </c>
      <c r="C480" t="inlineStr">
        <is>
          <t>Avverkning för att bevara och utveckla /försöksver</t>
        </is>
      </c>
      <c r="D480" s="1" t="n">
        <v>45625</v>
      </c>
      <c r="E480" s="1" t="n">
        <v>46216</v>
      </c>
      <c r="F480" t="inlineStr">
        <is>
          <t>DALARNAS LÄN</t>
        </is>
      </c>
      <c r="G480" t="inlineStr">
        <is>
          <t>SMEDJEBACKEN</t>
        </is>
      </c>
      <c r="H480" t="inlineStr">
        <is>
          <t>Sveaskog</t>
        </is>
      </c>
      <c r="I480" t="n">
        <v>2.4</v>
      </c>
      <c r="J480" t="n">
        <v>0</v>
      </c>
      <c r="K480" t="n">
        <v>0</v>
      </c>
      <c r="L480" t="n">
        <v>0</v>
      </c>
      <c r="M480" t="n">
        <v>0</v>
      </c>
      <c r="N480" t="n">
        <v>0</v>
      </c>
      <c r="O480" t="n">
        <v>0</v>
      </c>
      <c r="P480" t="n">
        <v>0</v>
      </c>
      <c r="Q480" t="n">
        <v>0</v>
      </c>
      <c r="R480" t="n">
        <v>0</v>
      </c>
      <c r="S480" t="n">
        <v>0</v>
      </c>
      <c r="T480" t="n">
        <v>0</v>
      </c>
      <c r="U480" s="2" t="inlineStr"/>
    </row>
    <row r="481" ht="15" customHeight="1">
      <c r="A481" t="inlineStr">
        <is>
          <t>A 26659-2026</t>
        </is>
      </c>
      <c r="B481" t="inlineStr">
        <is>
          <t>avverkningsanmälan</t>
        </is>
      </c>
      <c r="C481" t="inlineStr">
        <is>
          <t>Föryngringsavverkning</t>
        </is>
      </c>
      <c r="D481" s="1" t="n">
        <v>46184</v>
      </c>
      <c r="E481" s="1" t="n">
        <v>46216</v>
      </c>
      <c r="F481" t="inlineStr">
        <is>
          <t>DALARNAS LÄN</t>
        </is>
      </c>
      <c r="G481" t="inlineStr">
        <is>
          <t>SMEDJEBACKEN</t>
        </is>
      </c>
      <c r="H481" t="inlineStr">
        <is>
          <t>Sveaskog</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12125-2024</t>
        </is>
      </c>
      <c r="B482" t="inlineStr">
        <is>
          <t>avverkningsanmälan</t>
        </is>
      </c>
      <c r="C482" t="inlineStr">
        <is>
          <t>Avverkning för annat ändamål</t>
        </is>
      </c>
      <c r="D482" s="1" t="n">
        <v>45377</v>
      </c>
      <c r="E482" s="1" t="n">
        <v>46216</v>
      </c>
      <c r="F482" t="inlineStr">
        <is>
          <t>DALARNAS LÄN</t>
        </is>
      </c>
      <c r="G482" t="inlineStr">
        <is>
          <t>SMEDJEBACKEN</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38767-2023</t>
        </is>
      </c>
      <c r="B483" t="inlineStr">
        <is>
          <t>avverkningsanmälan</t>
        </is>
      </c>
      <c r="C483" t="inlineStr">
        <is>
          <t>Föryngringsavverkning</t>
        </is>
      </c>
      <c r="D483" s="1" t="n">
        <v>45163</v>
      </c>
      <c r="E483" s="1" t="n">
        <v>46216</v>
      </c>
      <c r="F483" t="inlineStr">
        <is>
          <t>DALARNAS LÄN</t>
        </is>
      </c>
      <c r="G483" t="inlineStr">
        <is>
          <t>SMEDJEBACKEN</t>
        </is>
      </c>
      <c r="H483" t="inlineStr">
        <is>
          <t>Sveaskog</t>
        </is>
      </c>
      <c r="I483" t="n">
        <v>6.5</v>
      </c>
      <c r="J483" t="n">
        <v>0</v>
      </c>
      <c r="K483" t="n">
        <v>0</v>
      </c>
      <c r="L483" t="n">
        <v>0</v>
      </c>
      <c r="M483" t="n">
        <v>0</v>
      </c>
      <c r="N483" t="n">
        <v>0</v>
      </c>
      <c r="O483" t="n">
        <v>0</v>
      </c>
      <c r="P483" t="n">
        <v>0</v>
      </c>
      <c r="Q483" t="n">
        <v>0</v>
      </c>
      <c r="R483" t="n">
        <v>0</v>
      </c>
      <c r="S483" t="n">
        <v>0</v>
      </c>
      <c r="T483" t="n">
        <v>0</v>
      </c>
      <c r="U483" s="2" t="inlineStr"/>
    </row>
    <row r="484" ht="15" customHeight="1">
      <c r="A484" t="inlineStr">
        <is>
          <t>A 26657-2026</t>
        </is>
      </c>
      <c r="B484" t="inlineStr">
        <is>
          <t>avverkningsanmälan</t>
        </is>
      </c>
      <c r="C484" t="inlineStr">
        <is>
          <t>Föryngringsavverkning</t>
        </is>
      </c>
      <c r="D484" s="1" t="n">
        <v>46184</v>
      </c>
      <c r="E484" s="1" t="n">
        <v>46216</v>
      </c>
      <c r="F484" t="inlineStr">
        <is>
          <t>DALARNAS LÄN</t>
        </is>
      </c>
      <c r="G484" t="inlineStr">
        <is>
          <t>SMEDJEBACKEN</t>
        </is>
      </c>
      <c r="H484" t="inlineStr">
        <is>
          <t>Sveaskog</t>
        </is>
      </c>
      <c r="I484" t="n">
        <v>3.8</v>
      </c>
      <c r="J484" t="n">
        <v>0</v>
      </c>
      <c r="K484" t="n">
        <v>0</v>
      </c>
      <c r="L484" t="n">
        <v>0</v>
      </c>
      <c r="M484" t="n">
        <v>0</v>
      </c>
      <c r="N484" t="n">
        <v>0</v>
      </c>
      <c r="O484" t="n">
        <v>0</v>
      </c>
      <c r="P484" t="n">
        <v>0</v>
      </c>
      <c r="Q484" t="n">
        <v>0</v>
      </c>
      <c r="R484" t="n">
        <v>0</v>
      </c>
      <c r="S484" t="n">
        <v>0</v>
      </c>
      <c r="T484" t="n">
        <v>0</v>
      </c>
      <c r="U484" s="2" t="inlineStr"/>
    </row>
    <row r="485" ht="15" customHeight="1">
      <c r="A485" t="inlineStr">
        <is>
          <t>A 26655-2026</t>
        </is>
      </c>
      <c r="B485" t="inlineStr">
        <is>
          <t>avverkningsanmälan</t>
        </is>
      </c>
      <c r="C485" t="inlineStr">
        <is>
          <t>Föryngringsavverkning</t>
        </is>
      </c>
      <c r="D485" s="1" t="n">
        <v>46184</v>
      </c>
      <c r="E485" s="1" t="n">
        <v>46216</v>
      </c>
      <c r="F485" t="inlineStr">
        <is>
          <t>DALARNAS LÄN</t>
        </is>
      </c>
      <c r="G485" t="inlineStr">
        <is>
          <t>SMEDJEBACKEN</t>
        </is>
      </c>
      <c r="H485" t="inlineStr">
        <is>
          <t>Sveaskog</t>
        </is>
      </c>
      <c r="I485" t="n">
        <v>2.4</v>
      </c>
      <c r="J485" t="n">
        <v>0</v>
      </c>
      <c r="K485" t="n">
        <v>0</v>
      </c>
      <c r="L485" t="n">
        <v>0</v>
      </c>
      <c r="M485" t="n">
        <v>0</v>
      </c>
      <c r="N485" t="n">
        <v>0</v>
      </c>
      <c r="O485" t="n">
        <v>0</v>
      </c>
      <c r="P485" t="n">
        <v>0</v>
      </c>
      <c r="Q485" t="n">
        <v>0</v>
      </c>
      <c r="R485" t="n">
        <v>0</v>
      </c>
      <c r="S485" t="n">
        <v>0</v>
      </c>
      <c r="T485" t="n">
        <v>0</v>
      </c>
      <c r="U485" s="2" t="inlineStr"/>
    </row>
    <row r="486" ht="15" customHeight="1">
      <c r="A486" t="inlineStr">
        <is>
          <t>A 48459-2023</t>
        </is>
      </c>
      <c r="B486" t="inlineStr">
        <is>
          <t>avverkningsanmälan</t>
        </is>
      </c>
      <c r="C486" t="inlineStr">
        <is>
          <t>Föryngringsavverkning</t>
        </is>
      </c>
      <c r="D486" s="1" t="n">
        <v>45206</v>
      </c>
      <c r="E486" s="1" t="n">
        <v>46216</v>
      </c>
      <c r="F486" t="inlineStr">
        <is>
          <t>DALARNAS LÄN</t>
        </is>
      </c>
      <c r="G486" t="inlineStr">
        <is>
          <t>SMEDJEBACKEN</t>
        </is>
      </c>
      <c r="H486" t="inlineStr">
        <is>
          <t>Sveaskog</t>
        </is>
      </c>
      <c r="I486" t="n">
        <v>5.2</v>
      </c>
      <c r="J486" t="n">
        <v>0</v>
      </c>
      <c r="K486" t="n">
        <v>0</v>
      </c>
      <c r="L486" t="n">
        <v>0</v>
      </c>
      <c r="M486" t="n">
        <v>0</v>
      </c>
      <c r="N486" t="n">
        <v>0</v>
      </c>
      <c r="O486" t="n">
        <v>0</v>
      </c>
      <c r="P486" t="n">
        <v>0</v>
      </c>
      <c r="Q486" t="n">
        <v>0</v>
      </c>
      <c r="R486" t="n">
        <v>0</v>
      </c>
      <c r="S486" t="n">
        <v>0</v>
      </c>
      <c r="T486" t="n">
        <v>0</v>
      </c>
      <c r="U486" s="2" t="inlineStr"/>
    </row>
    <row r="487" ht="15" customHeight="1">
      <c r="A487" t="inlineStr">
        <is>
          <t>A 45373-2023</t>
        </is>
      </c>
      <c r="B487" t="inlineStr">
        <is>
          <t>avverkningsanmälan</t>
        </is>
      </c>
      <c r="C487" t="inlineStr">
        <is>
          <t>Föryngringsavverkning</t>
        </is>
      </c>
      <c r="D487" s="1" t="n">
        <v>45193</v>
      </c>
      <c r="E487" s="1" t="n">
        <v>46216</v>
      </c>
      <c r="F487" t="inlineStr">
        <is>
          <t>DALARNAS LÄN</t>
        </is>
      </c>
      <c r="G487" t="inlineStr">
        <is>
          <t>SMEDJEBACKEN</t>
        </is>
      </c>
      <c r="H487" t="inlineStr">
        <is>
          <t>Sveaskog</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32384-2022</t>
        </is>
      </c>
      <c r="B488" t="inlineStr">
        <is>
          <t>avverkningsanmälan</t>
        </is>
      </c>
      <c r="C488" t="inlineStr">
        <is>
          <t>Föryngringsavverkning</t>
        </is>
      </c>
      <c r="D488" s="1" t="n">
        <v>44782</v>
      </c>
      <c r="E488" s="1" t="n">
        <v>46216</v>
      </c>
      <c r="F488" t="inlineStr">
        <is>
          <t>DALARNAS LÄN</t>
        </is>
      </c>
      <c r="G488" t="inlineStr">
        <is>
          <t>SMEDJEBACKEN</t>
        </is>
      </c>
      <c r="I488" t="n">
        <v>2.9</v>
      </c>
      <c r="J488" t="n">
        <v>0</v>
      </c>
      <c r="K488" t="n">
        <v>0</v>
      </c>
      <c r="L488" t="n">
        <v>0</v>
      </c>
      <c r="M488" t="n">
        <v>0</v>
      </c>
      <c r="N488" t="n">
        <v>0</v>
      </c>
      <c r="O488" t="n">
        <v>0</v>
      </c>
      <c r="P488" t="n">
        <v>0</v>
      </c>
      <c r="Q488" t="n">
        <v>0</v>
      </c>
      <c r="R488" t="n">
        <v>0</v>
      </c>
      <c r="S488" t="n">
        <v>0</v>
      </c>
      <c r="T488" t="n">
        <v>0</v>
      </c>
      <c r="U488" s="2" t="inlineStr"/>
    </row>
    <row r="489" ht="15" customHeight="1">
      <c r="A489" t="inlineStr">
        <is>
          <t>A 18022-2024</t>
        </is>
      </c>
      <c r="B489" t="inlineStr">
        <is>
          <t>avverkningsanmälan</t>
        </is>
      </c>
      <c r="C489" t="inlineStr">
        <is>
          <t>Avverkning för annat ändamål</t>
        </is>
      </c>
      <c r="D489" s="1" t="n">
        <v>45420</v>
      </c>
      <c r="E489" s="1" t="n">
        <v>46216</v>
      </c>
      <c r="F489" t="inlineStr">
        <is>
          <t>DALARNAS LÄN</t>
        </is>
      </c>
      <c r="G489" t="inlineStr">
        <is>
          <t>SMEDJEBACKEN</t>
        </is>
      </c>
      <c r="H489" t="inlineStr">
        <is>
          <t>Sveaskog</t>
        </is>
      </c>
      <c r="I489" t="n">
        <v>0.3</v>
      </c>
      <c r="J489" t="n">
        <v>0</v>
      </c>
      <c r="K489" t="n">
        <v>0</v>
      </c>
      <c r="L489" t="n">
        <v>0</v>
      </c>
      <c r="M489" t="n">
        <v>0</v>
      </c>
      <c r="N489" t="n">
        <v>0</v>
      </c>
      <c r="O489" t="n">
        <v>0</v>
      </c>
      <c r="P489" t="n">
        <v>0</v>
      </c>
      <c r="Q489" t="n">
        <v>0</v>
      </c>
      <c r="R489" t="n">
        <v>0</v>
      </c>
      <c r="S489" t="n">
        <v>0</v>
      </c>
      <c r="T489" t="n">
        <v>0</v>
      </c>
      <c r="U489" s="2" t="inlineStr"/>
    </row>
    <row r="490" ht="15" customHeight="1">
      <c r="A490" t="inlineStr">
        <is>
          <t>A 26347-2026</t>
        </is>
      </c>
      <c r="B490" t="inlineStr">
        <is>
          <t>avverkningsanmälan</t>
        </is>
      </c>
      <c r="C490" t="inlineStr">
        <is>
          <t>Avverkning för annat ändamål</t>
        </is>
      </c>
      <c r="D490" s="1" t="n">
        <v>46182</v>
      </c>
      <c r="E490" s="1" t="n">
        <v>46216</v>
      </c>
      <c r="F490" t="inlineStr">
        <is>
          <t>DALARNAS LÄN</t>
        </is>
      </c>
      <c r="G490" t="inlineStr">
        <is>
          <t>SMEDJEBACKEN</t>
        </is>
      </c>
      <c r="H490" t="inlineStr">
        <is>
          <t>Sveaskog</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21215-2026</t>
        </is>
      </c>
      <c r="B491" t="inlineStr">
        <is>
          <t>avverkningsanmälan</t>
        </is>
      </c>
      <c r="C491" t="inlineStr">
        <is>
          <t>Föryngringsavverkning</t>
        </is>
      </c>
      <c r="D491" s="1" t="n">
        <v>46146</v>
      </c>
      <c r="E491" s="1" t="n">
        <v>46216</v>
      </c>
      <c r="F491" t="inlineStr">
        <is>
          <t>DALARNAS LÄN</t>
        </is>
      </c>
      <c r="G491" t="inlineStr">
        <is>
          <t>SMEDJEBACKEN</t>
        </is>
      </c>
      <c r="H491" t="inlineStr">
        <is>
          <t>Bergvik skog väst AB</t>
        </is>
      </c>
      <c r="I491" t="n">
        <v>4</v>
      </c>
      <c r="J491" t="n">
        <v>0</v>
      </c>
      <c r="K491" t="n">
        <v>0</v>
      </c>
      <c r="L491" t="n">
        <v>0</v>
      </c>
      <c r="M491" t="n">
        <v>0</v>
      </c>
      <c r="N491" t="n">
        <v>0</v>
      </c>
      <c r="O491" t="n">
        <v>0</v>
      </c>
      <c r="P491" t="n">
        <v>0</v>
      </c>
      <c r="Q491" t="n">
        <v>0</v>
      </c>
      <c r="R491" t="n">
        <v>0</v>
      </c>
      <c r="S491" t="n">
        <v>0</v>
      </c>
      <c r="T491" t="n">
        <v>0</v>
      </c>
      <c r="U491" s="2" t="inlineStr"/>
    </row>
    <row r="492" ht="15" customHeight="1">
      <c r="A492" t="inlineStr">
        <is>
          <t>A 21216-2026</t>
        </is>
      </c>
      <c r="B492" t="inlineStr">
        <is>
          <t>avverkningsanmälan</t>
        </is>
      </c>
      <c r="C492" t="inlineStr">
        <is>
          <t>Föryngringsavverkning</t>
        </is>
      </c>
      <c r="D492" s="1" t="n">
        <v>46146</v>
      </c>
      <c r="E492" s="1" t="n">
        <v>46216</v>
      </c>
      <c r="F492" t="inlineStr">
        <is>
          <t>DALARNAS LÄN</t>
        </is>
      </c>
      <c r="G492" t="inlineStr">
        <is>
          <t>SMEDJEBACKEN</t>
        </is>
      </c>
      <c r="H492" t="inlineStr">
        <is>
          <t>Bergvik skog väst AB</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11514-2024</t>
        </is>
      </c>
      <c r="B493" t="inlineStr">
        <is>
          <t>avverkningsanmälan</t>
        </is>
      </c>
      <c r="C493" t="inlineStr">
        <is>
          <t>Föryngringsavverkning</t>
        </is>
      </c>
      <c r="D493" s="1" t="n">
        <v>45372</v>
      </c>
      <c r="E493" s="1" t="n">
        <v>46216</v>
      </c>
      <c r="F493" t="inlineStr">
        <is>
          <t>DALARNAS LÄN</t>
        </is>
      </c>
      <c r="G493" t="inlineStr">
        <is>
          <t>SMEDJEBACKEN</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27786-2026</t>
        </is>
      </c>
      <c r="B494" t="inlineStr">
        <is>
          <t>avverkningsanmälan</t>
        </is>
      </c>
      <c r="C494" t="inlineStr">
        <is>
          <t>Föryngringsavverkning</t>
        </is>
      </c>
      <c r="D494" s="1" t="n">
        <v>46191</v>
      </c>
      <c r="E494" s="1" t="n">
        <v>46216</v>
      </c>
      <c r="F494" t="inlineStr">
        <is>
          <t>DALARNAS LÄN</t>
        </is>
      </c>
      <c r="G494" t="inlineStr">
        <is>
          <t>SMEDJEBACKEN</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13354-2025</t>
        </is>
      </c>
      <c r="B495" t="inlineStr">
        <is>
          <t>avverkningsanmälan</t>
        </is>
      </c>
      <c r="C495" t="inlineStr">
        <is>
          <t>Föryngringsavverkning</t>
        </is>
      </c>
      <c r="D495" s="1" t="n">
        <v>45735</v>
      </c>
      <c r="E495" s="1" t="n">
        <v>46216</v>
      </c>
      <c r="F495" t="inlineStr">
        <is>
          <t>DALARNAS LÄN</t>
        </is>
      </c>
      <c r="G495" t="inlineStr">
        <is>
          <t>SMEDJEBACKEN</t>
        </is>
      </c>
      <c r="I495" t="n">
        <v>4.4</v>
      </c>
      <c r="J495" t="n">
        <v>0</v>
      </c>
      <c r="K495" t="n">
        <v>0</v>
      </c>
      <c r="L495" t="n">
        <v>0</v>
      </c>
      <c r="M495" t="n">
        <v>0</v>
      </c>
      <c r="N495" t="n">
        <v>0</v>
      </c>
      <c r="O495" t="n">
        <v>0</v>
      </c>
      <c r="P495" t="n">
        <v>0</v>
      </c>
      <c r="Q495" t="n">
        <v>0</v>
      </c>
      <c r="R495" t="n">
        <v>0</v>
      </c>
      <c r="S495" t="n">
        <v>0</v>
      </c>
      <c r="T495" t="n">
        <v>0</v>
      </c>
      <c r="U495" s="2" t="inlineStr"/>
    </row>
    <row r="496" ht="15" customHeight="1">
      <c r="A496" t="inlineStr">
        <is>
          <t>A 21631-2026</t>
        </is>
      </c>
      <c r="B496" t="inlineStr">
        <is>
          <t>avverkningsanmälan</t>
        </is>
      </c>
      <c r="C496" t="inlineStr">
        <is>
          <t>Föryngringsavverkning</t>
        </is>
      </c>
      <c r="D496" s="1" t="n">
        <v>46149</v>
      </c>
      <c r="E496" s="1" t="n">
        <v>46216</v>
      </c>
      <c r="F496" t="inlineStr">
        <is>
          <t>DALARNAS LÄN</t>
        </is>
      </c>
      <c r="G496" t="inlineStr">
        <is>
          <t>SMEDJEBACKEN</t>
        </is>
      </c>
      <c r="H496" t="inlineStr">
        <is>
          <t>Sveaskog</t>
        </is>
      </c>
      <c r="I496" t="n">
        <v>4.9</v>
      </c>
      <c r="J496" t="n">
        <v>0</v>
      </c>
      <c r="K496" t="n">
        <v>0</v>
      </c>
      <c r="L496" t="n">
        <v>0</v>
      </c>
      <c r="M496" t="n">
        <v>0</v>
      </c>
      <c r="N496" t="n">
        <v>0</v>
      </c>
      <c r="O496" t="n">
        <v>0</v>
      </c>
      <c r="P496" t="n">
        <v>0</v>
      </c>
      <c r="Q496" t="n">
        <v>0</v>
      </c>
      <c r="R496" t="n">
        <v>0</v>
      </c>
      <c r="S496" t="n">
        <v>0</v>
      </c>
      <c r="T496" t="n">
        <v>0</v>
      </c>
      <c r="U496" s="2" t="inlineStr"/>
    </row>
    <row r="497" ht="15" customHeight="1">
      <c r="A497" t="inlineStr">
        <is>
          <t>A 33846-2022</t>
        </is>
      </c>
      <c r="B497" t="inlineStr">
        <is>
          <t>avverkningsanmälan</t>
        </is>
      </c>
      <c r="C497" t="inlineStr">
        <is>
          <t>Föryngringsavverkning</t>
        </is>
      </c>
      <c r="D497" s="1" t="n">
        <v>44790</v>
      </c>
      <c r="E497" s="1" t="n">
        <v>46216</v>
      </c>
      <c r="F497" t="inlineStr">
        <is>
          <t>DALARNAS LÄN</t>
        </is>
      </c>
      <c r="G497" t="inlineStr">
        <is>
          <t>SMEDJEBACKEN</t>
        </is>
      </c>
      <c r="H497" t="inlineStr">
        <is>
          <t>Bergvik skog väst AB</t>
        </is>
      </c>
      <c r="I497" t="n">
        <v>2.7</v>
      </c>
      <c r="J497" t="n">
        <v>0</v>
      </c>
      <c r="K497" t="n">
        <v>0</v>
      </c>
      <c r="L497" t="n">
        <v>0</v>
      </c>
      <c r="M497" t="n">
        <v>0</v>
      </c>
      <c r="N497" t="n">
        <v>0</v>
      </c>
      <c r="O497" t="n">
        <v>0</v>
      </c>
      <c r="P497" t="n">
        <v>0</v>
      </c>
      <c r="Q497" t="n">
        <v>0</v>
      </c>
      <c r="R497" t="n">
        <v>0</v>
      </c>
      <c r="S497" t="n">
        <v>0</v>
      </c>
      <c r="T497" t="n">
        <v>0</v>
      </c>
      <c r="U497" s="2" t="inlineStr"/>
    </row>
    <row r="498" ht="15" customHeight="1">
      <c r="A498" t="inlineStr">
        <is>
          <t>A 21632-2026</t>
        </is>
      </c>
      <c r="B498" t="inlineStr">
        <is>
          <t>avverkningsanmälan</t>
        </is>
      </c>
      <c r="C498" t="inlineStr">
        <is>
          <t>Föryngringsavverkning</t>
        </is>
      </c>
      <c r="D498" s="1" t="n">
        <v>46149</v>
      </c>
      <c r="E498" s="1" t="n">
        <v>46216</v>
      </c>
      <c r="F498" t="inlineStr">
        <is>
          <t>DALARNAS LÄN</t>
        </is>
      </c>
      <c r="G498" t="inlineStr">
        <is>
          <t>SMEDJEBACKEN</t>
        </is>
      </c>
      <c r="H498" t="inlineStr">
        <is>
          <t>Sveaskog</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29991-2023</t>
        </is>
      </c>
      <c r="B499" t="inlineStr">
        <is>
          <t>avverkningsanmälan</t>
        </is>
      </c>
      <c r="C499" t="inlineStr">
        <is>
          <t>Föryngringsavverkning</t>
        </is>
      </c>
      <c r="D499" s="1" t="n">
        <v>45109</v>
      </c>
      <c r="E499" s="1" t="n">
        <v>46216</v>
      </c>
      <c r="F499" t="inlineStr">
        <is>
          <t>DALARNAS LÄN</t>
        </is>
      </c>
      <c r="G499" t="inlineStr">
        <is>
          <t>SMEDJEBACKEN</t>
        </is>
      </c>
      <c r="I499" t="n">
        <v>3.3</v>
      </c>
      <c r="J499" t="n">
        <v>0</v>
      </c>
      <c r="K499" t="n">
        <v>0</v>
      </c>
      <c r="L499" t="n">
        <v>0</v>
      </c>
      <c r="M499" t="n">
        <v>0</v>
      </c>
      <c r="N499" t="n">
        <v>0</v>
      </c>
      <c r="O499" t="n">
        <v>0</v>
      </c>
      <c r="P499" t="n">
        <v>0</v>
      </c>
      <c r="Q499" t="n">
        <v>0</v>
      </c>
      <c r="R499" t="n">
        <v>0</v>
      </c>
      <c r="S499" t="n">
        <v>0</v>
      </c>
      <c r="T499" t="n">
        <v>0</v>
      </c>
      <c r="U499" s="2" t="inlineStr"/>
    </row>
    <row r="500" ht="15" customHeight="1">
      <c r="A500" t="inlineStr">
        <is>
          <t>A 30384-2024</t>
        </is>
      </c>
      <c r="B500" t="inlineStr">
        <is>
          <t>avverkningsanmälan</t>
        </is>
      </c>
      <c r="C500" t="inlineStr">
        <is>
          <t>Föryngringsavverkning</t>
        </is>
      </c>
      <c r="D500" s="1" t="n">
        <v>45490</v>
      </c>
      <c r="E500" s="1" t="n">
        <v>46216</v>
      </c>
      <c r="F500" t="inlineStr">
        <is>
          <t>DALARNAS LÄN</t>
        </is>
      </c>
      <c r="G500" t="inlineStr">
        <is>
          <t>SMEDJEBACKEN</t>
        </is>
      </c>
      <c r="I500" t="n">
        <v>8.4</v>
      </c>
      <c r="J500" t="n">
        <v>0</v>
      </c>
      <c r="K500" t="n">
        <v>0</v>
      </c>
      <c r="L500" t="n">
        <v>0</v>
      </c>
      <c r="M500" t="n">
        <v>0</v>
      </c>
      <c r="N500" t="n">
        <v>0</v>
      </c>
      <c r="O500" t="n">
        <v>0</v>
      </c>
      <c r="P500" t="n">
        <v>0</v>
      </c>
      <c r="Q500" t="n">
        <v>0</v>
      </c>
      <c r="R500" t="n">
        <v>0</v>
      </c>
      <c r="S500" t="n">
        <v>0</v>
      </c>
      <c r="T500" t="n">
        <v>0</v>
      </c>
      <c r="U500" s="2" t="inlineStr"/>
    </row>
    <row r="501" ht="15" customHeight="1">
      <c r="A501" t="inlineStr">
        <is>
          <t>A 50524-2024</t>
        </is>
      </c>
      <c r="B501" t="inlineStr">
        <is>
          <t>avverkningsanmälan</t>
        </is>
      </c>
      <c r="C501" t="inlineStr">
        <is>
          <t>Föryngringsavverkning</t>
        </is>
      </c>
      <c r="D501" s="1" t="n">
        <v>45600</v>
      </c>
      <c r="E501" s="1" t="n">
        <v>46216</v>
      </c>
      <c r="F501" t="inlineStr">
        <is>
          <t>DALARNAS LÄN</t>
        </is>
      </c>
      <c r="G501" t="inlineStr">
        <is>
          <t>SMEDJEBACKEN</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21996-2026</t>
        </is>
      </c>
      <c r="B502" t="inlineStr">
        <is>
          <t>avverkningsanmälan</t>
        </is>
      </c>
      <c r="C502" t="inlineStr">
        <is>
          <t>Föryngringsavverkning</t>
        </is>
      </c>
      <c r="D502" s="1" t="n">
        <v>46153</v>
      </c>
      <c r="E502" s="1" t="n">
        <v>46216</v>
      </c>
      <c r="F502" t="inlineStr">
        <is>
          <t>DALARNAS LÄN</t>
        </is>
      </c>
      <c r="G502" t="inlineStr">
        <is>
          <t>SMEDJEBACKEN</t>
        </is>
      </c>
      <c r="I502" t="n">
        <v>5</v>
      </c>
      <c r="J502" t="n">
        <v>0</v>
      </c>
      <c r="K502" t="n">
        <v>0</v>
      </c>
      <c r="L502" t="n">
        <v>0</v>
      </c>
      <c r="M502" t="n">
        <v>0</v>
      </c>
      <c r="N502" t="n">
        <v>0</v>
      </c>
      <c r="O502" t="n">
        <v>0</v>
      </c>
      <c r="P502" t="n">
        <v>0</v>
      </c>
      <c r="Q502" t="n">
        <v>0</v>
      </c>
      <c r="R502" t="n">
        <v>0</v>
      </c>
      <c r="S502" t="n">
        <v>0</v>
      </c>
      <c r="T502" t="n">
        <v>0</v>
      </c>
      <c r="U502" s="2" t="inlineStr"/>
    </row>
    <row r="503" ht="15" customHeight="1">
      <c r="A503" t="inlineStr">
        <is>
          <t>A 6712-2023</t>
        </is>
      </c>
      <c r="B503" t="inlineStr">
        <is>
          <t>avverkningsanmälan</t>
        </is>
      </c>
      <c r="C503" t="inlineStr">
        <is>
          <t>Föryngringsavverkning</t>
        </is>
      </c>
      <c r="D503" s="1" t="n">
        <v>44966</v>
      </c>
      <c r="E503" s="1" t="n">
        <v>46216</v>
      </c>
      <c r="F503" t="inlineStr">
        <is>
          <t>DALARNAS LÄN</t>
        </is>
      </c>
      <c r="G503" t="inlineStr">
        <is>
          <t>SMEDJEBACKEN</t>
        </is>
      </c>
      <c r="I503" t="n">
        <v>14.7</v>
      </c>
      <c r="J503" t="n">
        <v>0</v>
      </c>
      <c r="K503" t="n">
        <v>0</v>
      </c>
      <c r="L503" t="n">
        <v>0</v>
      </c>
      <c r="M503" t="n">
        <v>0</v>
      </c>
      <c r="N503" t="n">
        <v>0</v>
      </c>
      <c r="O503" t="n">
        <v>0</v>
      </c>
      <c r="P503" t="n">
        <v>0</v>
      </c>
      <c r="Q503" t="n">
        <v>0</v>
      </c>
      <c r="R503" t="n">
        <v>0</v>
      </c>
      <c r="S503" t="n">
        <v>0</v>
      </c>
      <c r="T503" t="n">
        <v>0</v>
      </c>
      <c r="U503" s="2" t="inlineStr"/>
    </row>
    <row r="504" ht="15" customHeight="1">
      <c r="A504" t="inlineStr">
        <is>
          <t>A 6716-2023</t>
        </is>
      </c>
      <c r="B504" t="inlineStr">
        <is>
          <t>avverkningsanmälan</t>
        </is>
      </c>
      <c r="C504" t="inlineStr">
        <is>
          <t>Föryngringsavverkning</t>
        </is>
      </c>
      <c r="D504" s="1" t="n">
        <v>44966</v>
      </c>
      <c r="E504" s="1" t="n">
        <v>46216</v>
      </c>
      <c r="F504" t="inlineStr">
        <is>
          <t>DALARNAS LÄN</t>
        </is>
      </c>
      <c r="G504" t="inlineStr">
        <is>
          <t>SMEDJEBACKEN</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57217-2023</t>
        </is>
      </c>
      <c r="B505" t="inlineStr">
        <is>
          <t>avverkningsanmälan</t>
        </is>
      </c>
      <c r="C505" t="inlineStr">
        <is>
          <t>Föryngringsavverkning</t>
        </is>
      </c>
      <c r="D505" s="1" t="n">
        <v>45239</v>
      </c>
      <c r="E505" s="1" t="n">
        <v>46216</v>
      </c>
      <c r="F505" t="inlineStr">
        <is>
          <t>DALARNAS LÄN</t>
        </is>
      </c>
      <c r="G505" t="inlineStr">
        <is>
          <t>SMEDJEBACKEN</t>
        </is>
      </c>
      <c r="H505" t="inlineStr">
        <is>
          <t>Bergvik skog väst AB</t>
        </is>
      </c>
      <c r="I505" t="n">
        <v>4.2</v>
      </c>
      <c r="J505" t="n">
        <v>0</v>
      </c>
      <c r="K505" t="n">
        <v>0</v>
      </c>
      <c r="L505" t="n">
        <v>0</v>
      </c>
      <c r="M505" t="n">
        <v>0</v>
      </c>
      <c r="N505" t="n">
        <v>0</v>
      </c>
      <c r="O505" t="n">
        <v>0</v>
      </c>
      <c r="P505" t="n">
        <v>0</v>
      </c>
      <c r="Q505" t="n">
        <v>0</v>
      </c>
      <c r="R505" t="n">
        <v>0</v>
      </c>
      <c r="S505" t="n">
        <v>0</v>
      </c>
      <c r="T505" t="n">
        <v>0</v>
      </c>
      <c r="U505" s="2" t="inlineStr"/>
    </row>
    <row r="506" ht="15" customHeight="1">
      <c r="A506" t="inlineStr">
        <is>
          <t>A 21806-2026</t>
        </is>
      </c>
      <c r="B506" t="inlineStr">
        <is>
          <t>avverkningsanmälan</t>
        </is>
      </c>
      <c r="C506" t="inlineStr">
        <is>
          <t>Föryngringsavverkning</t>
        </is>
      </c>
      <c r="D506" s="1" t="n">
        <v>46150</v>
      </c>
      <c r="E506" s="1" t="n">
        <v>46216</v>
      </c>
      <c r="F506" t="inlineStr">
        <is>
          <t>DALARNAS LÄN</t>
        </is>
      </c>
      <c r="G506" t="inlineStr">
        <is>
          <t>SMEDJEBACKEN</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21838-2026</t>
        </is>
      </c>
      <c r="B507" t="inlineStr">
        <is>
          <t>avverkningsanmälan</t>
        </is>
      </c>
      <c r="C507" t="inlineStr">
        <is>
          <t>Föryngringsavverkning</t>
        </is>
      </c>
      <c r="D507" s="1" t="n">
        <v>46150</v>
      </c>
      <c r="E507" s="1" t="n">
        <v>46216</v>
      </c>
      <c r="F507" t="inlineStr">
        <is>
          <t>DALARNAS LÄN</t>
        </is>
      </c>
      <c r="G507" t="inlineStr">
        <is>
          <t>SMEDJEBACKEN</t>
        </is>
      </c>
      <c r="H507" t="inlineStr">
        <is>
          <t>Sveaskog</t>
        </is>
      </c>
      <c r="I507" t="n">
        <v>3.7</v>
      </c>
      <c r="J507" t="n">
        <v>0</v>
      </c>
      <c r="K507" t="n">
        <v>0</v>
      </c>
      <c r="L507" t="n">
        <v>0</v>
      </c>
      <c r="M507" t="n">
        <v>0</v>
      </c>
      <c r="N507" t="n">
        <v>0</v>
      </c>
      <c r="O507" t="n">
        <v>0</v>
      </c>
      <c r="P507" t="n">
        <v>0</v>
      </c>
      <c r="Q507" t="n">
        <v>0</v>
      </c>
      <c r="R507" t="n">
        <v>0</v>
      </c>
      <c r="S507" t="n">
        <v>0</v>
      </c>
      <c r="T507" t="n">
        <v>0</v>
      </c>
      <c r="U507" s="2" t="inlineStr"/>
    </row>
    <row r="508" ht="15" customHeight="1">
      <c r="A508" t="inlineStr">
        <is>
          <t>A 21840-2026</t>
        </is>
      </c>
      <c r="B508" t="inlineStr">
        <is>
          <t>avverkningsanmälan</t>
        </is>
      </c>
      <c r="C508" t="inlineStr">
        <is>
          <t>Föryngringsavverkning</t>
        </is>
      </c>
      <c r="D508" s="1" t="n">
        <v>46150</v>
      </c>
      <c r="E508" s="1" t="n">
        <v>46216</v>
      </c>
      <c r="F508" t="inlineStr">
        <is>
          <t>DALARNAS LÄN</t>
        </is>
      </c>
      <c r="G508" t="inlineStr">
        <is>
          <t>SMEDJEBACKEN</t>
        </is>
      </c>
      <c r="H508" t="inlineStr">
        <is>
          <t>Sveaskog</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21841-2026</t>
        </is>
      </c>
      <c r="B509" t="inlineStr">
        <is>
          <t>avverkningsanmälan</t>
        </is>
      </c>
      <c r="C509" t="inlineStr">
        <is>
          <t>Föryngringsavverkning</t>
        </is>
      </c>
      <c r="D509" s="1" t="n">
        <v>46150</v>
      </c>
      <c r="E509" s="1" t="n">
        <v>46216</v>
      </c>
      <c r="F509" t="inlineStr">
        <is>
          <t>DALARNAS LÄN</t>
        </is>
      </c>
      <c r="G509" t="inlineStr">
        <is>
          <t>SMEDJEBACKEN</t>
        </is>
      </c>
      <c r="H509" t="inlineStr">
        <is>
          <t>Sveaskog</t>
        </is>
      </c>
      <c r="I509" t="n">
        <v>3.6</v>
      </c>
      <c r="J509" t="n">
        <v>0</v>
      </c>
      <c r="K509" t="n">
        <v>0</v>
      </c>
      <c r="L509" t="n">
        <v>0</v>
      </c>
      <c r="M509" t="n">
        <v>0</v>
      </c>
      <c r="N509" t="n">
        <v>0</v>
      </c>
      <c r="O509" t="n">
        <v>0</v>
      </c>
      <c r="P509" t="n">
        <v>0</v>
      </c>
      <c r="Q509" t="n">
        <v>0</v>
      </c>
      <c r="R509" t="n">
        <v>0</v>
      </c>
      <c r="S509" t="n">
        <v>0</v>
      </c>
      <c r="T509" t="n">
        <v>0</v>
      </c>
      <c r="U509" s="2" t="inlineStr"/>
    </row>
    <row r="510" ht="15" customHeight="1">
      <c r="A510" t="inlineStr">
        <is>
          <t>A 16870-2023</t>
        </is>
      </c>
      <c r="B510" t="inlineStr">
        <is>
          <t>avverkningsanmälan</t>
        </is>
      </c>
      <c r="C510" t="inlineStr">
        <is>
          <t>Föryngringsavverkning</t>
        </is>
      </c>
      <c r="D510" s="1" t="n">
        <v>45033</v>
      </c>
      <c r="E510" s="1" t="n">
        <v>46216</v>
      </c>
      <c r="F510" t="inlineStr">
        <is>
          <t>DALARNAS LÄN</t>
        </is>
      </c>
      <c r="G510" t="inlineStr">
        <is>
          <t>SMEDJEBACKEN</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38440-2022</t>
        </is>
      </c>
      <c r="B511" t="inlineStr">
        <is>
          <t>avverkningsanmälan</t>
        </is>
      </c>
      <c r="C511" t="inlineStr">
        <is>
          <t>Föryngringsavverkning</t>
        </is>
      </c>
      <c r="D511" s="1" t="n">
        <v>44813</v>
      </c>
      <c r="E511" s="1" t="n">
        <v>46216</v>
      </c>
      <c r="F511" t="inlineStr">
        <is>
          <t>DALARNAS LÄN</t>
        </is>
      </c>
      <c r="G511" t="inlineStr">
        <is>
          <t>SMEDJEBACKEN</t>
        </is>
      </c>
      <c r="H511" t="inlineStr">
        <is>
          <t>Bergvik skog väst AB</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22627-2026</t>
        </is>
      </c>
      <c r="B512" t="inlineStr">
        <is>
          <t>avverkningsanmälan</t>
        </is>
      </c>
      <c r="C512" t="inlineStr">
        <is>
          <t>Föryngringsavverkning</t>
        </is>
      </c>
      <c r="D512" s="1" t="n">
        <v>46155</v>
      </c>
      <c r="E512" s="1" t="n">
        <v>46216</v>
      </c>
      <c r="F512" t="inlineStr">
        <is>
          <t>DALARNAS LÄN</t>
        </is>
      </c>
      <c r="G512" t="inlineStr">
        <is>
          <t>SMEDJEBACKEN</t>
        </is>
      </c>
      <c r="H512" t="inlineStr">
        <is>
          <t>Sveaskog</t>
        </is>
      </c>
      <c r="I512" t="n">
        <v>7.1</v>
      </c>
      <c r="J512" t="n">
        <v>0</v>
      </c>
      <c r="K512" t="n">
        <v>0</v>
      </c>
      <c r="L512" t="n">
        <v>0</v>
      </c>
      <c r="M512" t="n">
        <v>0</v>
      </c>
      <c r="N512" t="n">
        <v>0</v>
      </c>
      <c r="O512" t="n">
        <v>0</v>
      </c>
      <c r="P512" t="n">
        <v>0</v>
      </c>
      <c r="Q512" t="n">
        <v>0</v>
      </c>
      <c r="R512" t="n">
        <v>0</v>
      </c>
      <c r="S512" t="n">
        <v>0</v>
      </c>
      <c r="T512" t="n">
        <v>0</v>
      </c>
      <c r="U512" s="2" t="inlineStr"/>
    </row>
    <row r="513" ht="15" customHeight="1">
      <c r="A513" t="inlineStr">
        <is>
          <t>A 29068-2026</t>
        </is>
      </c>
      <c r="B513" t="inlineStr">
        <is>
          <t>avverkningsanmälan</t>
        </is>
      </c>
      <c r="C513" t="inlineStr">
        <is>
          <t>Föryngringsavverkning</t>
        </is>
      </c>
      <c r="D513" s="1" t="n">
        <v>46199</v>
      </c>
      <c r="E513" s="1" t="n">
        <v>46216</v>
      </c>
      <c r="F513" t="inlineStr">
        <is>
          <t>DALARNAS LÄN</t>
        </is>
      </c>
      <c r="G513" t="inlineStr">
        <is>
          <t>SMEDJEBACKEN</t>
        </is>
      </c>
      <c r="H513" t="inlineStr">
        <is>
          <t>Sveaskog</t>
        </is>
      </c>
      <c r="I513" t="n">
        <v>4.2</v>
      </c>
      <c r="J513" t="n">
        <v>0</v>
      </c>
      <c r="K513" t="n">
        <v>0</v>
      </c>
      <c r="L513" t="n">
        <v>0</v>
      </c>
      <c r="M513" t="n">
        <v>0</v>
      </c>
      <c r="N513" t="n">
        <v>0</v>
      </c>
      <c r="O513" t="n">
        <v>0</v>
      </c>
      <c r="P513" t="n">
        <v>0</v>
      </c>
      <c r="Q513" t="n">
        <v>0</v>
      </c>
      <c r="R513" t="n">
        <v>0</v>
      </c>
      <c r="S513" t="n">
        <v>0</v>
      </c>
      <c r="T513" t="n">
        <v>0</v>
      </c>
      <c r="U513" s="2" t="inlineStr"/>
    </row>
    <row r="514" ht="15" customHeight="1">
      <c r="A514" t="inlineStr">
        <is>
          <t>A 29067-2026</t>
        </is>
      </c>
      <c r="B514" t="inlineStr">
        <is>
          <t>avverkningsanmälan</t>
        </is>
      </c>
      <c r="C514" t="inlineStr">
        <is>
          <t>Avverkning för att bevara och utveckla /försöksver</t>
        </is>
      </c>
      <c r="D514" s="1" t="n">
        <v>46199</v>
      </c>
      <c r="E514" s="1" t="n">
        <v>46216</v>
      </c>
      <c r="F514" t="inlineStr">
        <is>
          <t>DALARNAS LÄN</t>
        </is>
      </c>
      <c r="G514" t="inlineStr">
        <is>
          <t>SMEDJEBACKEN</t>
        </is>
      </c>
      <c r="H514" t="inlineStr">
        <is>
          <t>Sveaskog</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29069-2026</t>
        </is>
      </c>
      <c r="B515" t="inlineStr">
        <is>
          <t>avverkningsanmälan</t>
        </is>
      </c>
      <c r="C515" t="inlineStr">
        <is>
          <t>Föryngringsavverkning</t>
        </is>
      </c>
      <c r="D515" s="1" t="n">
        <v>46199</v>
      </c>
      <c r="E515" s="1" t="n">
        <v>46216</v>
      </c>
      <c r="F515" t="inlineStr">
        <is>
          <t>DALARNAS LÄN</t>
        </is>
      </c>
      <c r="G515" t="inlineStr">
        <is>
          <t>SMEDJEBACKEN</t>
        </is>
      </c>
      <c r="H515" t="inlineStr">
        <is>
          <t>Sveaskog</t>
        </is>
      </c>
      <c r="I515" t="n">
        <v>2.7</v>
      </c>
      <c r="J515" t="n">
        <v>0</v>
      </c>
      <c r="K515" t="n">
        <v>0</v>
      </c>
      <c r="L515" t="n">
        <v>0</v>
      </c>
      <c r="M515" t="n">
        <v>0</v>
      </c>
      <c r="N515" t="n">
        <v>0</v>
      </c>
      <c r="O515" t="n">
        <v>0</v>
      </c>
      <c r="P515" t="n">
        <v>0</v>
      </c>
      <c r="Q515" t="n">
        <v>0</v>
      </c>
      <c r="R515" t="n">
        <v>0</v>
      </c>
      <c r="S515" t="n">
        <v>0</v>
      </c>
      <c r="T515" t="n">
        <v>0</v>
      </c>
      <c r="U515" s="2" t="inlineStr"/>
    </row>
    <row r="516" ht="15" customHeight="1">
      <c r="A516" t="inlineStr">
        <is>
          <t>A 19527-2026</t>
        </is>
      </c>
      <c r="B516" t="inlineStr">
        <is>
          <t>avverkningsanmälan</t>
        </is>
      </c>
      <c r="C516" t="inlineStr">
        <is>
          <t>Föryngringsavverkning</t>
        </is>
      </c>
      <c r="D516" s="1" t="n">
        <v>46134</v>
      </c>
      <c r="E516" s="1" t="n">
        <v>46216</v>
      </c>
      <c r="F516" t="inlineStr">
        <is>
          <t>DALARNAS LÄN</t>
        </is>
      </c>
      <c r="G516" t="inlineStr">
        <is>
          <t>SMEDJEBACKEN</t>
        </is>
      </c>
      <c r="H516" t="inlineStr">
        <is>
          <t>Sveaskog</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19524-2026</t>
        </is>
      </c>
      <c r="B517" t="inlineStr">
        <is>
          <t>avverkningsanmälan</t>
        </is>
      </c>
      <c r="C517" t="inlineStr">
        <is>
          <t>Föryngringsavverkning</t>
        </is>
      </c>
      <c r="D517" s="1" t="n">
        <v>46134</v>
      </c>
      <c r="E517" s="1" t="n">
        <v>46216</v>
      </c>
      <c r="F517" t="inlineStr">
        <is>
          <t>DALARNAS LÄN</t>
        </is>
      </c>
      <c r="G517" t="inlineStr">
        <is>
          <t>SMEDJEBACKEN</t>
        </is>
      </c>
      <c r="H517" t="inlineStr">
        <is>
          <t>Sveaskog</t>
        </is>
      </c>
      <c r="I517" t="n">
        <v>6.2</v>
      </c>
      <c r="J517" t="n">
        <v>0</v>
      </c>
      <c r="K517" t="n">
        <v>0</v>
      </c>
      <c r="L517" t="n">
        <v>0</v>
      </c>
      <c r="M517" t="n">
        <v>0</v>
      </c>
      <c r="N517" t="n">
        <v>0</v>
      </c>
      <c r="O517" t="n">
        <v>0</v>
      </c>
      <c r="P517" t="n">
        <v>0</v>
      </c>
      <c r="Q517" t="n">
        <v>0</v>
      </c>
      <c r="R517" t="n">
        <v>0</v>
      </c>
      <c r="S517" t="n">
        <v>0</v>
      </c>
      <c r="T517" t="n">
        <v>0</v>
      </c>
      <c r="U517" s="2" t="inlineStr"/>
    </row>
    <row r="518" ht="15" customHeight="1">
      <c r="A518" t="inlineStr">
        <is>
          <t>A 22763-2026</t>
        </is>
      </c>
      <c r="B518" t="inlineStr">
        <is>
          <t>avverkningsanmälan</t>
        </is>
      </c>
      <c r="C518" t="inlineStr">
        <is>
          <t>Föryngringsavverkning</t>
        </is>
      </c>
      <c r="D518" s="1" t="n">
        <v>46157</v>
      </c>
      <c r="E518" s="1" t="n">
        <v>46216</v>
      </c>
      <c r="F518" t="inlineStr">
        <is>
          <t>DALARNAS LÄN</t>
        </is>
      </c>
      <c r="G518" t="inlineStr">
        <is>
          <t>SMEDJEBACKEN</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22775-2026</t>
        </is>
      </c>
      <c r="B519" t="inlineStr">
        <is>
          <t>avverkningsanmälan</t>
        </is>
      </c>
      <c r="C519" t="inlineStr">
        <is>
          <t>Avverkning för annat ändamål</t>
        </is>
      </c>
      <c r="D519" s="1" t="n">
        <v>46157</v>
      </c>
      <c r="E519" s="1" t="n">
        <v>46216</v>
      </c>
      <c r="F519" t="inlineStr">
        <is>
          <t>DALARNAS LÄN</t>
        </is>
      </c>
      <c r="G519" t="inlineStr">
        <is>
          <t>SMEDJEBACKEN</t>
        </is>
      </c>
      <c r="H519" t="inlineStr">
        <is>
          <t>Sveaskog</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37024-2023</t>
        </is>
      </c>
      <c r="B520" t="inlineStr">
        <is>
          <t>avverkningsanmälan</t>
        </is>
      </c>
      <c r="C520" t="inlineStr">
        <is>
          <t>Föryngringsavverkning</t>
        </is>
      </c>
      <c r="D520" s="1" t="n">
        <v>45154</v>
      </c>
      <c r="E520" s="1" t="n">
        <v>46216</v>
      </c>
      <c r="F520" t="inlineStr">
        <is>
          <t>DALARNAS LÄN</t>
        </is>
      </c>
      <c r="G520" t="inlineStr">
        <is>
          <t>SMEDJEBACKEN</t>
        </is>
      </c>
      <c r="I520" t="n">
        <v>3.2</v>
      </c>
      <c r="J520" t="n">
        <v>0</v>
      </c>
      <c r="K520" t="n">
        <v>0</v>
      </c>
      <c r="L520" t="n">
        <v>0</v>
      </c>
      <c r="M520" t="n">
        <v>0</v>
      </c>
      <c r="N520" t="n">
        <v>0</v>
      </c>
      <c r="O520" t="n">
        <v>0</v>
      </c>
      <c r="P520" t="n">
        <v>0</v>
      </c>
      <c r="Q520" t="n">
        <v>0</v>
      </c>
      <c r="R520" t="n">
        <v>0</v>
      </c>
      <c r="S520" t="n">
        <v>0</v>
      </c>
      <c r="T520" t="n">
        <v>0</v>
      </c>
      <c r="U520" s="2" t="inlineStr"/>
    </row>
    <row r="521" ht="15" customHeight="1">
      <c r="A521" t="inlineStr">
        <is>
          <t>A 29287-2026</t>
        </is>
      </c>
      <c r="B521" t="inlineStr">
        <is>
          <t>avverkningsanmälan</t>
        </is>
      </c>
      <c r="C521" t="inlineStr">
        <is>
          <t>Föryngringsavverkning</t>
        </is>
      </c>
      <c r="D521" s="1" t="n">
        <v>46202</v>
      </c>
      <c r="E521" s="1" t="n">
        <v>46216</v>
      </c>
      <c r="F521" t="inlineStr">
        <is>
          <t>DALARNAS LÄN</t>
        </is>
      </c>
      <c r="G521" t="inlineStr">
        <is>
          <t>SMEDJEBACKEN</t>
        </is>
      </c>
      <c r="H521" t="inlineStr">
        <is>
          <t>Sveaskog</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29288-2026</t>
        </is>
      </c>
      <c r="B522" t="inlineStr">
        <is>
          <t>avverkningsanmälan</t>
        </is>
      </c>
      <c r="C522" t="inlineStr">
        <is>
          <t>Föryngringsavverkning</t>
        </is>
      </c>
      <c r="D522" s="1" t="n">
        <v>46202</v>
      </c>
      <c r="E522" s="1" t="n">
        <v>46216</v>
      </c>
      <c r="F522" t="inlineStr">
        <is>
          <t>DALARNAS LÄN</t>
        </is>
      </c>
      <c r="G522" t="inlineStr">
        <is>
          <t>SMEDJEBACKEN</t>
        </is>
      </c>
      <c r="H522" t="inlineStr">
        <is>
          <t>Sveaskog</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29290-2026</t>
        </is>
      </c>
      <c r="B523" t="inlineStr">
        <is>
          <t>avverkningsanmälan</t>
        </is>
      </c>
      <c r="C523" t="inlineStr">
        <is>
          <t>Föryngringsavverkning</t>
        </is>
      </c>
      <c r="D523" s="1" t="n">
        <v>46202</v>
      </c>
      <c r="E523" s="1" t="n">
        <v>46216</v>
      </c>
      <c r="F523" t="inlineStr">
        <is>
          <t>DALARNAS LÄN</t>
        </is>
      </c>
      <c r="G523" t="inlineStr">
        <is>
          <t>SMEDJEBACKEN</t>
        </is>
      </c>
      <c r="H523" t="inlineStr">
        <is>
          <t>Sveaskog</t>
        </is>
      </c>
      <c r="I523" t="n">
        <v>5.3</v>
      </c>
      <c r="J523" t="n">
        <v>0</v>
      </c>
      <c r="K523" t="n">
        <v>0</v>
      </c>
      <c r="L523" t="n">
        <v>0</v>
      </c>
      <c r="M523" t="n">
        <v>0</v>
      </c>
      <c r="N523" t="n">
        <v>0</v>
      </c>
      <c r="O523" t="n">
        <v>0</v>
      </c>
      <c r="P523" t="n">
        <v>0</v>
      </c>
      <c r="Q523" t="n">
        <v>0</v>
      </c>
      <c r="R523" t="n">
        <v>0</v>
      </c>
      <c r="S523" t="n">
        <v>0</v>
      </c>
      <c r="T523" t="n">
        <v>0</v>
      </c>
      <c r="U523" s="2" t="inlineStr"/>
    </row>
    <row r="524" ht="15" customHeight="1">
      <c r="A524" t="inlineStr">
        <is>
          <t>A 28251-2024</t>
        </is>
      </c>
      <c r="B524" t="inlineStr">
        <is>
          <t>avverkningsanmälan</t>
        </is>
      </c>
      <c r="C524" t="inlineStr">
        <is>
          <t>Föryngringsavverkning</t>
        </is>
      </c>
      <c r="D524" s="1" t="n">
        <v>45477</v>
      </c>
      <c r="E524" s="1" t="n">
        <v>46216</v>
      </c>
      <c r="F524" t="inlineStr">
        <is>
          <t>DALARNAS LÄN</t>
        </is>
      </c>
      <c r="G524" t="inlineStr">
        <is>
          <t>SMEDJEBACKEN</t>
        </is>
      </c>
      <c r="H524" t="inlineStr">
        <is>
          <t>Sveaskog</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29289-2026</t>
        </is>
      </c>
      <c r="B525" t="inlineStr">
        <is>
          <t>avverkningsanmälan</t>
        </is>
      </c>
      <c r="C525" t="inlineStr">
        <is>
          <t>Föryngringsavverkning</t>
        </is>
      </c>
      <c r="D525" s="1" t="n">
        <v>46202</v>
      </c>
      <c r="E525" s="1" t="n">
        <v>46216</v>
      </c>
      <c r="F525" t="inlineStr">
        <is>
          <t>DALARNAS LÄN</t>
        </is>
      </c>
      <c r="G525" t="inlineStr">
        <is>
          <t>SMEDJEBACKEN</t>
        </is>
      </c>
      <c r="H525" t="inlineStr">
        <is>
          <t>Sveaskog</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29294-2026</t>
        </is>
      </c>
      <c r="B526" t="inlineStr">
        <is>
          <t>avverkningsanmälan</t>
        </is>
      </c>
      <c r="C526" t="inlineStr">
        <is>
          <t>Föryngringsavverkning</t>
        </is>
      </c>
      <c r="D526" s="1" t="n">
        <v>46202</v>
      </c>
      <c r="E526" s="1" t="n">
        <v>46216</v>
      </c>
      <c r="F526" t="inlineStr">
        <is>
          <t>DALARNAS LÄN</t>
        </is>
      </c>
      <c r="G526" t="inlineStr">
        <is>
          <t>SMEDJEBACKEN</t>
        </is>
      </c>
      <c r="I526" t="n">
        <v>3.6</v>
      </c>
      <c r="J526" t="n">
        <v>0</v>
      </c>
      <c r="K526" t="n">
        <v>0</v>
      </c>
      <c r="L526" t="n">
        <v>0</v>
      </c>
      <c r="M526" t="n">
        <v>0</v>
      </c>
      <c r="N526" t="n">
        <v>0</v>
      </c>
      <c r="O526" t="n">
        <v>0</v>
      </c>
      <c r="P526" t="n">
        <v>0</v>
      </c>
      <c r="Q526" t="n">
        <v>0</v>
      </c>
      <c r="R526" t="n">
        <v>0</v>
      </c>
      <c r="S526" t="n">
        <v>0</v>
      </c>
      <c r="T526" t="n">
        <v>0</v>
      </c>
      <c r="U526" s="2" t="inlineStr"/>
    </row>
    <row r="527" ht="15" customHeight="1">
      <c r="A527" t="inlineStr">
        <is>
          <t>A 29438-2023</t>
        </is>
      </c>
      <c r="B527" t="inlineStr">
        <is>
          <t>avverkningsanmälan</t>
        </is>
      </c>
      <c r="C527" t="inlineStr">
        <is>
          <t>Avverkning för att bevara och utveckla /försöksver</t>
        </is>
      </c>
      <c r="D527" s="1" t="n">
        <v>45106</v>
      </c>
      <c r="E527" s="1" t="n">
        <v>46216</v>
      </c>
      <c r="F527" t="inlineStr">
        <is>
          <t>DALARNAS LÄN</t>
        </is>
      </c>
      <c r="G527" t="inlineStr">
        <is>
          <t>SMEDJEBACKEN</t>
        </is>
      </c>
      <c r="H527" t="inlineStr">
        <is>
          <t>Sveaskog</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56480-2022</t>
        </is>
      </c>
      <c r="B528" t="inlineStr">
        <is>
          <t>avverkningsanmälan</t>
        </is>
      </c>
      <c r="C528" t="inlineStr">
        <is>
          <t>Föryngringsavverkning</t>
        </is>
      </c>
      <c r="D528" s="1" t="n">
        <v>44893</v>
      </c>
      <c r="E528" s="1" t="n">
        <v>46216</v>
      </c>
      <c r="F528" t="inlineStr">
        <is>
          <t>DALARNAS LÄN</t>
        </is>
      </c>
      <c r="G528" t="inlineStr">
        <is>
          <t>SMEDJEBACKEN</t>
        </is>
      </c>
      <c r="H528" t="inlineStr">
        <is>
          <t>Sveaskog</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17681-2025</t>
        </is>
      </c>
      <c r="B529" t="inlineStr">
        <is>
          <t>avverkningsanmälan</t>
        </is>
      </c>
      <c r="C529" t="inlineStr">
        <is>
          <t>Föryngringsavverkning</t>
        </is>
      </c>
      <c r="D529" s="1" t="n">
        <v>45758</v>
      </c>
      <c r="E529" s="1" t="n">
        <v>46216</v>
      </c>
      <c r="F529" t="inlineStr">
        <is>
          <t>DALARNAS LÄN</t>
        </is>
      </c>
      <c r="G529" t="inlineStr">
        <is>
          <t>SMEDJEBACKEN</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15211-2023</t>
        </is>
      </c>
      <c r="B530" t="inlineStr">
        <is>
          <t>avverkningsanmälan</t>
        </is>
      </c>
      <c r="C530" t="inlineStr">
        <is>
          <t>Föryngringsavverkning</t>
        </is>
      </c>
      <c r="D530" s="1" t="n">
        <v>45018</v>
      </c>
      <c r="E530" s="1" t="n">
        <v>46216</v>
      </c>
      <c r="F530" t="inlineStr">
        <is>
          <t>DALARNAS LÄN</t>
        </is>
      </c>
      <c r="G530" t="inlineStr">
        <is>
          <t>SMEDJEBACKEN</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29460-2026</t>
        </is>
      </c>
      <c r="B531" t="inlineStr">
        <is>
          <t>avverkningsanmälan</t>
        </is>
      </c>
      <c r="C531" t="inlineStr">
        <is>
          <t>Föryngringsavverkning</t>
        </is>
      </c>
      <c r="D531" s="1" t="n">
        <v>46203</v>
      </c>
      <c r="E531" s="1" t="n">
        <v>46216</v>
      </c>
      <c r="F531" t="inlineStr">
        <is>
          <t>DALARNAS LÄN</t>
        </is>
      </c>
      <c r="G531" t="inlineStr">
        <is>
          <t>SMEDJEBACKEN</t>
        </is>
      </c>
      <c r="H531" t="inlineStr">
        <is>
          <t>Sveaskog</t>
        </is>
      </c>
      <c r="I531" t="n">
        <v>3.1</v>
      </c>
      <c r="J531" t="n">
        <v>0</v>
      </c>
      <c r="K531" t="n">
        <v>0</v>
      </c>
      <c r="L531" t="n">
        <v>0</v>
      </c>
      <c r="M531" t="n">
        <v>0</v>
      </c>
      <c r="N531" t="n">
        <v>0</v>
      </c>
      <c r="O531" t="n">
        <v>0</v>
      </c>
      <c r="P531" t="n">
        <v>0</v>
      </c>
      <c r="Q531" t="n">
        <v>0</v>
      </c>
      <c r="R531" t="n">
        <v>0</v>
      </c>
      <c r="S531" t="n">
        <v>0</v>
      </c>
      <c r="T531" t="n">
        <v>0</v>
      </c>
      <c r="U531" s="2" t="inlineStr"/>
    </row>
    <row r="532" ht="15" customHeight="1">
      <c r="A532" t="inlineStr">
        <is>
          <t>A 2046-2024</t>
        </is>
      </c>
      <c r="B532" t="inlineStr">
        <is>
          <t>avverkningsanmälan</t>
        </is>
      </c>
      <c r="C532" t="inlineStr">
        <is>
          <t>Föryngringsavverkning</t>
        </is>
      </c>
      <c r="D532" s="1" t="n">
        <v>45308</v>
      </c>
      <c r="E532" s="1" t="n">
        <v>46216</v>
      </c>
      <c r="F532" t="inlineStr">
        <is>
          <t>DALARNAS LÄN</t>
        </is>
      </c>
      <c r="G532" t="inlineStr">
        <is>
          <t>SMEDJEBACKEN</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36614-2023</t>
        </is>
      </c>
      <c r="B533" t="inlineStr">
        <is>
          <t>avverkningsanmälan</t>
        </is>
      </c>
      <c r="C533" t="inlineStr">
        <is>
          <t>Föryngringsavverkning</t>
        </is>
      </c>
      <c r="D533" s="1" t="n">
        <v>45153</v>
      </c>
      <c r="E533" s="1" t="n">
        <v>46216</v>
      </c>
      <c r="F533" t="inlineStr">
        <is>
          <t>DALARNAS LÄN</t>
        </is>
      </c>
      <c r="G533" t="inlineStr">
        <is>
          <t>SMEDJEBACKEN</t>
        </is>
      </c>
      <c r="I533" t="n">
        <v>8</v>
      </c>
      <c r="J533" t="n">
        <v>0</v>
      </c>
      <c r="K533" t="n">
        <v>0</v>
      </c>
      <c r="L533" t="n">
        <v>0</v>
      </c>
      <c r="M533" t="n">
        <v>0</v>
      </c>
      <c r="N533" t="n">
        <v>0</v>
      </c>
      <c r="O533" t="n">
        <v>0</v>
      </c>
      <c r="P533" t="n">
        <v>0</v>
      </c>
      <c r="Q533" t="n">
        <v>0</v>
      </c>
      <c r="R533" t="n">
        <v>0</v>
      </c>
      <c r="S533" t="n">
        <v>0</v>
      </c>
      <c r="T533" t="n">
        <v>0</v>
      </c>
      <c r="U533" s="2" t="inlineStr"/>
      <c r="X533">
        <f>HYPERLINK("https://klasma.github.io/Logging_2061/knärot/A 36614-2023 karta knärot.png", "A 36614-2023")</f>
        <v/>
      </c>
      <c r="Y533">
        <f>HYPERLINK("https://klasma.github.io/Logging_2061/klagomål/A 36614-2023 FSC-klagomål.docx", "A 36614-2023")</f>
        <v/>
      </c>
      <c r="Z533">
        <f>HYPERLINK("https://klasma.github.io/Logging_2061/klagomålsmail/A 36614-2023 FSC-klagomål mail.docx", "A 36614-2023")</f>
        <v/>
      </c>
      <c r="AA533">
        <f>HYPERLINK("https://klasma.github.io/Logging_2061/tillsyn/A 36614-2023 tillsynsbegäran.docx", "A 36614-2023")</f>
        <v/>
      </c>
      <c r="AB533">
        <f>HYPERLINK("https://klasma.github.io/Logging_2061/tillsynsmail/A 36614-2023 tillsynsbegäran mail.docx", "A 36614-2023")</f>
        <v/>
      </c>
    </row>
    <row r="534" ht="15" customHeight="1">
      <c r="A534" t="inlineStr">
        <is>
          <t>A 23372-2026</t>
        </is>
      </c>
      <c r="B534" t="inlineStr">
        <is>
          <t>avverkningsanmälan</t>
        </is>
      </c>
      <c r="C534" t="inlineStr">
        <is>
          <t>Föryngringsavverkning</t>
        </is>
      </c>
      <c r="D534" s="1" t="n">
        <v>46162</v>
      </c>
      <c r="E534" s="1" t="n">
        <v>46216</v>
      </c>
      <c r="F534" t="inlineStr">
        <is>
          <t>DALARNAS LÄN</t>
        </is>
      </c>
      <c r="G534" t="inlineStr">
        <is>
          <t>SMEDJEBACKEN</t>
        </is>
      </c>
      <c r="H534" t="inlineStr">
        <is>
          <t>Sveaskog</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23677-2026</t>
        </is>
      </c>
      <c r="B535" t="inlineStr">
        <is>
          <t>avverkningsanmälan</t>
        </is>
      </c>
      <c r="C535" t="inlineStr">
        <is>
          <t>Föryngringsavverkning</t>
        </is>
      </c>
      <c r="D535" s="1" t="n">
        <v>46163</v>
      </c>
      <c r="E535" s="1" t="n">
        <v>46216</v>
      </c>
      <c r="F535" t="inlineStr">
        <is>
          <t>DALARNAS LÄN</t>
        </is>
      </c>
      <c r="G535" t="inlineStr">
        <is>
          <t>SMEDJEBACKEN</t>
        </is>
      </c>
      <c r="I535" t="n">
        <v>2.7</v>
      </c>
      <c r="J535" t="n">
        <v>0</v>
      </c>
      <c r="K535" t="n">
        <v>0</v>
      </c>
      <c r="L535" t="n">
        <v>0</v>
      </c>
      <c r="M535" t="n">
        <v>0</v>
      </c>
      <c r="N535" t="n">
        <v>0</v>
      </c>
      <c r="O535" t="n">
        <v>0</v>
      </c>
      <c r="P535" t="n">
        <v>0</v>
      </c>
      <c r="Q535" t="n">
        <v>0</v>
      </c>
      <c r="R535" t="n">
        <v>0</v>
      </c>
      <c r="S535" t="n">
        <v>0</v>
      </c>
      <c r="T535" t="n">
        <v>0</v>
      </c>
      <c r="U535" s="2" t="inlineStr"/>
    </row>
    <row r="536" ht="15" customHeight="1">
      <c r="A536" t="inlineStr">
        <is>
          <t>A 50778-2024</t>
        </is>
      </c>
      <c r="B536" t="inlineStr">
        <is>
          <t>avverkningsanmälan</t>
        </is>
      </c>
      <c r="C536" t="inlineStr">
        <is>
          <t>Föryngringsavverkning</t>
        </is>
      </c>
      <c r="D536" s="1" t="n">
        <v>45601</v>
      </c>
      <c r="E536" s="1" t="n">
        <v>46216</v>
      </c>
      <c r="F536" t="inlineStr">
        <is>
          <t>DALARNAS LÄN</t>
        </is>
      </c>
      <c r="G536" t="inlineStr">
        <is>
          <t>SMEDJEBACKEN</t>
        </is>
      </c>
      <c r="H536" t="inlineStr">
        <is>
          <t>Bergvik skog väst AB</t>
        </is>
      </c>
      <c r="I536" t="n">
        <v>14.8</v>
      </c>
      <c r="J536" t="n">
        <v>0</v>
      </c>
      <c r="K536" t="n">
        <v>0</v>
      </c>
      <c r="L536" t="n">
        <v>0</v>
      </c>
      <c r="M536" t="n">
        <v>0</v>
      </c>
      <c r="N536" t="n">
        <v>0</v>
      </c>
      <c r="O536" t="n">
        <v>0</v>
      </c>
      <c r="P536" t="n">
        <v>0</v>
      </c>
      <c r="Q536" t="n">
        <v>0</v>
      </c>
      <c r="R536" t="n">
        <v>0</v>
      </c>
      <c r="S536" t="n">
        <v>0</v>
      </c>
      <c r="T536" t="n">
        <v>0</v>
      </c>
      <c r="U536" s="2" t="inlineStr"/>
    </row>
    <row r="537" ht="15" customHeight="1">
      <c r="A537" t="inlineStr">
        <is>
          <t>A 28248-2024</t>
        </is>
      </c>
      <c r="B537" t="inlineStr">
        <is>
          <t>avverkningsanmälan</t>
        </is>
      </c>
      <c r="C537" t="inlineStr">
        <is>
          <t>Föryngringsavverkning</t>
        </is>
      </c>
      <c r="D537" s="1" t="n">
        <v>45477</v>
      </c>
      <c r="E537" s="1" t="n">
        <v>46216</v>
      </c>
      <c r="F537" t="inlineStr">
        <is>
          <t>DALARNAS LÄN</t>
        </is>
      </c>
      <c r="G537" t="inlineStr">
        <is>
          <t>SMEDJEBACKEN</t>
        </is>
      </c>
      <c r="H537" t="inlineStr">
        <is>
          <t>Sveaskog</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23672-2026</t>
        </is>
      </c>
      <c r="B538" t="inlineStr">
        <is>
          <t>avverkningsanmälan</t>
        </is>
      </c>
      <c r="C538" t="inlineStr">
        <is>
          <t>Föryngringsavverkning</t>
        </is>
      </c>
      <c r="D538" s="1" t="n">
        <v>46163</v>
      </c>
      <c r="E538" s="1" t="n">
        <v>46216</v>
      </c>
      <c r="F538" t="inlineStr">
        <is>
          <t>DALARNAS LÄN</t>
        </is>
      </c>
      <c r="G538" t="inlineStr">
        <is>
          <t>SMEDJEBACKEN</t>
        </is>
      </c>
      <c r="I538" t="n">
        <v>10.6</v>
      </c>
      <c r="J538" t="n">
        <v>0</v>
      </c>
      <c r="K538" t="n">
        <v>0</v>
      </c>
      <c r="L538" t="n">
        <v>0</v>
      </c>
      <c r="M538" t="n">
        <v>0</v>
      </c>
      <c r="N538" t="n">
        <v>0</v>
      </c>
      <c r="O538" t="n">
        <v>0</v>
      </c>
      <c r="P538" t="n">
        <v>0</v>
      </c>
      <c r="Q538" t="n">
        <v>0</v>
      </c>
      <c r="R538" t="n">
        <v>0</v>
      </c>
      <c r="S538" t="n">
        <v>0</v>
      </c>
      <c r="T538" t="n">
        <v>0</v>
      </c>
      <c r="U538" s="2" t="inlineStr"/>
    </row>
    <row r="539" ht="15" customHeight="1">
      <c r="A539" t="inlineStr">
        <is>
          <t>A 23676-2026</t>
        </is>
      </c>
      <c r="B539" t="inlineStr">
        <is>
          <t>avverkningsanmälan</t>
        </is>
      </c>
      <c r="C539" t="inlineStr">
        <is>
          <t>Föryngringsavverkning</t>
        </is>
      </c>
      <c r="D539" s="1" t="n">
        <v>46163</v>
      </c>
      <c r="E539" s="1" t="n">
        <v>46216</v>
      </c>
      <c r="F539" t="inlineStr">
        <is>
          <t>DALARNAS LÄN</t>
        </is>
      </c>
      <c r="G539" t="inlineStr">
        <is>
          <t>SMEDJEBACKEN</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23374-2026</t>
        </is>
      </c>
      <c r="B540" t="inlineStr">
        <is>
          <t>avverkningsanmälan</t>
        </is>
      </c>
      <c r="C540" t="inlineStr">
        <is>
          <t>Avverkning för att bevara och utveckla /försöksver</t>
        </is>
      </c>
      <c r="D540" s="1" t="n">
        <v>46162</v>
      </c>
      <c r="E540" s="1" t="n">
        <v>46216</v>
      </c>
      <c r="F540" t="inlineStr">
        <is>
          <t>DALARNAS LÄN</t>
        </is>
      </c>
      <c r="G540" t="inlineStr">
        <is>
          <t>SMEDJEBACKEN</t>
        </is>
      </c>
      <c r="H540" t="inlineStr">
        <is>
          <t>Sveaskog</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16419-2025</t>
        </is>
      </c>
      <c r="B541" t="inlineStr">
        <is>
          <t>avverkningsanmälan</t>
        </is>
      </c>
      <c r="C541" t="inlineStr">
        <is>
          <t>Föryngringsavverkning</t>
        </is>
      </c>
      <c r="D541" s="1" t="n">
        <v>45751</v>
      </c>
      <c r="E541" s="1" t="n">
        <v>46216</v>
      </c>
      <c r="F541" t="inlineStr">
        <is>
          <t>DALARNAS LÄN</t>
        </is>
      </c>
      <c r="G541" t="inlineStr">
        <is>
          <t>SMEDJEBACKEN</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45114-2023</t>
        </is>
      </c>
      <c r="B542" t="inlineStr">
        <is>
          <t>avverkningsanmälan</t>
        </is>
      </c>
      <c r="C542" t="inlineStr">
        <is>
          <t>Föryngringsavverkning</t>
        </is>
      </c>
      <c r="D542" s="1" t="n">
        <v>45191</v>
      </c>
      <c r="E542" s="1" t="n">
        <v>46216</v>
      </c>
      <c r="F542" t="inlineStr">
        <is>
          <t>DALARNAS LÄN</t>
        </is>
      </c>
      <c r="G542" t="inlineStr">
        <is>
          <t>SMEDJEBACKEN</t>
        </is>
      </c>
      <c r="H542" t="inlineStr">
        <is>
          <t>Sveaskog</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60684-2024</t>
        </is>
      </c>
      <c r="B543" t="inlineStr">
        <is>
          <t>avverkningsanmälan</t>
        </is>
      </c>
      <c r="C543" t="inlineStr">
        <is>
          <t>Föryngringsavverkning</t>
        </is>
      </c>
      <c r="D543" s="1" t="n">
        <v>45644</v>
      </c>
      <c r="E543" s="1" t="n">
        <v>46216</v>
      </c>
      <c r="F543" t="inlineStr">
        <is>
          <t>DALARNAS LÄN</t>
        </is>
      </c>
      <c r="G543" t="inlineStr">
        <is>
          <t>SMEDJEBACKEN</t>
        </is>
      </c>
      <c r="I543" t="n">
        <v>3.3</v>
      </c>
      <c r="J543" t="n">
        <v>0</v>
      </c>
      <c r="K543" t="n">
        <v>0</v>
      </c>
      <c r="L543" t="n">
        <v>0</v>
      </c>
      <c r="M543" t="n">
        <v>0</v>
      </c>
      <c r="N543" t="n">
        <v>0</v>
      </c>
      <c r="O543" t="n">
        <v>0</v>
      </c>
      <c r="P543" t="n">
        <v>0</v>
      </c>
      <c r="Q543" t="n">
        <v>0</v>
      </c>
      <c r="R543" t="n">
        <v>0</v>
      </c>
      <c r="S543" t="n">
        <v>0</v>
      </c>
      <c r="T543" t="n">
        <v>0</v>
      </c>
      <c r="U543" s="2" t="inlineStr"/>
    </row>
    <row r="544" ht="15" customHeight="1">
      <c r="A544" t="inlineStr">
        <is>
          <t>A 30269-2026</t>
        </is>
      </c>
      <c r="B544" t="inlineStr">
        <is>
          <t>avverkningsanmälan</t>
        </is>
      </c>
      <c r="C544" t="inlineStr">
        <is>
          <t>Föryngringsavverkning</t>
        </is>
      </c>
      <c r="D544" s="1" t="n">
        <v>46206</v>
      </c>
      <c r="E544" s="1" t="n">
        <v>46216</v>
      </c>
      <c r="F544" t="inlineStr">
        <is>
          <t>DALARNAS LÄN</t>
        </is>
      </c>
      <c r="G544" t="inlineStr">
        <is>
          <t>SMEDJEBACKEN</t>
        </is>
      </c>
      <c r="H544" t="inlineStr">
        <is>
          <t>Sveaskog</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30271-2026</t>
        </is>
      </c>
      <c r="B545" t="inlineStr">
        <is>
          <t>avverkningsanmälan</t>
        </is>
      </c>
      <c r="C545" t="inlineStr">
        <is>
          <t>Föryngringsavverkning</t>
        </is>
      </c>
      <c r="D545" s="1" t="n">
        <v>46206</v>
      </c>
      <c r="E545" s="1" t="n">
        <v>46216</v>
      </c>
      <c r="F545" t="inlineStr">
        <is>
          <t>DALARNAS LÄN</t>
        </is>
      </c>
      <c r="G545" t="inlineStr">
        <is>
          <t>SMEDJEBACKEN</t>
        </is>
      </c>
      <c r="H545" t="inlineStr">
        <is>
          <t>Sveaskog</t>
        </is>
      </c>
      <c r="I545" t="n">
        <v>6.2</v>
      </c>
      <c r="J545" t="n">
        <v>0</v>
      </c>
      <c r="K545" t="n">
        <v>0</v>
      </c>
      <c r="L545" t="n">
        <v>0</v>
      </c>
      <c r="M545" t="n">
        <v>0</v>
      </c>
      <c r="N545" t="n">
        <v>0</v>
      </c>
      <c r="O545" t="n">
        <v>0</v>
      </c>
      <c r="P545" t="n">
        <v>0</v>
      </c>
      <c r="Q545" t="n">
        <v>0</v>
      </c>
      <c r="R545" t="n">
        <v>0</v>
      </c>
      <c r="S545" t="n">
        <v>0</v>
      </c>
      <c r="T545" t="n">
        <v>0</v>
      </c>
      <c r="U545" s="2" t="inlineStr"/>
    </row>
    <row r="546" ht="15" customHeight="1">
      <c r="A546" t="inlineStr">
        <is>
          <t>A 44116-2023</t>
        </is>
      </c>
      <c r="B546" t="inlineStr">
        <is>
          <t>avverkningsanmälan</t>
        </is>
      </c>
      <c r="C546" t="inlineStr">
        <is>
          <t>Föryngringsavverkning</t>
        </is>
      </c>
      <c r="D546" s="1" t="n">
        <v>45188</v>
      </c>
      <c r="E546" s="1" t="n">
        <v>46216</v>
      </c>
      <c r="F546" t="inlineStr">
        <is>
          <t>DALARNAS LÄN</t>
        </is>
      </c>
      <c r="G546" t="inlineStr">
        <is>
          <t>SMEDJEBACKEN</t>
        </is>
      </c>
      <c r="H546" t="inlineStr">
        <is>
          <t>Bergvik skog väst AB</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14845-2023</t>
        </is>
      </c>
      <c r="B547" t="inlineStr">
        <is>
          <t>avverkningsanmälan</t>
        </is>
      </c>
      <c r="C547" t="inlineStr">
        <is>
          <t>Föryngringsavverkning</t>
        </is>
      </c>
      <c r="D547" s="1" t="n">
        <v>45014</v>
      </c>
      <c r="E547" s="1" t="n">
        <v>46216</v>
      </c>
      <c r="F547" t="inlineStr">
        <is>
          <t>DALARNAS LÄN</t>
        </is>
      </c>
      <c r="G547" t="inlineStr">
        <is>
          <t>SMEDJEBACKEN</t>
        </is>
      </c>
      <c r="I547" t="n">
        <v>3.8</v>
      </c>
      <c r="J547" t="n">
        <v>0</v>
      </c>
      <c r="K547" t="n">
        <v>0</v>
      </c>
      <c r="L547" t="n">
        <v>0</v>
      </c>
      <c r="M547" t="n">
        <v>0</v>
      </c>
      <c r="N547" t="n">
        <v>0</v>
      </c>
      <c r="O547" t="n">
        <v>0</v>
      </c>
      <c r="P547" t="n">
        <v>0</v>
      </c>
      <c r="Q547" t="n">
        <v>0</v>
      </c>
      <c r="R547" t="n">
        <v>0</v>
      </c>
      <c r="S547" t="n">
        <v>0</v>
      </c>
      <c r="T547" t="n">
        <v>0</v>
      </c>
      <c r="U547" s="2" t="inlineStr"/>
    </row>
    <row r="548" ht="15" customHeight="1">
      <c r="A548" t="inlineStr">
        <is>
          <t>A 18105-2025</t>
        </is>
      </c>
      <c r="B548" t="inlineStr">
        <is>
          <t>avverkningsanmälan</t>
        </is>
      </c>
      <c r="C548" t="inlineStr">
        <is>
          <t>Föryngringsavverkning</t>
        </is>
      </c>
      <c r="D548" s="1" t="n">
        <v>45761</v>
      </c>
      <c r="E548" s="1" t="n">
        <v>46216</v>
      </c>
      <c r="F548" t="inlineStr">
        <is>
          <t>DALARNAS LÄN</t>
        </is>
      </c>
      <c r="G548" t="inlineStr">
        <is>
          <t>SMEDJEBACKEN</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30154-2026</t>
        </is>
      </c>
      <c r="B549" t="inlineStr">
        <is>
          <t>avverkningsanmälan</t>
        </is>
      </c>
      <c r="C549" t="inlineStr">
        <is>
          <t>Föryngringsavverkning</t>
        </is>
      </c>
      <c r="D549" s="1" t="n">
        <v>46206</v>
      </c>
      <c r="E549" s="1" t="n">
        <v>46216</v>
      </c>
      <c r="F549" t="inlineStr">
        <is>
          <t>DALARNAS LÄN</t>
        </is>
      </c>
      <c r="G549" t="inlineStr">
        <is>
          <t>SMEDJEBACKEN</t>
        </is>
      </c>
      <c r="H549" t="inlineStr">
        <is>
          <t>Sveaskog</t>
        </is>
      </c>
      <c r="I549" t="n">
        <v>6.5</v>
      </c>
      <c r="J549" t="n">
        <v>0</v>
      </c>
      <c r="K549" t="n">
        <v>0</v>
      </c>
      <c r="L549" t="n">
        <v>0</v>
      </c>
      <c r="M549" t="n">
        <v>0</v>
      </c>
      <c r="N549" t="n">
        <v>0</v>
      </c>
      <c r="O549" t="n">
        <v>0</v>
      </c>
      <c r="P549" t="n">
        <v>0</v>
      </c>
      <c r="Q549" t="n">
        <v>0</v>
      </c>
      <c r="R549" t="n">
        <v>0</v>
      </c>
      <c r="S549" t="n">
        <v>0</v>
      </c>
      <c r="T549" t="n">
        <v>0</v>
      </c>
      <c r="U549" s="2" t="inlineStr"/>
    </row>
    <row r="550" ht="15" customHeight="1">
      <c r="A550" t="inlineStr">
        <is>
          <t>A 54965-2022</t>
        </is>
      </c>
      <c r="B550" t="inlineStr">
        <is>
          <t>avverkningsanmälan</t>
        </is>
      </c>
      <c r="C550" t="inlineStr">
        <is>
          <t>Föryngringsavverkning</t>
        </is>
      </c>
      <c r="D550" s="1" t="n">
        <v>44886</v>
      </c>
      <c r="E550" s="1" t="n">
        <v>46216</v>
      </c>
      <c r="F550" t="inlineStr">
        <is>
          <t>DALARNAS LÄN</t>
        </is>
      </c>
      <c r="G550" t="inlineStr">
        <is>
          <t>SMEDJEBACKEN</t>
        </is>
      </c>
      <c r="H550" t="inlineStr">
        <is>
          <t>Sveaskog</t>
        </is>
      </c>
      <c r="I550" t="n">
        <v>1.3</v>
      </c>
      <c r="J550" t="n">
        <v>0</v>
      </c>
      <c r="K550" t="n">
        <v>0</v>
      </c>
      <c r="L550" t="n">
        <v>0</v>
      </c>
      <c r="M550" t="n">
        <v>0</v>
      </c>
      <c r="N550" t="n">
        <v>0</v>
      </c>
      <c r="O550" t="n">
        <v>0</v>
      </c>
      <c r="P550" t="n">
        <v>0</v>
      </c>
      <c r="Q550" t="n">
        <v>0</v>
      </c>
      <c r="R550" t="n">
        <v>0</v>
      </c>
      <c r="S550" t="n">
        <v>0</v>
      </c>
      <c r="T550" t="n">
        <v>0</v>
      </c>
      <c r="U550" s="2" t="inlineStr"/>
    </row>
    <row r="551" ht="15" customHeight="1">
      <c r="A551" t="inlineStr">
        <is>
          <t>A 30149-2026</t>
        </is>
      </c>
      <c r="B551" t="inlineStr">
        <is>
          <t>avverkningsanmälan</t>
        </is>
      </c>
      <c r="C551" t="inlineStr">
        <is>
          <t>Föryngringsavverkning</t>
        </is>
      </c>
      <c r="D551" s="1" t="n">
        <v>46206</v>
      </c>
      <c r="E551" s="1" t="n">
        <v>46216</v>
      </c>
      <c r="F551" t="inlineStr">
        <is>
          <t>DALARNAS LÄN</t>
        </is>
      </c>
      <c r="G551" t="inlineStr">
        <is>
          <t>SMEDJEBACKEN</t>
        </is>
      </c>
      <c r="H551" t="inlineStr">
        <is>
          <t>Sveaskog</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30270-2026</t>
        </is>
      </c>
      <c r="B552" t="inlineStr">
        <is>
          <t>avverkningsanmälan</t>
        </is>
      </c>
      <c r="C552" t="inlineStr">
        <is>
          <t>Föryngringsavverkning</t>
        </is>
      </c>
      <c r="D552" s="1" t="n">
        <v>46206</v>
      </c>
      <c r="E552" s="1" t="n">
        <v>46216</v>
      </c>
      <c r="F552" t="inlineStr">
        <is>
          <t>DALARNAS LÄN</t>
        </is>
      </c>
      <c r="G552" t="inlineStr">
        <is>
          <t>SMEDJEBACKEN</t>
        </is>
      </c>
      <c r="H552" t="inlineStr">
        <is>
          <t>Sveaskog</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39535-2021</t>
        </is>
      </c>
      <c r="B553" t="inlineStr">
        <is>
          <t>avverkningsanmälan</t>
        </is>
      </c>
      <c r="C553" t="inlineStr">
        <is>
          <t>Föryngringsavverkning</t>
        </is>
      </c>
      <c r="D553" s="1" t="n">
        <v>44415</v>
      </c>
      <c r="E553" s="1" t="n">
        <v>46216</v>
      </c>
      <c r="F553" t="inlineStr">
        <is>
          <t>DALARNAS LÄN</t>
        </is>
      </c>
      <c r="G553" t="inlineStr">
        <is>
          <t>SMEDJEBACKEN</t>
        </is>
      </c>
      <c r="I553" t="n">
        <v>2.6</v>
      </c>
      <c r="J553" t="n">
        <v>0</v>
      </c>
      <c r="K553" t="n">
        <v>0</v>
      </c>
      <c r="L553" t="n">
        <v>0</v>
      </c>
      <c r="M553" t="n">
        <v>0</v>
      </c>
      <c r="N553" t="n">
        <v>0</v>
      </c>
      <c r="O553" t="n">
        <v>0</v>
      </c>
      <c r="P553" t="n">
        <v>0</v>
      </c>
      <c r="Q553" t="n">
        <v>0</v>
      </c>
      <c r="R553" t="n">
        <v>0</v>
      </c>
      <c r="S553" t="n">
        <v>0</v>
      </c>
      <c r="T553" t="n">
        <v>0</v>
      </c>
      <c r="U553" s="2" t="inlineStr"/>
    </row>
    <row r="554" ht="15" customHeight="1">
      <c r="A554" t="inlineStr">
        <is>
          <t>A 19085-2025</t>
        </is>
      </c>
      <c r="B554" t="inlineStr">
        <is>
          <t>avverkningsanmälan</t>
        </is>
      </c>
      <c r="C554" t="inlineStr">
        <is>
          <t>Avverkning för att bevara och utveckla /försöksver</t>
        </is>
      </c>
      <c r="D554" s="1" t="n">
        <v>45766</v>
      </c>
      <c r="E554" s="1" t="n">
        <v>46216</v>
      </c>
      <c r="F554" t="inlineStr">
        <is>
          <t>DALARNAS LÄN</t>
        </is>
      </c>
      <c r="G554" t="inlineStr">
        <is>
          <t>SMEDJEBACKEN</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A 30582-2026</t>
        </is>
      </c>
      <c r="B555" t="inlineStr">
        <is>
          <t>avverkningsanmälan</t>
        </is>
      </c>
      <c r="C555" t="inlineStr">
        <is>
          <t>Föryngringsavverkning</t>
        </is>
      </c>
      <c r="D555" s="1" t="n">
        <v>46210</v>
      </c>
      <c r="E555" s="1" t="n">
        <v>46216</v>
      </c>
      <c r="F555" t="inlineStr">
        <is>
          <t>DALARNAS LÄN</t>
        </is>
      </c>
      <c r="G555" t="inlineStr">
        <is>
          <t>SMEDJEBACKEN</t>
        </is>
      </c>
      <c r="H555" t="inlineStr">
        <is>
          <t>Sveaskog</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63518-2021</t>
        </is>
      </c>
      <c r="B556" t="inlineStr">
        <is>
          <t>avverkningsanmälan</t>
        </is>
      </c>
      <c r="C556" t="inlineStr">
        <is>
          <t>Föryngringsavverkning</t>
        </is>
      </c>
      <c r="D556" s="1" t="n">
        <v>44508</v>
      </c>
      <c r="E556" s="1" t="n">
        <v>46216</v>
      </c>
      <c r="F556" t="inlineStr">
        <is>
          <t>DALARNAS LÄN</t>
        </is>
      </c>
      <c r="G556" t="inlineStr">
        <is>
          <t>SMEDJEBACKEN</t>
        </is>
      </c>
      <c r="H556" t="inlineStr">
        <is>
          <t>Sveaskog</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26480-2023</t>
        </is>
      </c>
      <c r="B557" t="inlineStr">
        <is>
          <t>avverkningsanmälan</t>
        </is>
      </c>
      <c r="C557" t="inlineStr">
        <is>
          <t>Avverkning för annat ändamål</t>
        </is>
      </c>
      <c r="D557" s="1" t="n">
        <v>45092</v>
      </c>
      <c r="E557" s="1" t="n">
        <v>46216</v>
      </c>
      <c r="F557" t="inlineStr">
        <is>
          <t>DALARNAS LÄN</t>
        </is>
      </c>
      <c r="G557" t="inlineStr">
        <is>
          <t>SMEDJEBACKEN</t>
        </is>
      </c>
      <c r="H557" t="inlineStr">
        <is>
          <t>Sveaskog</t>
        </is>
      </c>
      <c r="I557" t="n">
        <v>0.8</v>
      </c>
      <c r="J557" t="n">
        <v>0</v>
      </c>
      <c r="K557" t="n">
        <v>0</v>
      </c>
      <c r="L557" t="n">
        <v>0</v>
      </c>
      <c r="M557" t="n">
        <v>0</v>
      </c>
      <c r="N557" t="n">
        <v>0</v>
      </c>
      <c r="O557" t="n">
        <v>0</v>
      </c>
      <c r="P557" t="n">
        <v>0</v>
      </c>
      <c r="Q557" t="n">
        <v>0</v>
      </c>
      <c r="R557" t="n">
        <v>0</v>
      </c>
      <c r="S557" t="n">
        <v>0</v>
      </c>
      <c r="T557" t="n">
        <v>0</v>
      </c>
      <c r="U557" s="2" t="inlineStr"/>
    </row>
    <row r="558" ht="15" customHeight="1">
      <c r="A558" t="inlineStr">
        <is>
          <t>A 24229-2026</t>
        </is>
      </c>
      <c r="B558" t="inlineStr">
        <is>
          <t>avverkningsanmälan</t>
        </is>
      </c>
      <c r="C558" t="inlineStr">
        <is>
          <t>Föryngringsavverkning</t>
        </is>
      </c>
      <c r="D558" s="1" t="n">
        <v>46168</v>
      </c>
      <c r="E558" s="1" t="n">
        <v>46216</v>
      </c>
      <c r="F558" t="inlineStr">
        <is>
          <t>DALARNAS LÄN</t>
        </is>
      </c>
      <c r="G558" t="inlineStr">
        <is>
          <t>SMEDJEBACKEN</t>
        </is>
      </c>
      <c r="H558" t="inlineStr">
        <is>
          <t>Sveaskog</t>
        </is>
      </c>
      <c r="I558" t="n">
        <v>6.5</v>
      </c>
      <c r="J558" t="n">
        <v>0</v>
      </c>
      <c r="K558" t="n">
        <v>0</v>
      </c>
      <c r="L558" t="n">
        <v>0</v>
      </c>
      <c r="M558" t="n">
        <v>0</v>
      </c>
      <c r="N558" t="n">
        <v>0</v>
      </c>
      <c r="O558" t="n">
        <v>0</v>
      </c>
      <c r="P558" t="n">
        <v>0</v>
      </c>
      <c r="Q558" t="n">
        <v>0</v>
      </c>
      <c r="R558" t="n">
        <v>0</v>
      </c>
      <c r="S558" t="n">
        <v>0</v>
      </c>
      <c r="T558" t="n">
        <v>0</v>
      </c>
      <c r="U558" s="2" t="inlineStr"/>
    </row>
    <row r="559" ht="15" customHeight="1">
      <c r="A559" t="inlineStr">
        <is>
          <t>A 33487-2023</t>
        </is>
      </c>
      <c r="B559" t="inlineStr">
        <is>
          <t>avverkningsanmälan</t>
        </is>
      </c>
      <c r="C559" t="inlineStr">
        <is>
          <t>Föryngringsavverkning</t>
        </is>
      </c>
      <c r="D559" s="1" t="n">
        <v>45131</v>
      </c>
      <c r="E559" s="1" t="n">
        <v>46216</v>
      </c>
      <c r="F559" t="inlineStr">
        <is>
          <t>DALARNAS LÄN</t>
        </is>
      </c>
      <c r="G559" t="inlineStr">
        <is>
          <t>SMEDJEBACKEN</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15390-2025</t>
        </is>
      </c>
      <c r="B560" t="inlineStr">
        <is>
          <t>avverkningsanmälan</t>
        </is>
      </c>
      <c r="C560" t="inlineStr">
        <is>
          <t>Föryngringsavverkning</t>
        </is>
      </c>
      <c r="D560" s="1" t="n">
        <v>45747</v>
      </c>
      <c r="E560" s="1" t="n">
        <v>46216</v>
      </c>
      <c r="F560" t="inlineStr">
        <is>
          <t>DALARNAS LÄN</t>
        </is>
      </c>
      <c r="G560" t="inlineStr">
        <is>
          <t>SMEDJEBACKEN</t>
        </is>
      </c>
      <c r="H560" t="inlineStr">
        <is>
          <t>Bergvik skog väst AB</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14677-2024</t>
        </is>
      </c>
      <c r="B561" t="inlineStr">
        <is>
          <t>avverkningsanmälan</t>
        </is>
      </c>
      <c r="C561" t="inlineStr">
        <is>
          <t>Föryngringsavverkning</t>
        </is>
      </c>
      <c r="D561" s="1" t="n">
        <v>45397</v>
      </c>
      <c r="E561" s="1" t="n">
        <v>46216</v>
      </c>
      <c r="F561" t="inlineStr">
        <is>
          <t>DALARNAS LÄN</t>
        </is>
      </c>
      <c r="G561" t="inlineStr">
        <is>
          <t>SMEDJEBACKEN</t>
        </is>
      </c>
      <c r="I561" t="n">
        <v>2.5</v>
      </c>
      <c r="J561" t="n">
        <v>0</v>
      </c>
      <c r="K561" t="n">
        <v>0</v>
      </c>
      <c r="L561" t="n">
        <v>0</v>
      </c>
      <c r="M561" t="n">
        <v>0</v>
      </c>
      <c r="N561" t="n">
        <v>0</v>
      </c>
      <c r="O561" t="n">
        <v>0</v>
      </c>
      <c r="P561" t="n">
        <v>0</v>
      </c>
      <c r="Q561" t="n">
        <v>0</v>
      </c>
      <c r="R561" t="n">
        <v>0</v>
      </c>
      <c r="S561" t="n">
        <v>0</v>
      </c>
      <c r="T561" t="n">
        <v>0</v>
      </c>
      <c r="U561" s="2" t="inlineStr"/>
    </row>
    <row r="562" ht="15" customHeight="1">
      <c r="A562" t="inlineStr">
        <is>
          <t>A 24206-2026</t>
        </is>
      </c>
      <c r="B562" t="inlineStr">
        <is>
          <t>avverkningsanmälan</t>
        </is>
      </c>
      <c r="C562" t="inlineStr">
        <is>
          <t>Föryngringsavverkning</t>
        </is>
      </c>
      <c r="D562" s="1" t="n">
        <v>46168</v>
      </c>
      <c r="E562" s="1" t="n">
        <v>46216</v>
      </c>
      <c r="F562" t="inlineStr">
        <is>
          <t>DALARNAS LÄN</t>
        </is>
      </c>
      <c r="G562" t="inlineStr">
        <is>
          <t>SMEDJEBACKEN</t>
        </is>
      </c>
      <c r="H562" t="inlineStr">
        <is>
          <t>Övriga Aktiebolag</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24208-2026</t>
        </is>
      </c>
      <c r="B563" t="inlineStr">
        <is>
          <t>avverkningsanmälan</t>
        </is>
      </c>
      <c r="C563" t="inlineStr">
        <is>
          <t>Föryngringsavverkning</t>
        </is>
      </c>
      <c r="D563" s="1" t="n">
        <v>46168</v>
      </c>
      <c r="E563" s="1" t="n">
        <v>46216</v>
      </c>
      <c r="F563" t="inlineStr">
        <is>
          <t>DALARNAS LÄN</t>
        </is>
      </c>
      <c r="G563" t="inlineStr">
        <is>
          <t>SMEDJEBACKEN</t>
        </is>
      </c>
      <c r="H563" t="inlineStr">
        <is>
          <t>Övriga Aktiebolag</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30583-2026</t>
        </is>
      </c>
      <c r="B564" t="inlineStr">
        <is>
          <t>avverkningsanmälan</t>
        </is>
      </c>
      <c r="C564" t="inlineStr">
        <is>
          <t>Föryngringsavverkning</t>
        </is>
      </c>
      <c r="D564" s="1" t="n">
        <v>46210</v>
      </c>
      <c r="E564" s="1" t="n">
        <v>46216</v>
      </c>
      <c r="F564" t="inlineStr">
        <is>
          <t>DALARNAS LÄN</t>
        </is>
      </c>
      <c r="G564" t="inlineStr">
        <is>
          <t>SMEDJEBACKEN</t>
        </is>
      </c>
      <c r="H564" t="inlineStr">
        <is>
          <t>Sveaskog</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6720-2023</t>
        </is>
      </c>
      <c r="B565" t="inlineStr">
        <is>
          <t>avverkningsanmälan</t>
        </is>
      </c>
      <c r="C565" t="inlineStr">
        <is>
          <t>Föryngringsavverkning</t>
        </is>
      </c>
      <c r="D565" s="1" t="n">
        <v>44966</v>
      </c>
      <c r="E565" s="1" t="n">
        <v>46216</v>
      </c>
      <c r="F565" t="inlineStr">
        <is>
          <t>DALARNAS LÄN</t>
        </is>
      </c>
      <c r="G565" t="inlineStr">
        <is>
          <t>SMEDJEBACKEN</t>
        </is>
      </c>
      <c r="I565" t="n">
        <v>2.4</v>
      </c>
      <c r="J565" t="n">
        <v>0</v>
      </c>
      <c r="K565" t="n">
        <v>0</v>
      </c>
      <c r="L565" t="n">
        <v>0</v>
      </c>
      <c r="M565" t="n">
        <v>0</v>
      </c>
      <c r="N565" t="n">
        <v>0</v>
      </c>
      <c r="O565" t="n">
        <v>0</v>
      </c>
      <c r="P565" t="n">
        <v>0</v>
      </c>
      <c r="Q565" t="n">
        <v>0</v>
      </c>
      <c r="R565" t="n">
        <v>0</v>
      </c>
      <c r="S565" t="n">
        <v>0</v>
      </c>
      <c r="T565" t="n">
        <v>0</v>
      </c>
      <c r="U565" s="2" t="inlineStr"/>
    </row>
    <row r="566" ht="15" customHeight="1">
      <c r="A566" t="inlineStr">
        <is>
          <t>A 25074-2026</t>
        </is>
      </c>
      <c r="B566" t="inlineStr">
        <is>
          <t>avverkningsanmälan</t>
        </is>
      </c>
      <c r="C566" t="inlineStr">
        <is>
          <t>Föryngringsavverkning</t>
        </is>
      </c>
      <c r="D566" s="1" t="n">
        <v>46171</v>
      </c>
      <c r="E566" s="1" t="n">
        <v>46216</v>
      </c>
      <c r="F566" t="inlineStr">
        <is>
          <t>DALARNAS LÄN</t>
        </is>
      </c>
      <c r="G566" t="inlineStr">
        <is>
          <t>SMEDJEBACKEN</t>
        </is>
      </c>
      <c r="I566" t="n">
        <v>12.2</v>
      </c>
      <c r="J566" t="n">
        <v>0</v>
      </c>
      <c r="K566" t="n">
        <v>0</v>
      </c>
      <c r="L566" t="n">
        <v>0</v>
      </c>
      <c r="M566" t="n">
        <v>0</v>
      </c>
      <c r="N566" t="n">
        <v>0</v>
      </c>
      <c r="O566" t="n">
        <v>0</v>
      </c>
      <c r="P566" t="n">
        <v>0</v>
      </c>
      <c r="Q566" t="n">
        <v>0</v>
      </c>
      <c r="R566" t="n">
        <v>0</v>
      </c>
      <c r="S566" t="n">
        <v>0</v>
      </c>
      <c r="T566" t="n">
        <v>0</v>
      </c>
      <c r="U566" s="2" t="inlineStr"/>
    </row>
    <row r="567" ht="15" customHeight="1">
      <c r="A567" t="inlineStr">
        <is>
          <t>A 25065-2026</t>
        </is>
      </c>
      <c r="B567" t="inlineStr">
        <is>
          <t>avverkningsanmälan</t>
        </is>
      </c>
      <c r="C567" t="inlineStr">
        <is>
          <t>Föryngringsavverkning</t>
        </is>
      </c>
      <c r="D567" s="1" t="n">
        <v>46171</v>
      </c>
      <c r="E567" s="1" t="n">
        <v>46216</v>
      </c>
      <c r="F567" t="inlineStr">
        <is>
          <t>DALARNAS LÄN</t>
        </is>
      </c>
      <c r="G567" t="inlineStr">
        <is>
          <t>SMEDJEBACKEN</t>
        </is>
      </c>
      <c r="H567" t="inlineStr">
        <is>
          <t>Bergvik skog väst AB</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58397-2023</t>
        </is>
      </c>
      <c r="B568" t="inlineStr">
        <is>
          <t>avverkningsanmälan</t>
        </is>
      </c>
      <c r="C568" t="inlineStr">
        <is>
          <t>Avverkning för att bevara och utveckla /försöksver</t>
        </is>
      </c>
      <c r="D568" s="1" t="n">
        <v>45250</v>
      </c>
      <c r="E568" s="1" t="n">
        <v>46216</v>
      </c>
      <c r="F568" t="inlineStr">
        <is>
          <t>DALARNAS LÄN</t>
        </is>
      </c>
      <c r="G568" t="inlineStr">
        <is>
          <t>SMEDJEBACKEN</t>
        </is>
      </c>
      <c r="I568" t="n">
        <v>2.8</v>
      </c>
      <c r="J568" t="n">
        <v>0</v>
      </c>
      <c r="K568" t="n">
        <v>0</v>
      </c>
      <c r="L568" t="n">
        <v>0</v>
      </c>
      <c r="M568" t="n">
        <v>0</v>
      </c>
      <c r="N568" t="n">
        <v>0</v>
      </c>
      <c r="O568" t="n">
        <v>0</v>
      </c>
      <c r="P568" t="n">
        <v>0</v>
      </c>
      <c r="Q568" t="n">
        <v>0</v>
      </c>
      <c r="R568" t="n">
        <v>0</v>
      </c>
      <c r="S568" t="n">
        <v>0</v>
      </c>
      <c r="T568" t="n">
        <v>0</v>
      </c>
      <c r="U568" s="2" t="inlineStr"/>
    </row>
    <row r="569" ht="15" customHeight="1">
      <c r="A569" t="inlineStr">
        <is>
          <t>A 30803-2026</t>
        </is>
      </c>
      <c r="B569" t="inlineStr">
        <is>
          <t>avverkningsanmälan</t>
        </is>
      </c>
      <c r="C569" t="inlineStr">
        <is>
          <t>Föryngringsavverkning</t>
        </is>
      </c>
      <c r="D569" s="1" t="n">
        <v>46212</v>
      </c>
      <c r="E569" s="1" t="n">
        <v>46216</v>
      </c>
      <c r="F569" t="inlineStr">
        <is>
          <t>DALARNAS LÄN</t>
        </is>
      </c>
      <c r="G569" t="inlineStr">
        <is>
          <t>SMEDJEBACKEN</t>
        </is>
      </c>
      <c r="H569" t="inlineStr">
        <is>
          <t>Övriga Aktiebolag</t>
        </is>
      </c>
      <c r="I569" t="n">
        <v>7.9</v>
      </c>
      <c r="J569" t="n">
        <v>0</v>
      </c>
      <c r="K569" t="n">
        <v>0</v>
      </c>
      <c r="L569" t="n">
        <v>0</v>
      </c>
      <c r="M569" t="n">
        <v>0</v>
      </c>
      <c r="N569" t="n">
        <v>0</v>
      </c>
      <c r="O569" t="n">
        <v>0</v>
      </c>
      <c r="P569" t="n">
        <v>0</v>
      </c>
      <c r="Q569" t="n">
        <v>0</v>
      </c>
      <c r="R569" t="n">
        <v>0</v>
      </c>
      <c r="S569" t="n">
        <v>0</v>
      </c>
      <c r="T569" t="n">
        <v>0</v>
      </c>
      <c r="U569" s="2" t="inlineStr"/>
    </row>
    <row r="570" ht="15" customHeight="1">
      <c r="A570" t="inlineStr">
        <is>
          <t>A 43909-2024</t>
        </is>
      </c>
      <c r="B570" t="inlineStr">
        <is>
          <t>avverkningsanmälan</t>
        </is>
      </c>
      <c r="C570" t="inlineStr">
        <is>
          <t>Föryngringsavverkning</t>
        </is>
      </c>
      <c r="D570" s="1" t="n">
        <v>45572</v>
      </c>
      <c r="E570" s="1" t="n">
        <v>46216</v>
      </c>
      <c r="F570" t="inlineStr">
        <is>
          <t>DALARNAS LÄN</t>
        </is>
      </c>
      <c r="G570" t="inlineStr">
        <is>
          <t>SMEDJEBACKEN</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61541-2022</t>
        </is>
      </c>
      <c r="B571" t="inlineStr">
        <is>
          <t>avverkningsanmälan</t>
        </is>
      </c>
      <c r="C571" t="inlineStr">
        <is>
          <t>Föryngringsavverkning</t>
        </is>
      </c>
      <c r="D571" s="1" t="n">
        <v>44916</v>
      </c>
      <c r="E571" s="1" t="n">
        <v>46216</v>
      </c>
      <c r="F571" t="inlineStr">
        <is>
          <t>DALARNAS LÄN</t>
        </is>
      </c>
      <c r="G571" t="inlineStr">
        <is>
          <t>SMEDJEBACKEN</t>
        </is>
      </c>
      <c r="I571" t="n">
        <v>1.3</v>
      </c>
      <c r="J571" t="n">
        <v>0</v>
      </c>
      <c r="K571" t="n">
        <v>0</v>
      </c>
      <c r="L571" t="n">
        <v>0</v>
      </c>
      <c r="M571" t="n">
        <v>0</v>
      </c>
      <c r="N571" t="n">
        <v>0</v>
      </c>
      <c r="O571" t="n">
        <v>0</v>
      </c>
      <c r="P571" t="n">
        <v>0</v>
      </c>
      <c r="Q571" t="n">
        <v>0</v>
      </c>
      <c r="R571" t="n">
        <v>0</v>
      </c>
      <c r="S571" t="n">
        <v>0</v>
      </c>
      <c r="T571" t="n">
        <v>0</v>
      </c>
      <c r="U571" s="2" t="inlineStr"/>
    </row>
    <row r="572" ht="15" customHeight="1">
      <c r="A572" t="inlineStr">
        <is>
          <t>A 24469-2022</t>
        </is>
      </c>
      <c r="B572" t="inlineStr">
        <is>
          <t>avverkningsanmälan</t>
        </is>
      </c>
      <c r="C572" t="inlineStr">
        <is>
          <t>Föryngringsavverkning</t>
        </is>
      </c>
      <c r="D572" s="1" t="n">
        <v>44726</v>
      </c>
      <c r="E572" s="1" t="n">
        <v>46216</v>
      </c>
      <c r="F572" t="inlineStr">
        <is>
          <t>DALARNAS LÄN</t>
        </is>
      </c>
      <c r="G572" t="inlineStr">
        <is>
          <t>SMEDJEBACKEN</t>
        </is>
      </c>
      <c r="I572" t="n">
        <v>4.3</v>
      </c>
      <c r="J572" t="n">
        <v>0</v>
      </c>
      <c r="K572" t="n">
        <v>0</v>
      </c>
      <c r="L572" t="n">
        <v>0</v>
      </c>
      <c r="M572" t="n">
        <v>0</v>
      </c>
      <c r="N572" t="n">
        <v>0</v>
      </c>
      <c r="O572" t="n">
        <v>0</v>
      </c>
      <c r="P572" t="n">
        <v>0</v>
      </c>
      <c r="Q572" t="n">
        <v>0</v>
      </c>
      <c r="R572" t="n">
        <v>0</v>
      </c>
      <c r="S572" t="n">
        <v>0</v>
      </c>
      <c r="T572" t="n">
        <v>0</v>
      </c>
      <c r="U572" s="2" t="inlineStr"/>
    </row>
    <row r="573" ht="15" customHeight="1">
      <c r="A573" t="inlineStr">
        <is>
          <t>A 20901-2025</t>
        </is>
      </c>
      <c r="B573" t="inlineStr">
        <is>
          <t>avverkningsanmälan</t>
        </is>
      </c>
      <c r="C573" t="inlineStr">
        <is>
          <t>Föryngringsavverkning</t>
        </is>
      </c>
      <c r="D573" s="1" t="n">
        <v>45777</v>
      </c>
      <c r="E573" s="1" t="n">
        <v>46216</v>
      </c>
      <c r="F573" t="inlineStr">
        <is>
          <t>DALARNAS LÄN</t>
        </is>
      </c>
      <c r="G573" t="inlineStr">
        <is>
          <t>SMEDJEBACKEN</t>
        </is>
      </c>
      <c r="H573" t="inlineStr">
        <is>
          <t>Sveaskog</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20903-2025</t>
        </is>
      </c>
      <c r="B574" t="inlineStr">
        <is>
          <t>avverkningsanmälan</t>
        </is>
      </c>
      <c r="C574" t="inlineStr">
        <is>
          <t>Föryngringsavverkning</t>
        </is>
      </c>
      <c r="D574" s="1" t="n">
        <v>45777</v>
      </c>
      <c r="E574" s="1" t="n">
        <v>46216</v>
      </c>
      <c r="F574" t="inlineStr">
        <is>
          <t>DALARNAS LÄN</t>
        </is>
      </c>
      <c r="G574" t="inlineStr">
        <is>
          <t>SMEDJEBACKEN</t>
        </is>
      </c>
      <c r="H574" t="inlineStr">
        <is>
          <t>Sveaskog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42315-2024</t>
        </is>
      </c>
      <c r="B575" t="inlineStr">
        <is>
          <t>avverkningsanmälan</t>
        </is>
      </c>
      <c r="C575" t="inlineStr">
        <is>
          <t>Föryngringsavverkning</t>
        </is>
      </c>
      <c r="D575" s="1" t="n">
        <v>45562</v>
      </c>
      <c r="E575" s="1" t="n">
        <v>46216</v>
      </c>
      <c r="F575" t="inlineStr">
        <is>
          <t>DALARNAS LÄN</t>
        </is>
      </c>
      <c r="G575" t="inlineStr">
        <is>
          <t>SMEDJEBACKEN</t>
        </is>
      </c>
      <c r="I575" t="n">
        <v>5.7</v>
      </c>
      <c r="J575" t="n">
        <v>0</v>
      </c>
      <c r="K575" t="n">
        <v>0</v>
      </c>
      <c r="L575" t="n">
        <v>0</v>
      </c>
      <c r="M575" t="n">
        <v>0</v>
      </c>
      <c r="N575" t="n">
        <v>0</v>
      </c>
      <c r="O575" t="n">
        <v>0</v>
      </c>
      <c r="P575" t="n">
        <v>0</v>
      </c>
      <c r="Q575" t="n">
        <v>0</v>
      </c>
      <c r="R575" t="n">
        <v>0</v>
      </c>
      <c r="S575" t="n">
        <v>0</v>
      </c>
      <c r="T575" t="n">
        <v>0</v>
      </c>
      <c r="U575" s="2" t="inlineStr"/>
    </row>
    <row r="576" ht="15" customHeight="1">
      <c r="A576" t="inlineStr">
        <is>
          <t>A 25393-2024</t>
        </is>
      </c>
      <c r="B576" t="inlineStr">
        <is>
          <t>avverkningsanmälan</t>
        </is>
      </c>
      <c r="C576" t="inlineStr">
        <is>
          <t>Föryngringsavverkning</t>
        </is>
      </c>
      <c r="D576" s="1" t="n">
        <v>45463</v>
      </c>
      <c r="E576" s="1" t="n">
        <v>46216</v>
      </c>
      <c r="F576" t="inlineStr">
        <is>
          <t>DALARNAS LÄN</t>
        </is>
      </c>
      <c r="G576" t="inlineStr">
        <is>
          <t>SMEDJEBACKEN</t>
        </is>
      </c>
      <c r="I576" t="n">
        <v>5.2</v>
      </c>
      <c r="J576" t="n">
        <v>0</v>
      </c>
      <c r="K576" t="n">
        <v>0</v>
      </c>
      <c r="L576" t="n">
        <v>0</v>
      </c>
      <c r="M576" t="n">
        <v>0</v>
      </c>
      <c r="N576" t="n">
        <v>0</v>
      </c>
      <c r="O576" t="n">
        <v>0</v>
      </c>
      <c r="P576" t="n">
        <v>0</v>
      </c>
      <c r="Q576" t="n">
        <v>0</v>
      </c>
      <c r="R576" t="n">
        <v>0</v>
      </c>
      <c r="S576" t="n">
        <v>0</v>
      </c>
      <c r="T576" t="n">
        <v>0</v>
      </c>
      <c r="U576" s="2" t="inlineStr"/>
    </row>
    <row r="577" ht="15" customHeight="1">
      <c r="A577" t="inlineStr">
        <is>
          <t>A 43926-2024</t>
        </is>
      </c>
      <c r="B577" t="inlineStr">
        <is>
          <t>avverkningsanmälan</t>
        </is>
      </c>
      <c r="C577" t="inlineStr">
        <is>
          <t>Föryngringsavverkning</t>
        </is>
      </c>
      <c r="D577" s="1" t="n">
        <v>45572</v>
      </c>
      <c r="E577" s="1" t="n">
        <v>46216</v>
      </c>
      <c r="F577" t="inlineStr">
        <is>
          <t>DALARNAS LÄN</t>
        </is>
      </c>
      <c r="G577" t="inlineStr">
        <is>
          <t>SMEDJEBACKEN</t>
        </is>
      </c>
      <c r="H577" t="inlineStr">
        <is>
          <t>Sveaskog</t>
        </is>
      </c>
      <c r="I577" t="n">
        <v>1</v>
      </c>
      <c r="J577" t="n">
        <v>0</v>
      </c>
      <c r="K577" t="n">
        <v>0</v>
      </c>
      <c r="L577" t="n">
        <v>0</v>
      </c>
      <c r="M577" t="n">
        <v>0</v>
      </c>
      <c r="N577" t="n">
        <v>0</v>
      </c>
      <c r="O577" t="n">
        <v>0</v>
      </c>
      <c r="P577" t="n">
        <v>0</v>
      </c>
      <c r="Q577" t="n">
        <v>0</v>
      </c>
      <c r="R577" t="n">
        <v>0</v>
      </c>
      <c r="S577" t="n">
        <v>0</v>
      </c>
      <c r="T577" t="n">
        <v>0</v>
      </c>
      <c r="U577" s="2" t="inlineStr"/>
    </row>
    <row r="578" ht="15" customHeight="1">
      <c r="A578" t="inlineStr">
        <is>
          <t>A 22207-2024</t>
        </is>
      </c>
      <c r="B578" t="inlineStr">
        <is>
          <t>avverkningsanmälan</t>
        </is>
      </c>
      <c r="C578" t="inlineStr">
        <is>
          <t>Föryngringsavverkning</t>
        </is>
      </c>
      <c r="D578" s="1" t="n">
        <v>45446</v>
      </c>
      <c r="E578" s="1" t="n">
        <v>46216</v>
      </c>
      <c r="F578" t="inlineStr">
        <is>
          <t>DALARNAS LÄN</t>
        </is>
      </c>
      <c r="G578" t="inlineStr">
        <is>
          <t>SMEDJEBACKEN</t>
        </is>
      </c>
      <c r="H578" t="inlineStr">
        <is>
          <t>Sveaskog</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50539-2024</t>
        </is>
      </c>
      <c r="B579" t="inlineStr">
        <is>
          <t>avverkningsanmälan</t>
        </is>
      </c>
      <c r="C579" t="inlineStr">
        <is>
          <t>Föryngringsavverkning</t>
        </is>
      </c>
      <c r="D579" s="1" t="n">
        <v>45600</v>
      </c>
      <c r="E579" s="1" t="n">
        <v>46216</v>
      </c>
      <c r="F579" t="inlineStr">
        <is>
          <t>DALARNAS LÄN</t>
        </is>
      </c>
      <c r="G579" t="inlineStr">
        <is>
          <t>SMEDJEBACKEN</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51771-2024</t>
        </is>
      </c>
      <c r="B580" t="inlineStr">
        <is>
          <t>avverkningsanmälan</t>
        </is>
      </c>
      <c r="C580" t="inlineStr">
        <is>
          <t>Föryngringsavverkning</t>
        </is>
      </c>
      <c r="D580" s="1" t="n">
        <v>45607</v>
      </c>
      <c r="E580" s="1" t="n">
        <v>46216</v>
      </c>
      <c r="F580" t="inlineStr">
        <is>
          <t>DALARNAS LÄN</t>
        </is>
      </c>
      <c r="G580" t="inlineStr">
        <is>
          <t>SMEDJEBACKEN</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A 41333-2024</t>
        </is>
      </c>
      <c r="B581" t="inlineStr">
        <is>
          <t>avverkningsanmälan</t>
        </is>
      </c>
      <c r="C581" t="inlineStr">
        <is>
          <t>Föryngringsavverkning</t>
        </is>
      </c>
      <c r="D581" s="1" t="n">
        <v>45559</v>
      </c>
      <c r="E581" s="1" t="n">
        <v>46216</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50567-2024</t>
        </is>
      </c>
      <c r="B582" t="inlineStr">
        <is>
          <t>avverkningsanmälan</t>
        </is>
      </c>
      <c r="C582" t="inlineStr">
        <is>
          <t>Föryngringsavverkning</t>
        </is>
      </c>
      <c r="D582" s="1" t="n">
        <v>45600</v>
      </c>
      <c r="E582" s="1" t="n">
        <v>46216</v>
      </c>
      <c r="F582" t="inlineStr">
        <is>
          <t>DALARNAS LÄN</t>
        </is>
      </c>
      <c r="G582" t="inlineStr">
        <is>
          <t>SMEDJEBACKEN</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31206-2024</t>
        </is>
      </c>
      <c r="B583" t="inlineStr">
        <is>
          <t>avverkningsanmälan</t>
        </is>
      </c>
      <c r="C583" t="inlineStr">
        <is>
          <t>Föryngringsavverkning</t>
        </is>
      </c>
      <c r="D583" s="1" t="n">
        <v>45503</v>
      </c>
      <c r="E583" s="1" t="n">
        <v>46216</v>
      </c>
      <c r="F583" t="inlineStr">
        <is>
          <t>DALARNAS LÄN</t>
        </is>
      </c>
      <c r="G583" t="inlineStr">
        <is>
          <t>SMEDJEBACKEN</t>
        </is>
      </c>
      <c r="I583" t="n">
        <v>3.9</v>
      </c>
      <c r="J583" t="n">
        <v>0</v>
      </c>
      <c r="K583" t="n">
        <v>0</v>
      </c>
      <c r="L583" t="n">
        <v>0</v>
      </c>
      <c r="M583" t="n">
        <v>0</v>
      </c>
      <c r="N583" t="n">
        <v>0</v>
      </c>
      <c r="O583" t="n">
        <v>0</v>
      </c>
      <c r="P583" t="n">
        <v>0</v>
      </c>
      <c r="Q583" t="n">
        <v>0</v>
      </c>
      <c r="R583" t="n">
        <v>0</v>
      </c>
      <c r="S583" t="n">
        <v>0</v>
      </c>
      <c r="T583" t="n">
        <v>0</v>
      </c>
      <c r="U583" s="2" t="inlineStr"/>
    </row>
    <row r="584" ht="15" customHeight="1">
      <c r="A584" t="inlineStr">
        <is>
          <t>A 34923-2024</t>
        </is>
      </c>
      <c r="B584" t="inlineStr">
        <is>
          <t>avverkningsanmälan</t>
        </is>
      </c>
      <c r="C584" t="inlineStr">
        <is>
          <t>Föryngringsavverkning</t>
        </is>
      </c>
      <c r="D584" s="1" t="n">
        <v>45527</v>
      </c>
      <c r="E584" s="1" t="n">
        <v>46216</v>
      </c>
      <c r="F584" t="inlineStr">
        <is>
          <t>DALARNAS LÄN</t>
        </is>
      </c>
      <c r="G584" t="inlineStr">
        <is>
          <t>SMEDJEBACKEN</t>
        </is>
      </c>
      <c r="H584" t="inlineStr">
        <is>
          <t>Övriga Aktiebolag</t>
        </is>
      </c>
      <c r="I584" t="n">
        <v>3.2</v>
      </c>
      <c r="J584" t="n">
        <v>0</v>
      </c>
      <c r="K584" t="n">
        <v>0</v>
      </c>
      <c r="L584" t="n">
        <v>0</v>
      </c>
      <c r="M584" t="n">
        <v>0</v>
      </c>
      <c r="N584" t="n">
        <v>0</v>
      </c>
      <c r="O584" t="n">
        <v>0</v>
      </c>
      <c r="P584" t="n">
        <v>0</v>
      </c>
      <c r="Q584" t="n">
        <v>0</v>
      </c>
      <c r="R584" t="n">
        <v>0</v>
      </c>
      <c r="S584" t="n">
        <v>0</v>
      </c>
      <c r="T584" t="n">
        <v>0</v>
      </c>
      <c r="U584" s="2" t="inlineStr"/>
    </row>
    <row r="585" ht="15" customHeight="1">
      <c r="A585" t="inlineStr">
        <is>
          <t>A 49144-2024</t>
        </is>
      </c>
      <c r="B585" t="inlineStr">
        <is>
          <t>avverkningsanmälan</t>
        </is>
      </c>
      <c r="C585" t="inlineStr">
        <is>
          <t>Föryngringsavverkning</t>
        </is>
      </c>
      <c r="D585" s="1" t="n">
        <v>45594</v>
      </c>
      <c r="E585" s="1" t="n">
        <v>46216</v>
      </c>
      <c r="F585" t="inlineStr">
        <is>
          <t>DALARNAS LÄN</t>
        </is>
      </c>
      <c r="G585" t="inlineStr">
        <is>
          <t>SMEDJEBACKEN</t>
        </is>
      </c>
      <c r="H585" t="inlineStr">
        <is>
          <t>Bergvik skog väst AB</t>
        </is>
      </c>
      <c r="I585" t="n">
        <v>16.9</v>
      </c>
      <c r="J585" t="n">
        <v>0</v>
      </c>
      <c r="K585" t="n">
        <v>0</v>
      </c>
      <c r="L585" t="n">
        <v>0</v>
      </c>
      <c r="M585" t="n">
        <v>0</v>
      </c>
      <c r="N585" t="n">
        <v>0</v>
      </c>
      <c r="O585" t="n">
        <v>0</v>
      </c>
      <c r="P585" t="n">
        <v>0</v>
      </c>
      <c r="Q585" t="n">
        <v>0</v>
      </c>
      <c r="R585" t="n">
        <v>0</v>
      </c>
      <c r="S585" t="n">
        <v>0</v>
      </c>
      <c r="T585" t="n">
        <v>0</v>
      </c>
      <c r="U585" s="2" t="inlineStr"/>
    </row>
    <row r="586" ht="15" customHeight="1">
      <c r="A586" t="inlineStr">
        <is>
          <t>A 24164-2025</t>
        </is>
      </c>
      <c r="B586" t="inlineStr">
        <is>
          <t>avverkningsanmälan</t>
        </is>
      </c>
      <c r="C586" t="inlineStr">
        <is>
          <t>Föryngringsavverkning</t>
        </is>
      </c>
      <c r="D586" s="1" t="n">
        <v>45796</v>
      </c>
      <c r="E586" s="1" t="n">
        <v>46216</v>
      </c>
      <c r="F586" t="inlineStr">
        <is>
          <t>DALARNAS LÄN</t>
        </is>
      </c>
      <c r="G586" t="inlineStr">
        <is>
          <t>SMEDJEBACKEN</t>
        </is>
      </c>
      <c r="H586" t="inlineStr">
        <is>
          <t>Övriga Aktiebolag</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658-2025</t>
        </is>
      </c>
      <c r="B587" t="inlineStr">
        <is>
          <t>avverkningsanmälan</t>
        </is>
      </c>
      <c r="C587" t="inlineStr">
        <is>
          <t>Föryngringsavverkning</t>
        </is>
      </c>
      <c r="D587" s="1" t="n">
        <v>45664</v>
      </c>
      <c r="E587" s="1" t="n">
        <v>46216</v>
      </c>
      <c r="F587" t="inlineStr">
        <is>
          <t>DALARNAS LÄN</t>
        </is>
      </c>
      <c r="G587" t="inlineStr">
        <is>
          <t>SMEDJEBACKEN</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24372-2025</t>
        </is>
      </c>
      <c r="B588" t="inlineStr">
        <is>
          <t>avverkningsanmälan</t>
        </is>
      </c>
      <c r="C588" t="inlineStr">
        <is>
          <t>Föryngringsavverkning</t>
        </is>
      </c>
      <c r="D588" s="1" t="n">
        <v>45797</v>
      </c>
      <c r="E588" s="1" t="n">
        <v>46216</v>
      </c>
      <c r="F588" t="inlineStr">
        <is>
          <t>DALARNAS LÄN</t>
        </is>
      </c>
      <c r="G588" t="inlineStr">
        <is>
          <t>SMEDJEBACKEN</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24262-2024</t>
        </is>
      </c>
      <c r="B589" t="inlineStr">
        <is>
          <t>avverkningsanmälan</t>
        </is>
      </c>
      <c r="C589" t="inlineStr">
        <is>
          <t>Avverkning för att bevara och utveckla /försöksver</t>
        </is>
      </c>
      <c r="D589" s="1" t="n">
        <v>45457</v>
      </c>
      <c r="E589" s="1" t="n">
        <v>46216</v>
      </c>
      <c r="F589" t="inlineStr">
        <is>
          <t>DALARNAS LÄN</t>
        </is>
      </c>
      <c r="G589" t="inlineStr">
        <is>
          <t>SMEDJEBACKEN</t>
        </is>
      </c>
      <c r="H589" t="inlineStr">
        <is>
          <t>Sveaskog</t>
        </is>
      </c>
      <c r="I589" t="n">
        <v>6</v>
      </c>
      <c r="J589" t="n">
        <v>0</v>
      </c>
      <c r="K589" t="n">
        <v>0</v>
      </c>
      <c r="L589" t="n">
        <v>0</v>
      </c>
      <c r="M589" t="n">
        <v>0</v>
      </c>
      <c r="N589" t="n">
        <v>0</v>
      </c>
      <c r="O589" t="n">
        <v>0</v>
      </c>
      <c r="P589" t="n">
        <v>0</v>
      </c>
      <c r="Q589" t="n">
        <v>0</v>
      </c>
      <c r="R589" t="n">
        <v>0</v>
      </c>
      <c r="S589" t="n">
        <v>0</v>
      </c>
      <c r="T589" t="n">
        <v>0</v>
      </c>
      <c r="U589" s="2" t="inlineStr"/>
    </row>
    <row r="590" ht="15" customHeight="1">
      <c r="A590" t="inlineStr">
        <is>
          <t>S 983-2022</t>
        </is>
      </c>
      <c r="B590" t="inlineStr">
        <is>
          <t>samrådsanmälan</t>
        </is>
      </c>
      <c r="C590" t="inlineStr">
        <is>
          <t>Skogsbilväg</t>
        </is>
      </c>
      <c r="D590" s="1" t="n">
        <v>44609</v>
      </c>
      <c r="E590" s="1" t="n">
        <v>46216</v>
      </c>
      <c r="F590" t="inlineStr">
        <is>
          <t>DALARNAS LÄN</t>
        </is>
      </c>
      <c r="G590" t="inlineStr">
        <is>
          <t>SMEDJEBACKEN</t>
        </is>
      </c>
      <c r="H590" t="inlineStr">
        <is>
          <t>Bergvik skog väst AB</t>
        </is>
      </c>
      <c r="I590" t="n">
        <v>1.9</v>
      </c>
      <c r="J590" t="n">
        <v>0</v>
      </c>
      <c r="K590" t="n">
        <v>0</v>
      </c>
      <c r="L590" t="n">
        <v>0</v>
      </c>
      <c r="M590" t="n">
        <v>0</v>
      </c>
      <c r="N590" t="n">
        <v>0</v>
      </c>
      <c r="O590" t="n">
        <v>0</v>
      </c>
      <c r="P590" t="n">
        <v>0</v>
      </c>
      <c r="Q590" t="n">
        <v>0</v>
      </c>
      <c r="R590" t="n">
        <v>0</v>
      </c>
      <c r="S590" t="n">
        <v>0</v>
      </c>
      <c r="T590" t="n">
        <v>0</v>
      </c>
      <c r="U590" s="2" t="inlineStr"/>
    </row>
    <row r="591" ht="15" customHeight="1">
      <c r="A591" t="inlineStr">
        <is>
          <t>S 4717-2024</t>
        </is>
      </c>
      <c r="B591" t="inlineStr">
        <is>
          <t>samrådsanmälan</t>
        </is>
      </c>
      <c r="C591" t="inlineStr">
        <is>
          <t>Annan skogsbruksåtgärd</t>
        </is>
      </c>
      <c r="D591" s="1" t="n">
        <v>45607</v>
      </c>
      <c r="E591" s="1" t="n">
        <v>46216</v>
      </c>
      <c r="F591" t="inlineStr">
        <is>
          <t>DALARNAS LÄN</t>
        </is>
      </c>
      <c r="G591" t="inlineStr">
        <is>
          <t>SMEDJEBACKEN</t>
        </is>
      </c>
      <c r="H591" t="inlineStr">
        <is>
          <t>Bergvik skog väst AB</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S 5042-2021</t>
        </is>
      </c>
      <c r="B592" t="inlineStr">
        <is>
          <t>samrådsanmälan</t>
        </is>
      </c>
      <c r="C592" t="inlineStr">
        <is>
          <t>Skogsbilväg</t>
        </is>
      </c>
      <c r="D592" s="1" t="n">
        <v>44420</v>
      </c>
      <c r="E592" s="1" t="n">
        <v>46216</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S 9265-2021</t>
        </is>
      </c>
      <c r="B593" t="inlineStr">
        <is>
          <t>samrådsanmälan</t>
        </is>
      </c>
      <c r="C593" t="inlineStr">
        <is>
          <t>Annan skogsbruksåtgärd</t>
        </is>
      </c>
      <c r="D593" s="1" t="n">
        <v>44517</v>
      </c>
      <c r="E593" s="1" t="n">
        <v>46216</v>
      </c>
      <c r="F593" t="inlineStr">
        <is>
          <t>DALARNAS LÄN</t>
        </is>
      </c>
      <c r="G593" t="inlineStr">
        <is>
          <t>SMEDJEBACKEN</t>
        </is>
      </c>
      <c r="H593" t="inlineStr">
        <is>
          <t>Bergvik skog väst AB</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S 9266-2021</t>
        </is>
      </c>
      <c r="B594" t="inlineStr">
        <is>
          <t>samrådsanmälan</t>
        </is>
      </c>
      <c r="C594" t="inlineStr">
        <is>
          <t>Annan skogsbruksåtgärd</t>
        </is>
      </c>
      <c r="D594" s="1" t="n">
        <v>44517</v>
      </c>
      <c r="E594" s="1" t="n">
        <v>46216</v>
      </c>
      <c r="F594" t="inlineStr">
        <is>
          <t>DALARNAS LÄN</t>
        </is>
      </c>
      <c r="G594" t="inlineStr">
        <is>
          <t>SMEDJEBACKEN</t>
        </is>
      </c>
      <c r="H594" t="inlineStr">
        <is>
          <t>Bergvik skog väst AB</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S 3505-2024</t>
        </is>
      </c>
      <c r="B595" t="inlineStr">
        <is>
          <t>samrådsanmälan</t>
        </is>
      </c>
      <c r="C595" t="inlineStr">
        <is>
          <t>Annan skogsbruksåtgärd</t>
        </is>
      </c>
      <c r="D595" s="1" t="n">
        <v>45540</v>
      </c>
      <c r="E595" s="1" t="n">
        <v>46216</v>
      </c>
      <c r="F595" t="inlineStr">
        <is>
          <t>DALARNAS LÄN</t>
        </is>
      </c>
      <c r="G595" t="inlineStr">
        <is>
          <t>SMEDJEBACKEN</t>
        </is>
      </c>
      <c r="H595" t="inlineStr">
        <is>
          <t>Bergvik skog väst AB</t>
        </is>
      </c>
      <c r="I595" t="n">
        <v>9.800000000000001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S 9267-2021</t>
        </is>
      </c>
      <c r="B596" t="inlineStr">
        <is>
          <t>samrådsanmälan</t>
        </is>
      </c>
      <c r="C596" t="inlineStr">
        <is>
          <t>Annan skogsbruksåtgärd</t>
        </is>
      </c>
      <c r="D596" s="1" t="n">
        <v>44517</v>
      </c>
      <c r="E596" s="1" t="n">
        <v>46216</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S 2340-2022</t>
        </is>
      </c>
      <c r="B597" t="inlineStr">
        <is>
          <t>samrådsanmälan</t>
        </is>
      </c>
      <c r="C597" t="inlineStr">
        <is>
          <t>Skogsbilväg</t>
        </is>
      </c>
      <c r="D597" s="1" t="n">
        <v>44686</v>
      </c>
      <c r="E597" s="1" t="n">
        <v>46216</v>
      </c>
      <c r="F597" t="inlineStr">
        <is>
          <t>DALARNAS LÄN</t>
        </is>
      </c>
      <c r="G597" t="inlineStr">
        <is>
          <t>SMEDJEBACKEN</t>
        </is>
      </c>
      <c r="H597" t="inlineStr">
        <is>
          <t>Övriga Aktiebolag</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S 2224-2025</t>
        </is>
      </c>
      <c r="B598" t="inlineStr">
        <is>
          <t>samrådsanmälan</t>
        </is>
      </c>
      <c r="C598" t="inlineStr">
        <is>
          <t>Annan skogsbruksåtgärd</t>
        </is>
      </c>
      <c r="D598" s="1" t="n">
        <v>45867</v>
      </c>
      <c r="E598" s="1" t="n">
        <v>46216</v>
      </c>
      <c r="F598" t="inlineStr">
        <is>
          <t>DALARNAS LÄN</t>
        </is>
      </c>
      <c r="G598" t="inlineStr">
        <is>
          <t>SMEDJEBACKEN</t>
        </is>
      </c>
      <c r="H598" t="inlineStr">
        <is>
          <t>Sveaskog</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S 2225-2025</t>
        </is>
      </c>
      <c r="B599" t="inlineStr">
        <is>
          <t>samrådsanmälan</t>
        </is>
      </c>
      <c r="C599" t="inlineStr">
        <is>
          <t>Annan skogsbruksåtgärd</t>
        </is>
      </c>
      <c r="D599" s="1" t="n">
        <v>45867</v>
      </c>
      <c r="E599" s="1" t="n">
        <v>46216</v>
      </c>
      <c r="F599" t="inlineStr">
        <is>
          <t>DALARNAS LÄN</t>
        </is>
      </c>
      <c r="G599" t="inlineStr">
        <is>
          <t>SMEDJEBACKEN</t>
        </is>
      </c>
      <c r="H599" t="inlineStr">
        <is>
          <t>Sveaskog</t>
        </is>
      </c>
      <c r="I599" t="n">
        <v>2.6</v>
      </c>
      <c r="J599" t="n">
        <v>0</v>
      </c>
      <c r="K599" t="n">
        <v>0</v>
      </c>
      <c r="L599" t="n">
        <v>0</v>
      </c>
      <c r="M599" t="n">
        <v>0</v>
      </c>
      <c r="N599" t="n">
        <v>0</v>
      </c>
      <c r="O599" t="n">
        <v>0</v>
      </c>
      <c r="P599" t="n">
        <v>0</v>
      </c>
      <c r="Q599" t="n">
        <v>0</v>
      </c>
      <c r="R599" t="n">
        <v>0</v>
      </c>
      <c r="S599" t="n">
        <v>0</v>
      </c>
      <c r="T599" t="n">
        <v>0</v>
      </c>
      <c r="U599" s="2" t="inlineStr"/>
    </row>
    <row r="600" ht="15" customHeight="1">
      <c r="A600" t="inlineStr">
        <is>
          <t>S 2379-2025</t>
        </is>
      </c>
      <c r="B600" t="inlineStr">
        <is>
          <t>samrådsanmälan</t>
        </is>
      </c>
      <c r="C600" t="inlineStr">
        <is>
          <t>Annan skogsbruksåtgärd</t>
        </is>
      </c>
      <c r="D600" s="1" t="n">
        <v>45891</v>
      </c>
      <c r="E600" s="1" t="n">
        <v>46216</v>
      </c>
      <c r="F600" t="inlineStr">
        <is>
          <t>DALARNAS LÄN</t>
        </is>
      </c>
      <c r="G600" t="inlineStr">
        <is>
          <t>SMEDJEBACKEN</t>
        </is>
      </c>
      <c r="H600" t="inlineStr">
        <is>
          <t>Sveaskog</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S 2879-2025</t>
        </is>
      </c>
      <c r="B601" t="inlineStr">
        <is>
          <t>samrådsanmälan</t>
        </is>
      </c>
      <c r="C601" t="inlineStr">
        <is>
          <t>Annan skogsbruksåtgärd</t>
        </is>
      </c>
      <c r="D601" s="1" t="n">
        <v>45945</v>
      </c>
      <c r="E601" s="1" t="n">
        <v>46216</v>
      </c>
      <c r="F601" t="inlineStr">
        <is>
          <t>DALARNAS LÄN</t>
        </is>
      </c>
      <c r="G601" t="inlineStr">
        <is>
          <t>SMEDJEBACKEN</t>
        </is>
      </c>
      <c r="H601" t="inlineStr">
        <is>
          <t>Bergvik skog väst AB</t>
        </is>
      </c>
      <c r="I601" t="n">
        <v>4.8</v>
      </c>
      <c r="J601" t="n">
        <v>0</v>
      </c>
      <c r="K601" t="n">
        <v>0</v>
      </c>
      <c r="L601" t="n">
        <v>0</v>
      </c>
      <c r="M601" t="n">
        <v>0</v>
      </c>
      <c r="N601" t="n">
        <v>0</v>
      </c>
      <c r="O601" t="n">
        <v>0</v>
      </c>
      <c r="P601" t="n">
        <v>0</v>
      </c>
      <c r="Q601" t="n">
        <v>0</v>
      </c>
      <c r="R601" t="n">
        <v>0</v>
      </c>
      <c r="S601" t="n">
        <v>0</v>
      </c>
      <c r="T601" t="n">
        <v>0</v>
      </c>
      <c r="U601" s="2" t="inlineStr"/>
    </row>
    <row r="602" ht="15" customHeight="1">
      <c r="A602" t="inlineStr">
        <is>
          <t>S 2880-2025</t>
        </is>
      </c>
      <c r="B602" t="inlineStr">
        <is>
          <t>samrådsanmälan</t>
        </is>
      </c>
      <c r="C602" t="inlineStr">
        <is>
          <t>Annan skogsbruksåtgärd</t>
        </is>
      </c>
      <c r="D602" s="1" t="n">
        <v>45945</v>
      </c>
      <c r="E602" s="1" t="n">
        <v>46216</v>
      </c>
      <c r="F602" t="inlineStr">
        <is>
          <t>DALARNAS LÄN</t>
        </is>
      </c>
      <c r="G602" t="inlineStr">
        <is>
          <t>SMEDJEBACKEN</t>
        </is>
      </c>
      <c r="H602" t="inlineStr">
        <is>
          <t>Bergvik skog väst AB</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S 2904-2025</t>
        </is>
      </c>
      <c r="B603" t="inlineStr">
        <is>
          <t>samrådsanmälan</t>
        </is>
      </c>
      <c r="C603" t="inlineStr">
        <is>
          <t>Annan skogsbruksåtgärd</t>
        </is>
      </c>
      <c r="D603" s="1" t="n">
        <v>45947</v>
      </c>
      <c r="E603" s="1" t="n">
        <v>46216</v>
      </c>
      <c r="F603" t="inlineStr">
        <is>
          <t>DALARNAS LÄN</t>
        </is>
      </c>
      <c r="G603" t="inlineStr">
        <is>
          <t>SMEDJEBACKEN</t>
        </is>
      </c>
      <c r="H603" t="inlineStr">
        <is>
          <t>Sveaskog</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S 2906-2025</t>
        </is>
      </c>
      <c r="B604" t="inlineStr">
        <is>
          <t>samrådsanmälan</t>
        </is>
      </c>
      <c r="C604" t="inlineStr">
        <is>
          <t>Annan skogsbruksåtgärd</t>
        </is>
      </c>
      <c r="D604" s="1" t="n">
        <v>45947</v>
      </c>
      <c r="E604" s="1" t="n">
        <v>46216</v>
      </c>
      <c r="F604" t="inlineStr">
        <is>
          <t>DALARNAS LÄN</t>
        </is>
      </c>
      <c r="G604" t="inlineStr">
        <is>
          <t>SMEDJEBACKEN</t>
        </is>
      </c>
      <c r="H604" t="inlineStr">
        <is>
          <t>Sveaskog</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S 2909-2025</t>
        </is>
      </c>
      <c r="B605" t="inlineStr">
        <is>
          <t>samrådsanmälan</t>
        </is>
      </c>
      <c r="C605" t="inlineStr">
        <is>
          <t>Annan skogsbruksåtgärd</t>
        </is>
      </c>
      <c r="D605" s="1" t="n">
        <v>45947</v>
      </c>
      <c r="E605" s="1" t="n">
        <v>46216</v>
      </c>
      <c r="F605" t="inlineStr">
        <is>
          <t>DALARNAS LÄN</t>
        </is>
      </c>
      <c r="G605" t="inlineStr">
        <is>
          <t>SMEDJEBACKEN</t>
        </is>
      </c>
      <c r="H605" t="inlineStr">
        <is>
          <t>Sveaskog</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S 2905-2025</t>
        </is>
      </c>
      <c r="B606" t="inlineStr">
        <is>
          <t>samrådsanmälan</t>
        </is>
      </c>
      <c r="C606" t="inlineStr">
        <is>
          <t>Annan skogsbruksåtgärd</t>
        </is>
      </c>
      <c r="D606" s="1" t="n">
        <v>45947</v>
      </c>
      <c r="E606" s="1" t="n">
        <v>46216</v>
      </c>
      <c r="F606" t="inlineStr">
        <is>
          <t>DALARNAS LÄN</t>
        </is>
      </c>
      <c r="G606" t="inlineStr">
        <is>
          <t>SMEDJEBACKEN</t>
        </is>
      </c>
      <c r="H606" t="inlineStr">
        <is>
          <t>Sveaskog</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S 2910-2025</t>
        </is>
      </c>
      <c r="B607" t="inlineStr">
        <is>
          <t>samrådsanmälan</t>
        </is>
      </c>
      <c r="C607" t="inlineStr">
        <is>
          <t>Annan skogsbruksåtgärd</t>
        </is>
      </c>
      <c r="D607" s="1" t="n">
        <v>45947</v>
      </c>
      <c r="E607" s="1" t="n">
        <v>46216</v>
      </c>
      <c r="F607" t="inlineStr">
        <is>
          <t>DALARNAS LÄN</t>
        </is>
      </c>
      <c r="G607" t="inlineStr">
        <is>
          <t>SMEDJEBACKEN</t>
        </is>
      </c>
      <c r="H607" t="inlineStr">
        <is>
          <t>Sveaskog</t>
        </is>
      </c>
      <c r="I607" t="n">
        <v>1.6</v>
      </c>
      <c r="J607" t="n">
        <v>0</v>
      </c>
      <c r="K607" t="n">
        <v>0</v>
      </c>
      <c r="L607" t="n">
        <v>0</v>
      </c>
      <c r="M607" t="n">
        <v>0</v>
      </c>
      <c r="N607" t="n">
        <v>0</v>
      </c>
      <c r="O607" t="n">
        <v>0</v>
      </c>
      <c r="P607" t="n">
        <v>0</v>
      </c>
      <c r="Q607" t="n">
        <v>0</v>
      </c>
      <c r="R607" t="n">
        <v>0</v>
      </c>
      <c r="S607" t="n">
        <v>0</v>
      </c>
      <c r="T607" t="n">
        <v>0</v>
      </c>
      <c r="U607" s="2" t="inlineStr"/>
    </row>
    <row r="608" ht="15" customHeight="1">
      <c r="A608" t="inlineStr">
        <is>
          <t>S 3278-2025</t>
        </is>
      </c>
      <c r="B608" t="inlineStr">
        <is>
          <t>samrådsanmälan</t>
        </is>
      </c>
      <c r="C608" t="inlineStr">
        <is>
          <t>Annan skogsbruksåtgärd</t>
        </is>
      </c>
      <c r="D608" s="1" t="n">
        <v>45985</v>
      </c>
      <c r="E608" s="1" t="n">
        <v>46216</v>
      </c>
      <c r="F608" t="inlineStr">
        <is>
          <t>DALARNAS LÄN</t>
        </is>
      </c>
      <c r="G608" t="inlineStr">
        <is>
          <t>SMEDJEBACKEN</t>
        </is>
      </c>
      <c r="H608" t="inlineStr">
        <is>
          <t>Bergvik skog väst AB</t>
        </is>
      </c>
      <c r="I608" t="n">
        <v>0.9</v>
      </c>
      <c r="J608" t="n">
        <v>0</v>
      </c>
      <c r="K608" t="n">
        <v>0</v>
      </c>
      <c r="L608" t="n">
        <v>0</v>
      </c>
      <c r="M608" t="n">
        <v>0</v>
      </c>
      <c r="N608" t="n">
        <v>0</v>
      </c>
      <c r="O608" t="n">
        <v>0</v>
      </c>
      <c r="P608" t="n">
        <v>0</v>
      </c>
      <c r="Q608" t="n">
        <v>0</v>
      </c>
      <c r="R608" t="n">
        <v>0</v>
      </c>
      <c r="S608" t="n">
        <v>0</v>
      </c>
      <c r="T608" t="n">
        <v>0</v>
      </c>
      <c r="U608" s="2" t="inlineStr"/>
    </row>
    <row r="609" ht="15" customHeight="1">
      <c r="A609" t="inlineStr">
        <is>
          <t>S 1872-2026</t>
        </is>
      </c>
      <c r="B609" t="inlineStr">
        <is>
          <t>samrådsanmälan</t>
        </is>
      </c>
      <c r="C609" t="inlineStr">
        <is>
          <t>Annan skogsbruksåtgärd</t>
        </is>
      </c>
      <c r="D609" s="1" t="n">
        <v>46199</v>
      </c>
      <c r="E609" s="1" t="n">
        <v>46216</v>
      </c>
      <c r="F609" t="inlineStr">
        <is>
          <t>DALARNAS LÄN</t>
        </is>
      </c>
      <c r="G609" t="inlineStr">
        <is>
          <t>SMEDJEBACKEN</t>
        </is>
      </c>
      <c r="H609" t="inlineStr">
        <is>
          <t>Sveaskog</t>
        </is>
      </c>
      <c r="I609" t="n">
        <v>2.3</v>
      </c>
      <c r="J609" t="n">
        <v>0</v>
      </c>
      <c r="K609" t="n">
        <v>0</v>
      </c>
      <c r="L609" t="n">
        <v>0</v>
      </c>
      <c r="M609" t="n">
        <v>0</v>
      </c>
      <c r="N609" t="n">
        <v>0</v>
      </c>
      <c r="O609" t="n">
        <v>0</v>
      </c>
      <c r="P609" t="n">
        <v>0</v>
      </c>
      <c r="Q609" t="n">
        <v>0</v>
      </c>
      <c r="R609" t="n">
        <v>0</v>
      </c>
      <c r="S609" t="n">
        <v>0</v>
      </c>
      <c r="T609" t="n">
        <v>0</v>
      </c>
      <c r="U609" s="2" t="inlineStr"/>
    </row>
    <row r="610">
      <c r="A610" t="inlineStr">
        <is>
          <t>S 1469-2026</t>
        </is>
      </c>
      <c r="B610" t="inlineStr">
        <is>
          <t>samrådsanmälan</t>
        </is>
      </c>
      <c r="C610" t="inlineStr">
        <is>
          <t>Annan skogsbruksåtgärd</t>
        </is>
      </c>
      <c r="D610" s="1" t="n">
        <v>46162</v>
      </c>
      <c r="E610" s="1" t="n">
        <v>46216</v>
      </c>
      <c r="F610" t="inlineStr">
        <is>
          <t>DALARNAS LÄN</t>
        </is>
      </c>
      <c r="G610" t="inlineStr">
        <is>
          <t>SMEDJEBACKEN</t>
        </is>
      </c>
      <c r="H610" t="inlineStr">
        <is>
          <t>Sveaskog</t>
        </is>
      </c>
      <c r="I610" t="n">
        <v>1.4</v>
      </c>
      <c r="J610" t="n">
        <v>0</v>
      </c>
      <c r="K610" t="n">
        <v>0</v>
      </c>
      <c r="L610" t="n">
        <v>0</v>
      </c>
      <c r="M610" t="n">
        <v>0</v>
      </c>
      <c r="N610" t="n">
        <v>0</v>
      </c>
      <c r="O610" t="n">
        <v>0</v>
      </c>
      <c r="P610" t="n">
        <v>0</v>
      </c>
      <c r="Q610" t="n">
        <v>0</v>
      </c>
      <c r="R610" t="n">
        <v>0</v>
      </c>
      <c r="S610" t="n">
        <v>0</v>
      </c>
      <c r="T610" t="n">
        <v>0</v>
      </c>
      <c r="U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2026-07-13T14:53:12Z</dcterms:created>
  <dcterms:modified xmlns:dcterms="http://purl.org/dc/terms/" xmlns:xsi="http://www.w3.org/2001/XMLSchema-instance" xsi:type="dcterms:W3CDTF">2026-07-13T14:53:13Z</dcterms:modified>
</cp:coreProperties>
</file>