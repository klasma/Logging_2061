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9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45719-2021</t>
        </is>
      </c>
      <c r="B2" s="1" t="n">
        <v>44441</v>
      </c>
      <c r="C2" s="1" t="n">
        <v>46186</v>
      </c>
      <c r="D2" t="inlineStr">
        <is>
          <t>DALARNAS LÄN</t>
        </is>
      </c>
      <c r="E2" t="inlineStr">
        <is>
          <t>SMEDJEBACKEN</t>
        </is>
      </c>
      <c r="F2" t="inlineStr">
        <is>
          <t>Övriga Aktiebolag</t>
        </is>
      </c>
      <c r="G2" t="n">
        <v>7.2</v>
      </c>
      <c r="H2" t="n">
        <v>6</v>
      </c>
      <c r="I2" t="n">
        <v>10</v>
      </c>
      <c r="J2" t="n">
        <v>5</v>
      </c>
      <c r="K2" t="n">
        <v>0</v>
      </c>
      <c r="L2" t="n">
        <v>0</v>
      </c>
      <c r="M2" t="n">
        <v>0</v>
      </c>
      <c r="N2" t="n">
        <v>0</v>
      </c>
      <c r="O2" t="n">
        <v>5</v>
      </c>
      <c r="P2" t="n">
        <v>0</v>
      </c>
      <c r="Q2" t="n">
        <v>18</v>
      </c>
      <c r="R2" s="2" t="inlineStr">
        <is>
          <t>Mindre hackspett
Nordfladdermus
Stjärntagging
Talltita
Ullticka
Björksplintborre
Bronshjon
Mindre märgborre
Skogshakmossa
Stubbspretmossa
Thomsons trägnagare
Trådfräken
Trådticka
Vedticka
Vågbandad barkbock
Vattenfladdermus
Mattlummer
Revlummer</t>
        </is>
      </c>
      <c r="S2">
        <f>HYPERLINK("https://klasma.github.io/Logging_2061/artfynd/A 45719-2021 artfynd.xlsx", "A 45719-2021")</f>
        <v/>
      </c>
      <c r="T2">
        <f>HYPERLINK("https://klasma.github.io/Logging_2061/kartor/A 45719-2021 karta.png", "A 45719-2021")</f>
        <v/>
      </c>
      <c r="V2">
        <f>HYPERLINK("https://klasma.github.io/Logging_2061/klagomål/A 45719-2021 FSC-klagomål.docx", "A 45719-2021")</f>
        <v/>
      </c>
      <c r="W2">
        <f>HYPERLINK("https://klasma.github.io/Logging_2061/klagomålsmail/A 45719-2021 FSC-klagomål mail.docx", "A 45719-2021")</f>
        <v/>
      </c>
      <c r="X2">
        <f>HYPERLINK("https://klasma.github.io/Logging_2061/tillsyn/A 45719-2021 tillsynsbegäran.docx", "A 45719-2021")</f>
        <v/>
      </c>
      <c r="Y2">
        <f>HYPERLINK("https://klasma.github.io/Logging_2061/tillsynsmail/A 45719-2021 tillsynsbegäran mail.docx", "A 45719-2021")</f>
        <v/>
      </c>
      <c r="Z2">
        <f>HYPERLINK("https://klasma.github.io/Logging_2061/fåglar/A 45719-2021 prioriterade fågelarter.docx", "A 45719-2021")</f>
        <v/>
      </c>
    </row>
    <row r="3" ht="15" customHeight="1">
      <c r="A3" t="inlineStr">
        <is>
          <t>A 36532-2025</t>
        </is>
      </c>
      <c r="B3" s="1" t="n">
        <v>45869</v>
      </c>
      <c r="C3" s="1" t="n">
        <v>46186</v>
      </c>
      <c r="D3" t="inlineStr">
        <is>
          <t>DALARNAS LÄN</t>
        </is>
      </c>
      <c r="E3" t="inlineStr">
        <is>
          <t>SMEDJEBACKEN</t>
        </is>
      </c>
      <c r="G3" t="n">
        <v>1.6</v>
      </c>
      <c r="H3" t="n">
        <v>1</v>
      </c>
      <c r="I3" t="n">
        <v>9</v>
      </c>
      <c r="J3" t="n">
        <v>4</v>
      </c>
      <c r="K3" t="n">
        <v>3</v>
      </c>
      <c r="L3" t="n">
        <v>0</v>
      </c>
      <c r="M3" t="n">
        <v>0</v>
      </c>
      <c r="N3" t="n">
        <v>0</v>
      </c>
      <c r="O3" t="n">
        <v>7</v>
      </c>
      <c r="P3" t="n">
        <v>3</v>
      </c>
      <c r="Q3" t="n">
        <v>16</v>
      </c>
      <c r="R3" s="2" t="inlineStr">
        <is>
          <t>Gyllenfingersvamp
Knärot
Läderdoftande fingersvamp
Barrpraktbagge
Druvfingersvampar
Grantaggsvamp
Persiljespindling
Dropptaggsvamp
Fjällig taggsvamp s.str.
Granbarkgnagare
Gulgrön kantmusseron
Olivspindling
Skarp dropptaggsvamp
Svavelriska
Thomsons trägnagare
Vågbandad barkbock</t>
        </is>
      </c>
      <c r="S3">
        <f>HYPERLINK("https://klasma.github.io/Logging_2061/artfynd/A 36532-2025 artfynd.xlsx", "A 36532-2025")</f>
        <v/>
      </c>
      <c r="T3">
        <f>HYPERLINK("https://klasma.github.io/Logging_2061/kartor/A 36532-2025 karta.png", "A 36532-2025")</f>
        <v/>
      </c>
      <c r="U3">
        <f>HYPERLINK("https://klasma.github.io/Logging_2061/knärot/A 36532-2025 karta knärot.png", "A 36532-2025")</f>
        <v/>
      </c>
      <c r="V3">
        <f>HYPERLINK("https://klasma.github.io/Logging_2061/klagomål/A 36532-2025 FSC-klagomål.docx", "A 36532-2025")</f>
        <v/>
      </c>
      <c r="W3">
        <f>HYPERLINK("https://klasma.github.io/Logging_2061/klagomålsmail/A 36532-2025 FSC-klagomål mail.docx", "A 36532-2025")</f>
        <v/>
      </c>
      <c r="X3">
        <f>HYPERLINK("https://klasma.github.io/Logging_2061/tillsyn/A 36532-2025 tillsynsbegäran.docx", "A 36532-2025")</f>
        <v/>
      </c>
      <c r="Y3">
        <f>HYPERLINK("https://klasma.github.io/Logging_2061/tillsynsmail/A 36532-2025 tillsynsbegäran mail.docx", "A 36532-2025")</f>
        <v/>
      </c>
    </row>
    <row r="4" ht="15" customHeight="1">
      <c r="A4" t="inlineStr">
        <is>
          <t>A 57321-2024</t>
        </is>
      </c>
      <c r="B4" s="1" t="n">
        <v>45629</v>
      </c>
      <c r="C4" s="1" t="n">
        <v>46186</v>
      </c>
      <c r="D4" t="inlineStr">
        <is>
          <t>DALARNAS LÄN</t>
        </is>
      </c>
      <c r="E4" t="inlineStr">
        <is>
          <t>SMEDJEBACKEN</t>
        </is>
      </c>
      <c r="F4" t="inlineStr">
        <is>
          <t>Bergvik skog väst AB</t>
        </is>
      </c>
      <c r="G4" t="n">
        <v>4.1</v>
      </c>
      <c r="H4" t="n">
        <v>3</v>
      </c>
      <c r="I4" t="n">
        <v>5</v>
      </c>
      <c r="J4" t="n">
        <v>4</v>
      </c>
      <c r="K4" t="n">
        <v>2</v>
      </c>
      <c r="L4" t="n">
        <v>0</v>
      </c>
      <c r="M4" t="n">
        <v>0</v>
      </c>
      <c r="N4" t="n">
        <v>0</v>
      </c>
      <c r="O4" t="n">
        <v>6</v>
      </c>
      <c r="P4" t="n">
        <v>2</v>
      </c>
      <c r="Q4" t="n">
        <v>13</v>
      </c>
      <c r="R4" s="2" t="inlineStr">
        <is>
          <t>Knärot
Rynkskinn
Dofttaggsvamp
Gul taggsvamp
Rovspindling
Vedtrappmossa
Bollvitmossa
Svavelriska
Tibast
Trådticka
Vårärt
Fläcknycklar
Blåsippa</t>
        </is>
      </c>
      <c r="S4">
        <f>HYPERLINK("https://klasma.github.io/Logging_2061/artfynd/A 57321-2024 artfynd.xlsx", "A 57321-2024")</f>
        <v/>
      </c>
      <c r="T4">
        <f>HYPERLINK("https://klasma.github.io/Logging_2061/kartor/A 57321-2024 karta.png", "A 57321-2024")</f>
        <v/>
      </c>
      <c r="U4">
        <f>HYPERLINK("https://klasma.github.io/Logging_2061/knärot/A 57321-2024 karta knärot.png", "A 57321-2024")</f>
        <v/>
      </c>
      <c r="V4">
        <f>HYPERLINK("https://klasma.github.io/Logging_2061/klagomål/A 57321-2024 FSC-klagomål.docx", "A 57321-2024")</f>
        <v/>
      </c>
      <c r="W4">
        <f>HYPERLINK("https://klasma.github.io/Logging_2061/klagomålsmail/A 57321-2024 FSC-klagomål mail.docx", "A 57321-2024")</f>
        <v/>
      </c>
      <c r="X4">
        <f>HYPERLINK("https://klasma.github.io/Logging_2061/tillsyn/A 57321-2024 tillsynsbegäran.docx", "A 57321-2024")</f>
        <v/>
      </c>
      <c r="Y4">
        <f>HYPERLINK("https://klasma.github.io/Logging_2061/tillsynsmail/A 57321-2024 tillsynsbegäran mail.docx", "A 57321-2024")</f>
        <v/>
      </c>
    </row>
    <row r="5" ht="15" customHeight="1">
      <c r="A5" t="inlineStr">
        <is>
          <t>A 42272-2021</t>
        </is>
      </c>
      <c r="B5" s="1" t="n">
        <v>44426</v>
      </c>
      <c r="C5" s="1" t="n">
        <v>46186</v>
      </c>
      <c r="D5" t="inlineStr">
        <is>
          <t>DALARNAS LÄN</t>
        </is>
      </c>
      <c r="E5" t="inlineStr">
        <is>
          <t>SMEDJEBACKEN</t>
        </is>
      </c>
      <c r="F5" t="inlineStr">
        <is>
          <t>Bergvik skog väst AB</t>
        </is>
      </c>
      <c r="G5" t="n">
        <v>23.7</v>
      </c>
      <c r="H5" t="n">
        <v>3</v>
      </c>
      <c r="I5" t="n">
        <v>5</v>
      </c>
      <c r="J5" t="n">
        <v>1</v>
      </c>
      <c r="K5" t="n">
        <v>1</v>
      </c>
      <c r="L5" t="n">
        <v>0</v>
      </c>
      <c r="M5" t="n">
        <v>0</v>
      </c>
      <c r="N5" t="n">
        <v>0</v>
      </c>
      <c r="O5" t="n">
        <v>4</v>
      </c>
      <c r="P5" t="n">
        <v>1</v>
      </c>
      <c r="Q5" t="n">
        <v>11</v>
      </c>
      <c r="R5" s="2" t="inlineStr">
        <is>
          <t>Knärot
Stjärntagging
Mörk kådsvartspik
Röd kådsvartspik
Bronshjon
Jättesvampmal
Kattfotslav
Rostfläck
Vedticka
Kungsfågel
Sångsvan</t>
        </is>
      </c>
      <c r="S5">
        <f>HYPERLINK("https://klasma.github.io/Logging_2061/artfynd/A 42272-2021 artfynd.xlsx", "A 42272-2021")</f>
        <v/>
      </c>
      <c r="T5">
        <f>HYPERLINK("https://klasma.github.io/Logging_2061/kartor/A 42272-2021 karta.png", "A 42272-2021")</f>
        <v/>
      </c>
      <c r="U5">
        <f>HYPERLINK("https://klasma.github.io/Logging_2061/knärot/A 42272-2021 karta knärot.png", "A 42272-2021")</f>
        <v/>
      </c>
      <c r="V5">
        <f>HYPERLINK("https://klasma.github.io/Logging_2061/klagomål/A 42272-2021 FSC-klagomål.docx", "A 42272-2021")</f>
        <v/>
      </c>
      <c r="W5">
        <f>HYPERLINK("https://klasma.github.io/Logging_2061/klagomålsmail/A 42272-2021 FSC-klagomål mail.docx", "A 42272-2021")</f>
        <v/>
      </c>
      <c r="X5">
        <f>HYPERLINK("https://klasma.github.io/Logging_2061/tillsyn/A 42272-2021 tillsynsbegäran.docx", "A 42272-2021")</f>
        <v/>
      </c>
      <c r="Y5">
        <f>HYPERLINK("https://klasma.github.io/Logging_2061/tillsynsmail/A 42272-2021 tillsynsbegäran mail.docx", "A 42272-2021")</f>
        <v/>
      </c>
      <c r="Z5">
        <f>HYPERLINK("https://klasma.github.io/Logging_2061/fåglar/A 42272-2021 prioriterade fågelarter.docx", "A 42272-2021")</f>
        <v/>
      </c>
    </row>
    <row r="6" ht="15" customHeight="1">
      <c r="A6" t="inlineStr">
        <is>
          <t>A 49765-2022</t>
        </is>
      </c>
      <c r="B6" s="1" t="n">
        <v>44859</v>
      </c>
      <c r="C6" s="1" t="n">
        <v>46186</v>
      </c>
      <c r="D6" t="inlineStr">
        <is>
          <t>DALARNAS LÄN</t>
        </is>
      </c>
      <c r="E6" t="inlineStr">
        <is>
          <t>SMEDJEBACKEN</t>
        </is>
      </c>
      <c r="G6" t="n">
        <v>6.3</v>
      </c>
      <c r="H6" t="n">
        <v>4</v>
      </c>
      <c r="I6" t="n">
        <v>0</v>
      </c>
      <c r="J6" t="n">
        <v>3</v>
      </c>
      <c r="K6" t="n">
        <v>4</v>
      </c>
      <c r="L6" t="n">
        <v>0</v>
      </c>
      <c r="M6" t="n">
        <v>0</v>
      </c>
      <c r="N6" t="n">
        <v>0</v>
      </c>
      <c r="O6" t="n">
        <v>7</v>
      </c>
      <c r="P6" t="n">
        <v>4</v>
      </c>
      <c r="Q6" t="n">
        <v>9</v>
      </c>
      <c r="R6" s="2" t="inlineStr">
        <is>
          <t>Knärot
Läderdoftande fingersvamp
Rynkskinn
Vågticka
Druvfingersvampar
Gultoppig fingersvamp
Tretåig hackspett
Nattviol
Blåsippa</t>
        </is>
      </c>
      <c r="S6">
        <f>HYPERLINK("https://klasma.github.io/Logging_2061/artfynd/A 49765-2022 artfynd.xlsx", "A 49765-2022")</f>
        <v/>
      </c>
      <c r="T6">
        <f>HYPERLINK("https://klasma.github.io/Logging_2061/kartor/A 49765-2022 karta.png", "A 49765-2022")</f>
        <v/>
      </c>
      <c r="U6">
        <f>HYPERLINK("https://klasma.github.io/Logging_2061/knärot/A 49765-2022 karta knärot.png", "A 49765-2022")</f>
        <v/>
      </c>
      <c r="V6">
        <f>HYPERLINK("https://klasma.github.io/Logging_2061/klagomål/A 49765-2022 FSC-klagomål.docx", "A 49765-2022")</f>
        <v/>
      </c>
      <c r="W6">
        <f>HYPERLINK("https://klasma.github.io/Logging_2061/klagomålsmail/A 49765-2022 FSC-klagomål mail.docx", "A 49765-2022")</f>
        <v/>
      </c>
      <c r="X6">
        <f>HYPERLINK("https://klasma.github.io/Logging_2061/tillsyn/A 49765-2022 tillsynsbegäran.docx", "A 49765-2022")</f>
        <v/>
      </c>
      <c r="Y6">
        <f>HYPERLINK("https://klasma.github.io/Logging_2061/tillsynsmail/A 49765-2022 tillsynsbegäran mail.docx", "A 49765-2022")</f>
        <v/>
      </c>
      <c r="Z6">
        <f>HYPERLINK("https://klasma.github.io/Logging_2061/fåglar/A 49765-2022 prioriterade fågelarter.docx", "A 49765-2022")</f>
        <v/>
      </c>
    </row>
    <row r="7" ht="15" customHeight="1">
      <c r="A7" t="inlineStr">
        <is>
          <t>A 19410-2023</t>
        </is>
      </c>
      <c r="B7" s="1" t="n">
        <v>45049.84429398148</v>
      </c>
      <c r="C7" s="1" t="n">
        <v>46186</v>
      </c>
      <c r="D7" t="inlineStr">
        <is>
          <t>DALARNAS LÄN</t>
        </is>
      </c>
      <c r="E7" t="inlineStr">
        <is>
          <t>SMEDJEBACKEN</t>
        </is>
      </c>
      <c r="F7" t="inlineStr">
        <is>
          <t>Övriga Aktiebolag</t>
        </is>
      </c>
      <c r="G7" t="n">
        <v>12.2</v>
      </c>
      <c r="H7" t="n">
        <v>4</v>
      </c>
      <c r="I7" t="n">
        <v>1</v>
      </c>
      <c r="J7" t="n">
        <v>1</v>
      </c>
      <c r="K7" t="n">
        <v>1</v>
      </c>
      <c r="L7" t="n">
        <v>0</v>
      </c>
      <c r="M7" t="n">
        <v>0</v>
      </c>
      <c r="N7" t="n">
        <v>0</v>
      </c>
      <c r="O7" t="n">
        <v>2</v>
      </c>
      <c r="P7" t="n">
        <v>1</v>
      </c>
      <c r="Q7" t="n">
        <v>5</v>
      </c>
      <c r="R7" s="2" t="inlineStr">
        <is>
          <t>Knärot
Talltita
Bollvitmossa
Orre
Revlummer</t>
        </is>
      </c>
      <c r="S7">
        <f>HYPERLINK("https://klasma.github.io/Logging_2061/artfynd/A 19410-2023 artfynd.xlsx", "A 19410-2023")</f>
        <v/>
      </c>
      <c r="T7">
        <f>HYPERLINK("https://klasma.github.io/Logging_2061/kartor/A 19410-2023 karta.png", "A 19410-2023")</f>
        <v/>
      </c>
      <c r="U7">
        <f>HYPERLINK("https://klasma.github.io/Logging_2061/knärot/A 19410-2023 karta knärot.png", "A 19410-2023")</f>
        <v/>
      </c>
      <c r="V7">
        <f>HYPERLINK("https://klasma.github.io/Logging_2061/klagomål/A 19410-2023 FSC-klagomål.docx", "A 19410-2023")</f>
        <v/>
      </c>
      <c r="W7">
        <f>HYPERLINK("https://klasma.github.io/Logging_2061/klagomålsmail/A 19410-2023 FSC-klagomål mail.docx", "A 19410-2023")</f>
        <v/>
      </c>
      <c r="X7">
        <f>HYPERLINK("https://klasma.github.io/Logging_2061/tillsyn/A 19410-2023 tillsynsbegäran.docx", "A 19410-2023")</f>
        <v/>
      </c>
      <c r="Y7">
        <f>HYPERLINK("https://klasma.github.io/Logging_2061/tillsynsmail/A 19410-2023 tillsynsbegäran mail.docx", "A 19410-2023")</f>
        <v/>
      </c>
      <c r="Z7">
        <f>HYPERLINK("https://klasma.github.io/Logging_2061/fåglar/A 19410-2023 prioriterade fågelarter.docx", "A 19410-2023")</f>
        <v/>
      </c>
    </row>
    <row r="8" ht="15" customHeight="1">
      <c r="A8" t="inlineStr">
        <is>
          <t>A 23498-2024</t>
        </is>
      </c>
      <c r="B8" s="1" t="n">
        <v>45453</v>
      </c>
      <c r="C8" s="1" t="n">
        <v>46186</v>
      </c>
      <c r="D8" t="inlineStr">
        <is>
          <t>DALARNAS LÄN</t>
        </is>
      </c>
      <c r="E8" t="inlineStr">
        <is>
          <t>SMEDJEBACKEN</t>
        </is>
      </c>
      <c r="F8" t="inlineStr">
        <is>
          <t>Bergvik skog väst AB</t>
        </is>
      </c>
      <c r="G8" t="n">
        <v>3</v>
      </c>
      <c r="H8" t="n">
        <v>1</v>
      </c>
      <c r="I8" t="n">
        <v>3</v>
      </c>
      <c r="J8" t="n">
        <v>1</v>
      </c>
      <c r="K8" t="n">
        <v>1</v>
      </c>
      <c r="L8" t="n">
        <v>0</v>
      </c>
      <c r="M8" t="n">
        <v>0</v>
      </c>
      <c r="N8" t="n">
        <v>0</v>
      </c>
      <c r="O8" t="n">
        <v>2</v>
      </c>
      <c r="P8" t="n">
        <v>1</v>
      </c>
      <c r="Q8" t="n">
        <v>5</v>
      </c>
      <c r="R8" s="2" t="inlineStr">
        <is>
          <t>Knärot
Vedskivlav
Barkticka
Vedticka
Vågbandad barkbock</t>
        </is>
      </c>
      <c r="S8">
        <f>HYPERLINK("https://klasma.github.io/Logging_2061/artfynd/A 23498-2024 artfynd.xlsx", "A 23498-2024")</f>
        <v/>
      </c>
      <c r="T8">
        <f>HYPERLINK("https://klasma.github.io/Logging_2061/kartor/A 23498-2024 karta.png", "A 23498-2024")</f>
        <v/>
      </c>
      <c r="U8">
        <f>HYPERLINK("https://klasma.github.io/Logging_2061/knärot/A 23498-2024 karta knärot.png", "A 23498-2024")</f>
        <v/>
      </c>
      <c r="V8">
        <f>HYPERLINK("https://klasma.github.io/Logging_2061/klagomål/A 23498-2024 FSC-klagomål.docx", "A 23498-2024")</f>
        <v/>
      </c>
      <c r="W8">
        <f>HYPERLINK("https://klasma.github.io/Logging_2061/klagomålsmail/A 23498-2024 FSC-klagomål mail.docx", "A 23498-2024")</f>
        <v/>
      </c>
      <c r="X8">
        <f>HYPERLINK("https://klasma.github.io/Logging_2061/tillsyn/A 23498-2024 tillsynsbegäran.docx", "A 23498-2024")</f>
        <v/>
      </c>
      <c r="Y8">
        <f>HYPERLINK("https://klasma.github.io/Logging_2061/tillsynsmail/A 23498-2024 tillsynsbegäran mail.docx", "A 23498-2024")</f>
        <v/>
      </c>
    </row>
    <row r="9" ht="15" customHeight="1">
      <c r="A9" t="inlineStr">
        <is>
          <t>A 31411-2025</t>
        </is>
      </c>
      <c r="B9" s="1" t="n">
        <v>45833</v>
      </c>
      <c r="C9" s="1" t="n">
        <v>46186</v>
      </c>
      <c r="D9" t="inlineStr">
        <is>
          <t>DALARNAS LÄN</t>
        </is>
      </c>
      <c r="E9" t="inlineStr">
        <is>
          <t>SMEDJEBACKEN</t>
        </is>
      </c>
      <c r="G9" t="n">
        <v>3.2</v>
      </c>
      <c r="H9" t="n">
        <v>1</v>
      </c>
      <c r="I9" t="n">
        <v>1</v>
      </c>
      <c r="J9" t="n">
        <v>2</v>
      </c>
      <c r="K9" t="n">
        <v>1</v>
      </c>
      <c r="L9" t="n">
        <v>0</v>
      </c>
      <c r="M9" t="n">
        <v>0</v>
      </c>
      <c r="N9" t="n">
        <v>0</v>
      </c>
      <c r="O9" t="n">
        <v>3</v>
      </c>
      <c r="P9" t="n">
        <v>1</v>
      </c>
      <c r="Q9" t="n">
        <v>4</v>
      </c>
      <c r="R9" s="2" t="inlineStr">
        <is>
          <t>Knärot
Garnlav
Granticka
Nästlav</t>
        </is>
      </c>
      <c r="S9">
        <f>HYPERLINK("https://klasma.github.io/Logging_2061/artfynd/A 31411-2025 artfynd.xlsx", "A 31411-2025")</f>
        <v/>
      </c>
      <c r="T9">
        <f>HYPERLINK("https://klasma.github.io/Logging_2061/kartor/A 31411-2025 karta.png", "A 31411-2025")</f>
        <v/>
      </c>
      <c r="U9">
        <f>HYPERLINK("https://klasma.github.io/Logging_2061/knärot/A 31411-2025 karta knärot.png", "A 31411-2025")</f>
        <v/>
      </c>
      <c r="V9">
        <f>HYPERLINK("https://klasma.github.io/Logging_2061/klagomål/A 31411-2025 FSC-klagomål.docx", "A 31411-2025")</f>
        <v/>
      </c>
      <c r="W9">
        <f>HYPERLINK("https://klasma.github.io/Logging_2061/klagomålsmail/A 31411-2025 FSC-klagomål mail.docx", "A 31411-2025")</f>
        <v/>
      </c>
      <c r="X9">
        <f>HYPERLINK("https://klasma.github.io/Logging_2061/tillsyn/A 31411-2025 tillsynsbegäran.docx", "A 31411-2025")</f>
        <v/>
      </c>
      <c r="Y9">
        <f>HYPERLINK("https://klasma.github.io/Logging_2061/tillsynsmail/A 31411-2025 tillsynsbegäran mail.docx", "A 31411-2025")</f>
        <v/>
      </c>
    </row>
    <row r="10" ht="15" customHeight="1">
      <c r="A10" t="inlineStr">
        <is>
          <t>A 53555-2025</t>
        </is>
      </c>
      <c r="B10" s="1" t="n">
        <v>45960.39149305555</v>
      </c>
      <c r="C10" s="1" t="n">
        <v>46186</v>
      </c>
      <c r="D10" t="inlineStr">
        <is>
          <t>DALARNAS LÄN</t>
        </is>
      </c>
      <c r="E10" t="inlineStr">
        <is>
          <t>SMEDJEBACKEN</t>
        </is>
      </c>
      <c r="G10" t="n">
        <v>23.7</v>
      </c>
      <c r="H10" t="n">
        <v>2</v>
      </c>
      <c r="I10" t="n">
        <v>3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4</v>
      </c>
      <c r="R10" s="2" t="inlineStr">
        <is>
          <t>Knärot
Dropptaggsvamp
Plattlummer
Trådticka</t>
        </is>
      </c>
      <c r="S10">
        <f>HYPERLINK("https://klasma.github.io/Logging_2061/artfynd/A 53555-2025 artfynd.xlsx", "A 53555-2025")</f>
        <v/>
      </c>
      <c r="T10">
        <f>HYPERLINK("https://klasma.github.io/Logging_2061/kartor/A 53555-2025 karta.png", "A 53555-2025")</f>
        <v/>
      </c>
      <c r="U10">
        <f>HYPERLINK("https://klasma.github.io/Logging_2061/knärot/A 53555-2025 karta knärot.png", "A 53555-2025")</f>
        <v/>
      </c>
      <c r="V10">
        <f>HYPERLINK("https://klasma.github.io/Logging_2061/klagomål/A 53555-2025 FSC-klagomål.docx", "A 53555-2025")</f>
        <v/>
      </c>
      <c r="W10">
        <f>HYPERLINK("https://klasma.github.io/Logging_2061/klagomålsmail/A 53555-2025 FSC-klagomål mail.docx", "A 53555-2025")</f>
        <v/>
      </c>
      <c r="X10">
        <f>HYPERLINK("https://klasma.github.io/Logging_2061/tillsyn/A 53555-2025 tillsynsbegäran.docx", "A 53555-2025")</f>
        <v/>
      </c>
      <c r="Y10">
        <f>HYPERLINK("https://klasma.github.io/Logging_2061/tillsynsmail/A 53555-2025 tillsynsbegäran mail.docx", "A 53555-2025")</f>
        <v/>
      </c>
    </row>
    <row r="11" ht="15" customHeight="1">
      <c r="A11" t="inlineStr">
        <is>
          <t>A 35889-2025</t>
        </is>
      </c>
      <c r="B11" s="1" t="n">
        <v>45862.44428240741</v>
      </c>
      <c r="C11" s="1" t="n">
        <v>46186</v>
      </c>
      <c r="D11" t="inlineStr">
        <is>
          <t>DALARNAS LÄN</t>
        </is>
      </c>
      <c r="E11" t="inlineStr">
        <is>
          <t>SMEDJEBACKEN</t>
        </is>
      </c>
      <c r="G11" t="n">
        <v>1</v>
      </c>
      <c r="H11" t="n">
        <v>0</v>
      </c>
      <c r="I11" t="n">
        <v>4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4</v>
      </c>
      <c r="R11" s="2" t="inlineStr">
        <is>
          <t>Fjällig taggsvamp s.str.
Strimspindling
Svart trolldruva
Ögonpyrola</t>
        </is>
      </c>
      <c r="S11">
        <f>HYPERLINK("https://klasma.github.io/Logging_2061/artfynd/A 35889-2025 artfynd.xlsx", "A 35889-2025")</f>
        <v/>
      </c>
      <c r="T11">
        <f>HYPERLINK("https://klasma.github.io/Logging_2061/kartor/A 35889-2025 karta.png", "A 35889-2025")</f>
        <v/>
      </c>
      <c r="V11">
        <f>HYPERLINK("https://klasma.github.io/Logging_2061/klagomål/A 35889-2025 FSC-klagomål.docx", "A 35889-2025")</f>
        <v/>
      </c>
      <c r="W11">
        <f>HYPERLINK("https://klasma.github.io/Logging_2061/klagomålsmail/A 35889-2025 FSC-klagomål mail.docx", "A 35889-2025")</f>
        <v/>
      </c>
      <c r="X11">
        <f>HYPERLINK("https://klasma.github.io/Logging_2061/tillsyn/A 35889-2025 tillsynsbegäran.docx", "A 35889-2025")</f>
        <v/>
      </c>
      <c r="Y11">
        <f>HYPERLINK("https://klasma.github.io/Logging_2061/tillsynsmail/A 35889-2025 tillsynsbegäran mail.docx", "A 35889-2025")</f>
        <v/>
      </c>
    </row>
    <row r="12" ht="15" customHeight="1">
      <c r="A12" t="inlineStr">
        <is>
          <t>A 10713-2025</t>
        </is>
      </c>
      <c r="B12" s="1" t="n">
        <v>45722.35415509259</v>
      </c>
      <c r="C12" s="1" t="n">
        <v>46186</v>
      </c>
      <c r="D12" t="inlineStr">
        <is>
          <t>DALARNAS LÄN</t>
        </is>
      </c>
      <c r="E12" t="inlineStr">
        <is>
          <t>SMEDJEBACKEN</t>
        </is>
      </c>
      <c r="F12" t="inlineStr">
        <is>
          <t>Övriga Aktiebolag</t>
        </is>
      </c>
      <c r="G12" t="n">
        <v>0.7</v>
      </c>
      <c r="H12" t="n">
        <v>1</v>
      </c>
      <c r="I12" t="n">
        <v>1</v>
      </c>
      <c r="J12" t="n">
        <v>1</v>
      </c>
      <c r="K12" t="n">
        <v>1</v>
      </c>
      <c r="L12" t="n">
        <v>0</v>
      </c>
      <c r="M12" t="n">
        <v>0</v>
      </c>
      <c r="N12" t="n">
        <v>0</v>
      </c>
      <c r="O12" t="n">
        <v>2</v>
      </c>
      <c r="P12" t="n">
        <v>1</v>
      </c>
      <c r="Q12" t="n">
        <v>3</v>
      </c>
      <c r="R12" s="2" t="inlineStr">
        <is>
          <t>Rynkskinn
Talltita
Bronshjon</t>
        </is>
      </c>
      <c r="S12">
        <f>HYPERLINK("https://klasma.github.io/Logging_2061/artfynd/A 10713-2025 artfynd.xlsx", "A 10713-2025")</f>
        <v/>
      </c>
      <c r="T12">
        <f>HYPERLINK("https://klasma.github.io/Logging_2061/kartor/A 10713-2025 karta.png", "A 10713-2025")</f>
        <v/>
      </c>
      <c r="V12">
        <f>HYPERLINK("https://klasma.github.io/Logging_2061/klagomål/A 10713-2025 FSC-klagomål.docx", "A 10713-2025")</f>
        <v/>
      </c>
      <c r="W12">
        <f>HYPERLINK("https://klasma.github.io/Logging_2061/klagomålsmail/A 10713-2025 FSC-klagomål mail.docx", "A 10713-2025")</f>
        <v/>
      </c>
      <c r="X12">
        <f>HYPERLINK("https://klasma.github.io/Logging_2061/tillsyn/A 10713-2025 tillsynsbegäran.docx", "A 10713-2025")</f>
        <v/>
      </c>
      <c r="Y12">
        <f>HYPERLINK("https://klasma.github.io/Logging_2061/tillsynsmail/A 10713-2025 tillsynsbegäran mail.docx", "A 10713-2025")</f>
        <v/>
      </c>
      <c r="Z12">
        <f>HYPERLINK("https://klasma.github.io/Logging_2061/fåglar/A 10713-2025 prioriterade fågelarter.docx", "A 10713-2025")</f>
        <v/>
      </c>
    </row>
    <row r="13" ht="15" customHeight="1">
      <c r="A13" t="inlineStr">
        <is>
          <t>A 22623-2026</t>
        </is>
      </c>
      <c r="B13" s="1" t="n">
        <v>46155.62756944444</v>
      </c>
      <c r="C13" s="1" t="n">
        <v>46186</v>
      </c>
      <c r="D13" t="inlineStr">
        <is>
          <t>DALARNAS LÄN</t>
        </is>
      </c>
      <c r="E13" t="inlineStr">
        <is>
          <t>SMEDJEBACKEN</t>
        </is>
      </c>
      <c r="F13" t="inlineStr">
        <is>
          <t>Sveaskog</t>
        </is>
      </c>
      <c r="G13" t="n">
        <v>3.1</v>
      </c>
      <c r="H13" t="n">
        <v>0</v>
      </c>
      <c r="I13" t="n">
        <v>2</v>
      </c>
      <c r="J13" t="n">
        <v>0</v>
      </c>
      <c r="K13" t="n">
        <v>0</v>
      </c>
      <c r="L13" t="n">
        <v>0</v>
      </c>
      <c r="M13" t="n">
        <v>1</v>
      </c>
      <c r="N13" t="n">
        <v>0</v>
      </c>
      <c r="O13" t="n">
        <v>1</v>
      </c>
      <c r="P13" t="n">
        <v>1</v>
      </c>
      <c r="Q13" t="n">
        <v>3</v>
      </c>
      <c r="R13" s="2" t="inlineStr">
        <is>
          <t>Skogsalm
Brandticka
Dvärgtufs</t>
        </is>
      </c>
      <c r="S13">
        <f>HYPERLINK("https://klasma.github.io/Logging_2061/artfynd/A 22623-2026 artfynd.xlsx", "A 22623-2026")</f>
        <v/>
      </c>
      <c r="T13">
        <f>HYPERLINK("https://klasma.github.io/Logging_2061/kartor/A 22623-2026 karta.png", "A 22623-2026")</f>
        <v/>
      </c>
      <c r="V13">
        <f>HYPERLINK("https://klasma.github.io/Logging_2061/klagomål/A 22623-2026 FSC-klagomål.docx", "A 22623-2026")</f>
        <v/>
      </c>
      <c r="W13">
        <f>HYPERLINK("https://klasma.github.io/Logging_2061/klagomålsmail/A 22623-2026 FSC-klagomål mail.docx", "A 22623-2026")</f>
        <v/>
      </c>
      <c r="X13">
        <f>HYPERLINK("https://klasma.github.io/Logging_2061/tillsyn/A 22623-2026 tillsynsbegäran.docx", "A 22623-2026")</f>
        <v/>
      </c>
      <c r="Y13">
        <f>HYPERLINK("https://klasma.github.io/Logging_2061/tillsynsmail/A 22623-2026 tillsynsbegäran mail.docx", "A 22623-2026")</f>
        <v/>
      </c>
    </row>
    <row r="14" ht="15" customHeight="1">
      <c r="A14" t="inlineStr">
        <is>
          <t>A 54940-2025</t>
        </is>
      </c>
      <c r="B14" s="1" t="n">
        <v>45967</v>
      </c>
      <c r="C14" s="1" t="n">
        <v>46186</v>
      </c>
      <c r="D14" t="inlineStr">
        <is>
          <t>DALARNAS LÄN</t>
        </is>
      </c>
      <c r="E14" t="inlineStr">
        <is>
          <t>SMEDJEBACKEN</t>
        </is>
      </c>
      <c r="G14" t="n">
        <v>3.2</v>
      </c>
      <c r="H14" t="n">
        <v>2</v>
      </c>
      <c r="I14" t="n">
        <v>0</v>
      </c>
      <c r="J14" t="n">
        <v>1</v>
      </c>
      <c r="K14" t="n">
        <v>1</v>
      </c>
      <c r="L14" t="n">
        <v>0</v>
      </c>
      <c r="M14" t="n">
        <v>0</v>
      </c>
      <c r="N14" t="n">
        <v>0</v>
      </c>
      <c r="O14" t="n">
        <v>2</v>
      </c>
      <c r="P14" t="n">
        <v>1</v>
      </c>
      <c r="Q14" t="n">
        <v>3</v>
      </c>
      <c r="R14" s="2" t="inlineStr">
        <is>
          <t>Knärot
Ullticka
Blåsippa</t>
        </is>
      </c>
      <c r="S14">
        <f>HYPERLINK("https://klasma.github.io/Logging_2061/artfynd/A 54940-2025 artfynd.xlsx", "A 54940-2025")</f>
        <v/>
      </c>
      <c r="T14">
        <f>HYPERLINK("https://klasma.github.io/Logging_2061/kartor/A 54940-2025 karta.png", "A 54940-2025")</f>
        <v/>
      </c>
      <c r="U14">
        <f>HYPERLINK("https://klasma.github.io/Logging_2061/knärot/A 54940-2025 karta knärot.png", "A 54940-2025")</f>
        <v/>
      </c>
      <c r="V14">
        <f>HYPERLINK("https://klasma.github.io/Logging_2061/klagomål/A 54940-2025 FSC-klagomål.docx", "A 54940-2025")</f>
        <v/>
      </c>
      <c r="W14">
        <f>HYPERLINK("https://klasma.github.io/Logging_2061/klagomålsmail/A 54940-2025 FSC-klagomål mail.docx", "A 54940-2025")</f>
        <v/>
      </c>
      <c r="X14">
        <f>HYPERLINK("https://klasma.github.io/Logging_2061/tillsyn/A 54940-2025 tillsynsbegäran.docx", "A 54940-2025")</f>
        <v/>
      </c>
      <c r="Y14">
        <f>HYPERLINK("https://klasma.github.io/Logging_2061/tillsynsmail/A 54940-2025 tillsynsbegäran mail.docx", "A 54940-2025")</f>
        <v/>
      </c>
    </row>
    <row r="15" ht="15" customHeight="1">
      <c r="A15" t="inlineStr">
        <is>
          <t>A 25404-2026</t>
        </is>
      </c>
      <c r="B15" s="1" t="n">
        <v>46174</v>
      </c>
      <c r="C15" s="1" t="n">
        <v>46186</v>
      </c>
      <c r="D15" t="inlineStr">
        <is>
          <t>DALARNAS LÄN</t>
        </is>
      </c>
      <c r="E15" t="inlineStr">
        <is>
          <t>SMEDJEBACKEN</t>
        </is>
      </c>
      <c r="F15" t="inlineStr">
        <is>
          <t>Bergvik skog väst AB</t>
        </is>
      </c>
      <c r="G15" t="n">
        <v>46</v>
      </c>
      <c r="H15" t="n">
        <v>1</v>
      </c>
      <c r="I15" t="n">
        <v>1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3</v>
      </c>
      <c r="R15" s="2" t="inlineStr">
        <is>
          <t>Skogshare
Strutbräken
Nattskärra</t>
        </is>
      </c>
      <c r="S15">
        <f>HYPERLINK("https://klasma.github.io/Logging_2061/artfynd/A 25404-2026 artfynd.xlsx", "A 25404-2026")</f>
        <v/>
      </c>
      <c r="T15">
        <f>HYPERLINK("https://klasma.github.io/Logging_2061/kartor/A 25404-2026 karta.png", "A 25404-2026")</f>
        <v/>
      </c>
      <c r="V15">
        <f>HYPERLINK("https://klasma.github.io/Logging_2061/klagomål/A 25404-2026 FSC-klagomål.docx", "A 25404-2026")</f>
        <v/>
      </c>
      <c r="W15">
        <f>HYPERLINK("https://klasma.github.io/Logging_2061/klagomålsmail/A 25404-2026 FSC-klagomål mail.docx", "A 25404-2026")</f>
        <v/>
      </c>
      <c r="X15">
        <f>HYPERLINK("https://klasma.github.io/Logging_2061/tillsyn/A 25404-2026 tillsynsbegäran.docx", "A 25404-2026")</f>
        <v/>
      </c>
      <c r="Y15">
        <f>HYPERLINK("https://klasma.github.io/Logging_2061/tillsynsmail/A 25404-2026 tillsynsbegäran mail.docx", "A 25404-2026")</f>
        <v/>
      </c>
      <c r="Z15">
        <f>HYPERLINK("https://klasma.github.io/Logging_2061/fåglar/A 25404-2026 prioriterade fågelarter.docx", "A 25404-2026")</f>
        <v/>
      </c>
    </row>
    <row r="16" ht="15" customHeight="1">
      <c r="A16" t="inlineStr">
        <is>
          <t>A 49834-2021</t>
        </is>
      </c>
      <c r="B16" s="1" t="n">
        <v>44455.63979166667</v>
      </c>
      <c r="C16" s="1" t="n">
        <v>46186</v>
      </c>
      <c r="D16" t="inlineStr">
        <is>
          <t>DALARNAS LÄN</t>
        </is>
      </c>
      <c r="E16" t="inlineStr">
        <is>
          <t>SMEDJEBACKEN</t>
        </is>
      </c>
      <c r="F16" t="inlineStr">
        <is>
          <t>Sveaskog</t>
        </is>
      </c>
      <c r="G16" t="n">
        <v>7.1</v>
      </c>
      <c r="H16" t="n">
        <v>1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s="2" t="inlineStr">
        <is>
          <t>Bårdlav
Blåsippa</t>
        </is>
      </c>
      <c r="S16">
        <f>HYPERLINK("https://klasma.github.io/Logging_2061/artfynd/A 49834-2021 artfynd.xlsx", "A 49834-2021")</f>
        <v/>
      </c>
      <c r="T16">
        <f>HYPERLINK("https://klasma.github.io/Logging_2061/kartor/A 49834-2021 karta.png", "A 49834-2021")</f>
        <v/>
      </c>
      <c r="V16">
        <f>HYPERLINK("https://klasma.github.io/Logging_2061/klagomål/A 49834-2021 FSC-klagomål.docx", "A 49834-2021")</f>
        <v/>
      </c>
      <c r="W16">
        <f>HYPERLINK("https://klasma.github.io/Logging_2061/klagomålsmail/A 49834-2021 FSC-klagomål mail.docx", "A 49834-2021")</f>
        <v/>
      </c>
      <c r="X16">
        <f>HYPERLINK("https://klasma.github.io/Logging_2061/tillsyn/A 49834-2021 tillsynsbegäran.docx", "A 49834-2021")</f>
        <v/>
      </c>
      <c r="Y16">
        <f>HYPERLINK("https://klasma.github.io/Logging_2061/tillsynsmail/A 49834-2021 tillsynsbegäran mail.docx", "A 49834-2021")</f>
        <v/>
      </c>
    </row>
    <row r="17" ht="15" customHeight="1">
      <c r="A17" t="inlineStr">
        <is>
          <t>A 23619-2024</t>
        </is>
      </c>
      <c r="B17" s="1" t="n">
        <v>45454</v>
      </c>
      <c r="C17" s="1" t="n">
        <v>46186</v>
      </c>
      <c r="D17" t="inlineStr">
        <is>
          <t>DALARNAS LÄN</t>
        </is>
      </c>
      <c r="E17" t="inlineStr">
        <is>
          <t>SMEDJEBACKEN</t>
        </is>
      </c>
      <c r="F17" t="inlineStr">
        <is>
          <t>Bergvik skog väst AB</t>
        </is>
      </c>
      <c r="G17" t="n">
        <v>4.2</v>
      </c>
      <c r="H17" t="n">
        <v>1</v>
      </c>
      <c r="I17" t="n">
        <v>1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2</v>
      </c>
      <c r="R17" s="2" t="inlineStr">
        <is>
          <t>Knärot
Dropptaggsvamp</t>
        </is>
      </c>
      <c r="S17">
        <f>HYPERLINK("https://klasma.github.io/Logging_2061/artfynd/A 23619-2024 artfynd.xlsx", "A 23619-2024")</f>
        <v/>
      </c>
      <c r="T17">
        <f>HYPERLINK("https://klasma.github.io/Logging_2061/kartor/A 23619-2024 karta.png", "A 23619-2024")</f>
        <v/>
      </c>
      <c r="U17">
        <f>HYPERLINK("https://klasma.github.io/Logging_2061/knärot/A 23619-2024 karta knärot.png", "A 23619-2024")</f>
        <v/>
      </c>
      <c r="V17">
        <f>HYPERLINK("https://klasma.github.io/Logging_2061/klagomål/A 23619-2024 FSC-klagomål.docx", "A 23619-2024")</f>
        <v/>
      </c>
      <c r="W17">
        <f>HYPERLINK("https://klasma.github.io/Logging_2061/klagomålsmail/A 23619-2024 FSC-klagomål mail.docx", "A 23619-2024")</f>
        <v/>
      </c>
      <c r="X17">
        <f>HYPERLINK("https://klasma.github.io/Logging_2061/tillsyn/A 23619-2024 tillsynsbegäran.docx", "A 23619-2024")</f>
        <v/>
      </c>
      <c r="Y17">
        <f>HYPERLINK("https://klasma.github.io/Logging_2061/tillsynsmail/A 23619-2024 tillsynsbegäran mail.docx", "A 23619-2024")</f>
        <v/>
      </c>
    </row>
    <row r="18" ht="15" customHeight="1">
      <c r="A18" t="inlineStr">
        <is>
          <t>A 40537-2021</t>
        </is>
      </c>
      <c r="B18" s="1" t="n">
        <v>44420</v>
      </c>
      <c r="C18" s="1" t="n">
        <v>46186</v>
      </c>
      <c r="D18" t="inlineStr">
        <is>
          <t>DALARNAS LÄN</t>
        </is>
      </c>
      <c r="E18" t="inlineStr">
        <is>
          <t>SMEDJEBACKEN</t>
        </is>
      </c>
      <c r="F18" t="inlineStr">
        <is>
          <t>Övriga Aktiebolag</t>
        </is>
      </c>
      <c r="G18" t="n">
        <v>10</v>
      </c>
      <c r="H18" t="n">
        <v>2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2</v>
      </c>
      <c r="R18" s="2" t="inlineStr">
        <is>
          <t>Tretåig hackspett
Blåsippa</t>
        </is>
      </c>
      <c r="S18">
        <f>HYPERLINK("https://klasma.github.io/Logging_2061/artfynd/A 40537-2021 artfynd.xlsx", "A 40537-2021")</f>
        <v/>
      </c>
      <c r="T18">
        <f>HYPERLINK("https://klasma.github.io/Logging_2061/kartor/A 40537-2021 karta.png", "A 40537-2021")</f>
        <v/>
      </c>
      <c r="V18">
        <f>HYPERLINK("https://klasma.github.io/Logging_2061/klagomål/A 40537-2021 FSC-klagomål.docx", "A 40537-2021")</f>
        <v/>
      </c>
      <c r="W18">
        <f>HYPERLINK("https://klasma.github.io/Logging_2061/klagomålsmail/A 40537-2021 FSC-klagomål mail.docx", "A 40537-2021")</f>
        <v/>
      </c>
      <c r="X18">
        <f>HYPERLINK("https://klasma.github.io/Logging_2061/tillsyn/A 40537-2021 tillsynsbegäran.docx", "A 40537-2021")</f>
        <v/>
      </c>
      <c r="Y18">
        <f>HYPERLINK("https://klasma.github.io/Logging_2061/tillsynsmail/A 40537-2021 tillsynsbegäran mail.docx", "A 40537-2021")</f>
        <v/>
      </c>
      <c r="Z18">
        <f>HYPERLINK("https://klasma.github.io/Logging_2061/fåglar/A 40537-2021 prioriterade fågelarter.docx", "A 40537-2021")</f>
        <v/>
      </c>
    </row>
    <row r="19" ht="15" customHeight="1">
      <c r="A19" t="inlineStr">
        <is>
          <t>A 23645-2026</t>
        </is>
      </c>
      <c r="B19" s="1" t="n">
        <v>46163</v>
      </c>
      <c r="C19" s="1" t="n">
        <v>46186</v>
      </c>
      <c r="D19" t="inlineStr">
        <is>
          <t>DALARNAS LÄN</t>
        </is>
      </c>
      <c r="E19" t="inlineStr">
        <is>
          <t>SMEDJEBACKEN</t>
        </is>
      </c>
      <c r="G19" t="n">
        <v>7.4</v>
      </c>
      <c r="H19" t="n">
        <v>1</v>
      </c>
      <c r="I19" t="n">
        <v>2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2</v>
      </c>
      <c r="R19" s="2" t="inlineStr">
        <is>
          <t>Korallrot
Ögonpyrola</t>
        </is>
      </c>
      <c r="S19">
        <f>HYPERLINK("https://klasma.github.io/Logging_2061/artfynd/A 23645-2026 artfynd.xlsx", "A 23645-2026")</f>
        <v/>
      </c>
      <c r="T19">
        <f>HYPERLINK("https://klasma.github.io/Logging_2061/kartor/A 23645-2026 karta.png", "A 23645-2026")</f>
        <v/>
      </c>
      <c r="V19">
        <f>HYPERLINK("https://klasma.github.io/Logging_2061/klagomål/A 23645-2026 FSC-klagomål.docx", "A 23645-2026")</f>
        <v/>
      </c>
      <c r="W19">
        <f>HYPERLINK("https://klasma.github.io/Logging_2061/klagomålsmail/A 23645-2026 FSC-klagomål mail.docx", "A 23645-2026")</f>
        <v/>
      </c>
      <c r="X19">
        <f>HYPERLINK("https://klasma.github.io/Logging_2061/tillsyn/A 23645-2026 tillsynsbegäran.docx", "A 23645-2026")</f>
        <v/>
      </c>
      <c r="Y19">
        <f>HYPERLINK("https://klasma.github.io/Logging_2061/tillsynsmail/A 23645-2026 tillsynsbegäran mail.docx", "A 23645-2026")</f>
        <v/>
      </c>
    </row>
    <row r="20" ht="15" customHeight="1">
      <c r="A20" t="inlineStr">
        <is>
          <t>A 18745-2025</t>
        </is>
      </c>
      <c r="B20" s="1" t="n">
        <v>45763.75976851852</v>
      </c>
      <c r="C20" s="1" t="n">
        <v>46186</v>
      </c>
      <c r="D20" t="inlineStr">
        <is>
          <t>DALARNAS LÄN</t>
        </is>
      </c>
      <c r="E20" t="inlineStr">
        <is>
          <t>SMEDJEBACKEN</t>
        </is>
      </c>
      <c r="F20" t="inlineStr">
        <is>
          <t>Övriga Aktiebolag</t>
        </is>
      </c>
      <c r="G20" t="n">
        <v>2.9</v>
      </c>
      <c r="H20" t="n">
        <v>1</v>
      </c>
      <c r="I20" t="n">
        <v>1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2</v>
      </c>
      <c r="R20" s="2" t="inlineStr">
        <is>
          <t>Spillkråka
Jättesvampmal</t>
        </is>
      </c>
      <c r="S20">
        <f>HYPERLINK("https://klasma.github.io/Logging_2061/artfynd/A 18745-2025 artfynd.xlsx", "A 18745-2025")</f>
        <v/>
      </c>
      <c r="T20">
        <f>HYPERLINK("https://klasma.github.io/Logging_2061/kartor/A 18745-2025 karta.png", "A 18745-2025")</f>
        <v/>
      </c>
      <c r="V20">
        <f>HYPERLINK("https://klasma.github.io/Logging_2061/klagomål/A 18745-2025 FSC-klagomål.docx", "A 18745-2025")</f>
        <v/>
      </c>
      <c r="W20">
        <f>HYPERLINK("https://klasma.github.io/Logging_2061/klagomålsmail/A 18745-2025 FSC-klagomål mail.docx", "A 18745-2025")</f>
        <v/>
      </c>
      <c r="X20">
        <f>HYPERLINK("https://klasma.github.io/Logging_2061/tillsyn/A 18745-2025 tillsynsbegäran.docx", "A 18745-2025")</f>
        <v/>
      </c>
      <c r="Y20">
        <f>HYPERLINK("https://klasma.github.io/Logging_2061/tillsynsmail/A 18745-2025 tillsynsbegäran mail.docx", "A 18745-2025")</f>
        <v/>
      </c>
      <c r="Z20">
        <f>HYPERLINK("https://klasma.github.io/Logging_2061/fåglar/A 18745-2025 prioriterade fågelarter.docx", "A 18745-2025")</f>
        <v/>
      </c>
    </row>
    <row r="21" ht="15" customHeight="1">
      <c r="A21" t="inlineStr">
        <is>
          <t>A 57246-2021</t>
        </is>
      </c>
      <c r="B21" s="1" t="n">
        <v>44482</v>
      </c>
      <c r="C21" s="1" t="n">
        <v>46186</v>
      </c>
      <c r="D21" t="inlineStr">
        <is>
          <t>DALARNAS LÄN</t>
        </is>
      </c>
      <c r="E21" t="inlineStr">
        <is>
          <t>SMEDJEBACKEN</t>
        </is>
      </c>
      <c r="F21" t="inlineStr">
        <is>
          <t>Bergvik skog väst AB</t>
        </is>
      </c>
      <c r="G21" t="n">
        <v>10.2</v>
      </c>
      <c r="H21" t="n">
        <v>0</v>
      </c>
      <c r="I21" t="n">
        <v>1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2</v>
      </c>
      <c r="R21" s="2" t="inlineStr">
        <is>
          <t>Vedtrappmossa
Flagellkvastmossa</t>
        </is>
      </c>
      <c r="S21">
        <f>HYPERLINK("https://klasma.github.io/Logging_2061/artfynd/A 57246-2021 artfynd.xlsx", "A 57246-2021")</f>
        <v/>
      </c>
      <c r="T21">
        <f>HYPERLINK("https://klasma.github.io/Logging_2061/kartor/A 57246-2021 karta.png", "A 57246-2021")</f>
        <v/>
      </c>
      <c r="V21">
        <f>HYPERLINK("https://klasma.github.io/Logging_2061/klagomål/A 57246-2021 FSC-klagomål.docx", "A 57246-2021")</f>
        <v/>
      </c>
      <c r="W21">
        <f>HYPERLINK("https://klasma.github.io/Logging_2061/klagomålsmail/A 57246-2021 FSC-klagomål mail.docx", "A 57246-2021")</f>
        <v/>
      </c>
      <c r="X21">
        <f>HYPERLINK("https://klasma.github.io/Logging_2061/tillsyn/A 57246-2021 tillsynsbegäran.docx", "A 57246-2021")</f>
        <v/>
      </c>
      <c r="Y21">
        <f>HYPERLINK("https://klasma.github.io/Logging_2061/tillsynsmail/A 57246-2021 tillsynsbegäran mail.docx", "A 57246-2021")</f>
        <v/>
      </c>
    </row>
    <row r="22" ht="15" customHeight="1">
      <c r="A22" t="inlineStr">
        <is>
          <t>A 21423-2023</t>
        </is>
      </c>
      <c r="B22" s="1" t="n">
        <v>45063</v>
      </c>
      <c r="C22" s="1" t="n">
        <v>46186</v>
      </c>
      <c r="D22" t="inlineStr">
        <is>
          <t>DALARNAS LÄN</t>
        </is>
      </c>
      <c r="E22" t="inlineStr">
        <is>
          <t>SMEDJEBACKEN</t>
        </is>
      </c>
      <c r="F22" t="inlineStr">
        <is>
          <t>Bergvik skog väst AB</t>
        </is>
      </c>
      <c r="G22" t="n">
        <v>0.5</v>
      </c>
      <c r="H22" t="n">
        <v>1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2</v>
      </c>
      <c r="R22" s="2" t="inlineStr">
        <is>
          <t>Tallkötticka
Törnskata</t>
        </is>
      </c>
      <c r="S22">
        <f>HYPERLINK("https://klasma.github.io/Logging_2061/artfynd/A 21423-2023 artfynd.xlsx", "A 21423-2023")</f>
        <v/>
      </c>
      <c r="T22">
        <f>HYPERLINK("https://klasma.github.io/Logging_2061/kartor/A 21423-2023 karta.png", "A 21423-2023")</f>
        <v/>
      </c>
      <c r="V22">
        <f>HYPERLINK("https://klasma.github.io/Logging_2061/klagomål/A 21423-2023 FSC-klagomål.docx", "A 21423-2023")</f>
        <v/>
      </c>
      <c r="W22">
        <f>HYPERLINK("https://klasma.github.io/Logging_2061/klagomålsmail/A 21423-2023 FSC-klagomål mail.docx", "A 21423-2023")</f>
        <v/>
      </c>
      <c r="X22">
        <f>HYPERLINK("https://klasma.github.io/Logging_2061/tillsyn/A 21423-2023 tillsynsbegäran.docx", "A 21423-2023")</f>
        <v/>
      </c>
      <c r="Y22">
        <f>HYPERLINK("https://klasma.github.io/Logging_2061/tillsynsmail/A 21423-2023 tillsynsbegäran mail.docx", "A 21423-2023")</f>
        <v/>
      </c>
      <c r="Z22">
        <f>HYPERLINK("https://klasma.github.io/Logging_2061/fåglar/A 21423-2023 prioriterade fågelarter.docx", "A 21423-2023")</f>
        <v/>
      </c>
    </row>
    <row r="23" ht="15" customHeight="1">
      <c r="A23" t="inlineStr">
        <is>
          <t>A 33017-2024</t>
        </is>
      </c>
      <c r="B23" s="1" t="n">
        <v>45517.53916666667</v>
      </c>
      <c r="C23" s="1" t="n">
        <v>46186</v>
      </c>
      <c r="D23" t="inlineStr">
        <is>
          <t>DALARNAS LÄN</t>
        </is>
      </c>
      <c r="E23" t="inlineStr">
        <is>
          <t>SMEDJEBACKEN</t>
        </is>
      </c>
      <c r="F23" t="inlineStr">
        <is>
          <t>Övriga Aktiebolag</t>
        </is>
      </c>
      <c r="G23" t="n">
        <v>3.9</v>
      </c>
      <c r="H23" t="n">
        <v>2</v>
      </c>
      <c r="I23" t="n">
        <v>1</v>
      </c>
      <c r="J23" t="n">
        <v>0</v>
      </c>
      <c r="K23" t="n">
        <v>1</v>
      </c>
      <c r="L23" t="n">
        <v>0</v>
      </c>
      <c r="M23" t="n">
        <v>0</v>
      </c>
      <c r="N23" t="n">
        <v>0</v>
      </c>
      <c r="O23" t="n">
        <v>1</v>
      </c>
      <c r="P23" t="n">
        <v>1</v>
      </c>
      <c r="Q23" t="n">
        <v>2</v>
      </c>
      <c r="R23" s="2" t="inlineStr">
        <is>
          <t>Knärot
Plattlummer</t>
        </is>
      </c>
      <c r="S23">
        <f>HYPERLINK("https://klasma.github.io/Logging_2061/artfynd/A 33017-2024 artfynd.xlsx", "A 33017-2024")</f>
        <v/>
      </c>
      <c r="T23">
        <f>HYPERLINK("https://klasma.github.io/Logging_2061/kartor/A 33017-2024 karta.png", "A 33017-2024")</f>
        <v/>
      </c>
      <c r="U23">
        <f>HYPERLINK("https://klasma.github.io/Logging_2061/knärot/A 33017-2024 karta knärot.png", "A 33017-2024")</f>
        <v/>
      </c>
      <c r="V23">
        <f>HYPERLINK("https://klasma.github.io/Logging_2061/klagomål/A 33017-2024 FSC-klagomål.docx", "A 33017-2024")</f>
        <v/>
      </c>
      <c r="W23">
        <f>HYPERLINK("https://klasma.github.io/Logging_2061/klagomålsmail/A 33017-2024 FSC-klagomål mail.docx", "A 33017-2024")</f>
        <v/>
      </c>
      <c r="X23">
        <f>HYPERLINK("https://klasma.github.io/Logging_2061/tillsyn/A 33017-2024 tillsynsbegäran.docx", "A 33017-2024")</f>
        <v/>
      </c>
      <c r="Y23">
        <f>HYPERLINK("https://klasma.github.io/Logging_2061/tillsynsmail/A 33017-2024 tillsynsbegäran mail.docx", "A 33017-2024")</f>
        <v/>
      </c>
    </row>
    <row r="24" ht="15" customHeight="1">
      <c r="A24" t="inlineStr">
        <is>
          <t>A 43377-2021</t>
        </is>
      </c>
      <c r="B24" s="1" t="n">
        <v>44432</v>
      </c>
      <c r="C24" s="1" t="n">
        <v>46186</v>
      </c>
      <c r="D24" t="inlineStr">
        <is>
          <t>DALARNAS LÄN</t>
        </is>
      </c>
      <c r="E24" t="inlineStr">
        <is>
          <t>SMEDJEBACKEN</t>
        </is>
      </c>
      <c r="G24" t="n">
        <v>2.6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Fjällig taggsvamp s.str.</t>
        </is>
      </c>
      <c r="S24">
        <f>HYPERLINK("https://klasma.github.io/Logging_2061/artfynd/A 43377-2021 artfynd.xlsx", "A 43377-2021")</f>
        <v/>
      </c>
      <c r="T24">
        <f>HYPERLINK("https://klasma.github.io/Logging_2061/kartor/A 43377-2021 karta.png", "A 43377-2021")</f>
        <v/>
      </c>
      <c r="U24">
        <f>HYPERLINK("https://klasma.github.io/Logging_2061/knärot/A 43377-2021 karta knärot.png", "A 43377-2021")</f>
        <v/>
      </c>
      <c r="V24">
        <f>HYPERLINK("https://klasma.github.io/Logging_2061/klagomål/A 43377-2021 FSC-klagomål.docx", "A 43377-2021")</f>
        <v/>
      </c>
      <c r="W24">
        <f>HYPERLINK("https://klasma.github.io/Logging_2061/klagomålsmail/A 43377-2021 FSC-klagomål mail.docx", "A 43377-2021")</f>
        <v/>
      </c>
      <c r="X24">
        <f>HYPERLINK("https://klasma.github.io/Logging_2061/tillsyn/A 43377-2021 tillsynsbegäran.docx", "A 43377-2021")</f>
        <v/>
      </c>
      <c r="Y24">
        <f>HYPERLINK("https://klasma.github.io/Logging_2061/tillsynsmail/A 43377-2021 tillsynsbegäran mail.docx", "A 43377-2021")</f>
        <v/>
      </c>
    </row>
    <row r="25" ht="15" customHeight="1">
      <c r="A25" t="inlineStr">
        <is>
          <t>A 41870-2022</t>
        </is>
      </c>
      <c r="B25" s="1" t="n">
        <v>44829.83217592593</v>
      </c>
      <c r="C25" s="1" t="n">
        <v>46186</v>
      </c>
      <c r="D25" t="inlineStr">
        <is>
          <t>DALARNAS LÄN</t>
        </is>
      </c>
      <c r="E25" t="inlineStr">
        <is>
          <t>SMEDJEBACKEN</t>
        </is>
      </c>
      <c r="G25" t="n">
        <v>0.7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Dropptaggsvamp</t>
        </is>
      </c>
      <c r="S25">
        <f>HYPERLINK("https://klasma.github.io/Logging_2061/artfynd/A 41870-2022 artfynd.xlsx", "A 41870-2022")</f>
        <v/>
      </c>
      <c r="T25">
        <f>HYPERLINK("https://klasma.github.io/Logging_2061/kartor/A 41870-2022 karta.png", "A 41870-2022")</f>
        <v/>
      </c>
      <c r="V25">
        <f>HYPERLINK("https://klasma.github.io/Logging_2061/klagomål/A 41870-2022 FSC-klagomål.docx", "A 41870-2022")</f>
        <v/>
      </c>
      <c r="W25">
        <f>HYPERLINK("https://klasma.github.io/Logging_2061/klagomålsmail/A 41870-2022 FSC-klagomål mail.docx", "A 41870-2022")</f>
        <v/>
      </c>
      <c r="X25">
        <f>HYPERLINK("https://klasma.github.io/Logging_2061/tillsyn/A 41870-2022 tillsynsbegäran.docx", "A 41870-2022")</f>
        <v/>
      </c>
      <c r="Y25">
        <f>HYPERLINK("https://klasma.github.io/Logging_2061/tillsynsmail/A 41870-2022 tillsynsbegäran mail.docx", "A 41870-2022")</f>
        <v/>
      </c>
    </row>
    <row r="26" ht="15" customHeight="1">
      <c r="A26" t="inlineStr">
        <is>
          <t>A 50681-2025</t>
        </is>
      </c>
      <c r="B26" s="1" t="n">
        <v>45945</v>
      </c>
      <c r="C26" s="1" t="n">
        <v>46186</v>
      </c>
      <c r="D26" t="inlineStr">
        <is>
          <t>DALARNAS LÄN</t>
        </is>
      </c>
      <c r="E26" t="inlineStr">
        <is>
          <t>SMEDJEBACKEN</t>
        </is>
      </c>
      <c r="F26" t="inlineStr">
        <is>
          <t>Bergvik skog väst AB</t>
        </is>
      </c>
      <c r="G26" t="n">
        <v>5.2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Bollvitmossa</t>
        </is>
      </c>
      <c r="S26">
        <f>HYPERLINK("https://klasma.github.io/Logging_2061/artfynd/A 50681-2025 artfynd.xlsx", "A 50681-2025")</f>
        <v/>
      </c>
      <c r="T26">
        <f>HYPERLINK("https://klasma.github.io/Logging_2061/kartor/A 50681-2025 karta.png", "A 50681-2025")</f>
        <v/>
      </c>
      <c r="V26">
        <f>HYPERLINK("https://klasma.github.io/Logging_2061/klagomål/A 50681-2025 FSC-klagomål.docx", "A 50681-2025")</f>
        <v/>
      </c>
      <c r="W26">
        <f>HYPERLINK("https://klasma.github.io/Logging_2061/klagomålsmail/A 50681-2025 FSC-klagomål mail.docx", "A 50681-2025")</f>
        <v/>
      </c>
      <c r="X26">
        <f>HYPERLINK("https://klasma.github.io/Logging_2061/tillsyn/A 50681-2025 tillsynsbegäran.docx", "A 50681-2025")</f>
        <v/>
      </c>
      <c r="Y26">
        <f>HYPERLINK("https://klasma.github.io/Logging_2061/tillsynsmail/A 50681-2025 tillsynsbegäran mail.docx", "A 50681-2025")</f>
        <v/>
      </c>
    </row>
    <row r="27" ht="15" customHeight="1">
      <c r="A27" t="inlineStr">
        <is>
          <t>A 34942-2024</t>
        </is>
      </c>
      <c r="B27" s="1" t="n">
        <v>45527</v>
      </c>
      <c r="C27" s="1" t="n">
        <v>46186</v>
      </c>
      <c r="D27" t="inlineStr">
        <is>
          <t>DALARNAS LÄN</t>
        </is>
      </c>
      <c r="E27" t="inlineStr">
        <is>
          <t>SMEDJEBACKEN</t>
        </is>
      </c>
      <c r="G27" t="n">
        <v>11</v>
      </c>
      <c r="H27" t="n">
        <v>0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Skogsklocka</t>
        </is>
      </c>
      <c r="S27">
        <f>HYPERLINK("https://klasma.github.io/Logging_2061/artfynd/A 34942-2024 artfynd.xlsx", "A 34942-2024")</f>
        <v/>
      </c>
      <c r="T27">
        <f>HYPERLINK("https://klasma.github.io/Logging_2061/kartor/A 34942-2024 karta.png", "A 34942-2024")</f>
        <v/>
      </c>
      <c r="V27">
        <f>HYPERLINK("https://klasma.github.io/Logging_2061/klagomål/A 34942-2024 FSC-klagomål.docx", "A 34942-2024")</f>
        <v/>
      </c>
      <c r="W27">
        <f>HYPERLINK("https://klasma.github.io/Logging_2061/klagomålsmail/A 34942-2024 FSC-klagomål mail.docx", "A 34942-2024")</f>
        <v/>
      </c>
      <c r="X27">
        <f>HYPERLINK("https://klasma.github.io/Logging_2061/tillsyn/A 34942-2024 tillsynsbegäran.docx", "A 34942-2024")</f>
        <v/>
      </c>
      <c r="Y27">
        <f>HYPERLINK("https://klasma.github.io/Logging_2061/tillsynsmail/A 34942-2024 tillsynsbegäran mail.docx", "A 34942-2024")</f>
        <v/>
      </c>
    </row>
    <row r="28" ht="15" customHeight="1">
      <c r="A28" t="inlineStr">
        <is>
          <t>A 37313-2024</t>
        </is>
      </c>
      <c r="B28" s="1" t="n">
        <v>45540</v>
      </c>
      <c r="C28" s="1" t="n">
        <v>46186</v>
      </c>
      <c r="D28" t="inlineStr">
        <is>
          <t>DALARNAS LÄN</t>
        </is>
      </c>
      <c r="E28" t="inlineStr">
        <is>
          <t>SMEDJEBACKEN</t>
        </is>
      </c>
      <c r="F28" t="inlineStr">
        <is>
          <t>Bergvik skog väst AB</t>
        </is>
      </c>
      <c r="G28" t="n">
        <v>46.5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Fjällig taggsvamp s.str.</t>
        </is>
      </c>
      <c r="S28">
        <f>HYPERLINK("https://klasma.github.io/Logging_2061/artfynd/A 37313-2024 artfynd.xlsx", "A 37313-2024")</f>
        <v/>
      </c>
      <c r="T28">
        <f>HYPERLINK("https://klasma.github.io/Logging_2061/kartor/A 37313-2024 karta.png", "A 37313-2024")</f>
        <v/>
      </c>
      <c r="V28">
        <f>HYPERLINK("https://klasma.github.io/Logging_2061/klagomål/A 37313-2024 FSC-klagomål.docx", "A 37313-2024")</f>
        <v/>
      </c>
      <c r="W28">
        <f>HYPERLINK("https://klasma.github.io/Logging_2061/klagomålsmail/A 37313-2024 FSC-klagomål mail.docx", "A 37313-2024")</f>
        <v/>
      </c>
      <c r="X28">
        <f>HYPERLINK("https://klasma.github.io/Logging_2061/tillsyn/A 37313-2024 tillsynsbegäran.docx", "A 37313-2024")</f>
        <v/>
      </c>
      <c r="Y28">
        <f>HYPERLINK("https://klasma.github.io/Logging_2061/tillsynsmail/A 37313-2024 tillsynsbegäran mail.docx", "A 37313-2024")</f>
        <v/>
      </c>
    </row>
    <row r="29" ht="15" customHeight="1">
      <c r="A29" t="inlineStr">
        <is>
          <t>A 53977-2023</t>
        </is>
      </c>
      <c r="B29" s="1" t="n">
        <v>45225</v>
      </c>
      <c r="C29" s="1" t="n">
        <v>46186</v>
      </c>
      <c r="D29" t="inlineStr">
        <is>
          <t>DALARNAS LÄN</t>
        </is>
      </c>
      <c r="E29" t="inlineStr">
        <is>
          <t>SMEDJEBACKEN</t>
        </is>
      </c>
      <c r="F29" t="inlineStr">
        <is>
          <t>Bergvik skog väst AB</t>
        </is>
      </c>
      <c r="G29" t="n">
        <v>7.1</v>
      </c>
      <c r="H29" t="n">
        <v>1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Nattskärra</t>
        </is>
      </c>
      <c r="S29">
        <f>HYPERLINK("https://klasma.github.io/Logging_2061/artfynd/A 53977-2023 artfynd.xlsx", "A 53977-2023")</f>
        <v/>
      </c>
      <c r="T29">
        <f>HYPERLINK("https://klasma.github.io/Logging_2061/kartor/A 53977-2023 karta.png", "A 53977-2023")</f>
        <v/>
      </c>
      <c r="V29">
        <f>HYPERLINK("https://klasma.github.io/Logging_2061/klagomål/A 53977-2023 FSC-klagomål.docx", "A 53977-2023")</f>
        <v/>
      </c>
      <c r="W29">
        <f>HYPERLINK("https://klasma.github.io/Logging_2061/klagomålsmail/A 53977-2023 FSC-klagomål mail.docx", "A 53977-2023")</f>
        <v/>
      </c>
      <c r="X29">
        <f>HYPERLINK("https://klasma.github.io/Logging_2061/tillsyn/A 53977-2023 tillsynsbegäran.docx", "A 53977-2023")</f>
        <v/>
      </c>
      <c r="Y29">
        <f>HYPERLINK("https://klasma.github.io/Logging_2061/tillsynsmail/A 53977-2023 tillsynsbegäran mail.docx", "A 53977-2023")</f>
        <v/>
      </c>
      <c r="Z29">
        <f>HYPERLINK("https://klasma.github.io/Logging_2061/fåglar/A 53977-2023 prioriterade fågelarter.docx", "A 53977-2023")</f>
        <v/>
      </c>
    </row>
    <row r="30" ht="15" customHeight="1">
      <c r="A30" t="inlineStr">
        <is>
          <t>A 60816-2025</t>
        </is>
      </c>
      <c r="B30" s="1" t="n">
        <v>45999.44971064815</v>
      </c>
      <c r="C30" s="1" t="n">
        <v>46186</v>
      </c>
      <c r="D30" t="inlineStr">
        <is>
          <t>DALARNAS LÄN</t>
        </is>
      </c>
      <c r="E30" t="inlineStr">
        <is>
          <t>SMEDJEBACKEN</t>
        </is>
      </c>
      <c r="G30" t="n">
        <v>2.3</v>
      </c>
      <c r="H30" t="n">
        <v>0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Jättesvampmal</t>
        </is>
      </c>
      <c r="S30">
        <f>HYPERLINK("https://klasma.github.io/Logging_2061/artfynd/A 60816-2025 artfynd.xlsx", "A 60816-2025")</f>
        <v/>
      </c>
      <c r="T30">
        <f>HYPERLINK("https://klasma.github.io/Logging_2061/kartor/A 60816-2025 karta.png", "A 60816-2025")</f>
        <v/>
      </c>
      <c r="V30">
        <f>HYPERLINK("https://klasma.github.io/Logging_2061/klagomål/A 60816-2025 FSC-klagomål.docx", "A 60816-2025")</f>
        <v/>
      </c>
      <c r="W30">
        <f>HYPERLINK("https://klasma.github.io/Logging_2061/klagomålsmail/A 60816-2025 FSC-klagomål mail.docx", "A 60816-2025")</f>
        <v/>
      </c>
      <c r="X30">
        <f>HYPERLINK("https://klasma.github.io/Logging_2061/tillsyn/A 60816-2025 tillsynsbegäran.docx", "A 60816-2025")</f>
        <v/>
      </c>
      <c r="Y30">
        <f>HYPERLINK("https://klasma.github.io/Logging_2061/tillsynsmail/A 60816-2025 tillsynsbegäran mail.docx", "A 60816-2025")</f>
        <v/>
      </c>
    </row>
    <row r="31" ht="15" customHeight="1">
      <c r="A31" t="inlineStr">
        <is>
          <t>A 63048-2025</t>
        </is>
      </c>
      <c r="B31" s="1" t="n">
        <v>46009.62458333333</v>
      </c>
      <c r="C31" s="1" t="n">
        <v>46186</v>
      </c>
      <c r="D31" t="inlineStr">
        <is>
          <t>DALARNAS LÄN</t>
        </is>
      </c>
      <c r="E31" t="inlineStr">
        <is>
          <t>SMEDJEBACKEN</t>
        </is>
      </c>
      <c r="F31" t="inlineStr">
        <is>
          <t>Övriga Aktiebolag</t>
        </is>
      </c>
      <c r="G31" t="n">
        <v>1.4</v>
      </c>
      <c r="H31" t="n">
        <v>1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Blåsippa</t>
        </is>
      </c>
      <c r="S31">
        <f>HYPERLINK("https://klasma.github.io/Logging_2061/artfynd/A 63048-2025 artfynd.xlsx", "A 63048-2025")</f>
        <v/>
      </c>
      <c r="T31">
        <f>HYPERLINK("https://klasma.github.io/Logging_2061/kartor/A 63048-2025 karta.png", "A 63048-2025")</f>
        <v/>
      </c>
      <c r="V31">
        <f>HYPERLINK("https://klasma.github.io/Logging_2061/klagomål/A 63048-2025 FSC-klagomål.docx", "A 63048-2025")</f>
        <v/>
      </c>
      <c r="W31">
        <f>HYPERLINK("https://klasma.github.io/Logging_2061/klagomålsmail/A 63048-2025 FSC-klagomål mail.docx", "A 63048-2025")</f>
        <v/>
      </c>
      <c r="X31">
        <f>HYPERLINK("https://klasma.github.io/Logging_2061/tillsyn/A 63048-2025 tillsynsbegäran.docx", "A 63048-2025")</f>
        <v/>
      </c>
      <c r="Y31">
        <f>HYPERLINK("https://klasma.github.io/Logging_2061/tillsynsmail/A 63048-2025 tillsynsbegäran mail.docx", "A 63048-2025")</f>
        <v/>
      </c>
    </row>
    <row r="32" ht="15" customHeight="1">
      <c r="A32" t="inlineStr">
        <is>
          <t>A 54156-2023</t>
        </is>
      </c>
      <c r="B32" s="1" t="n">
        <v>45225</v>
      </c>
      <c r="C32" s="1" t="n">
        <v>46186</v>
      </c>
      <c r="D32" t="inlineStr">
        <is>
          <t>DALARNAS LÄN</t>
        </is>
      </c>
      <c r="E32" t="inlineStr">
        <is>
          <t>SMEDJEBACKEN</t>
        </is>
      </c>
      <c r="F32" t="inlineStr">
        <is>
          <t>Bergvik skog väst AB</t>
        </is>
      </c>
      <c r="G32" t="n">
        <v>26.3</v>
      </c>
      <c r="H32" t="n">
        <v>1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Revlummer</t>
        </is>
      </c>
      <c r="S32">
        <f>HYPERLINK("https://klasma.github.io/Logging_2061/artfynd/A 54156-2023 artfynd.xlsx", "A 54156-2023")</f>
        <v/>
      </c>
      <c r="T32">
        <f>HYPERLINK("https://klasma.github.io/Logging_2061/kartor/A 54156-2023 karta.png", "A 54156-2023")</f>
        <v/>
      </c>
      <c r="V32">
        <f>HYPERLINK("https://klasma.github.io/Logging_2061/klagomål/A 54156-2023 FSC-klagomål.docx", "A 54156-2023")</f>
        <v/>
      </c>
      <c r="W32">
        <f>HYPERLINK("https://klasma.github.io/Logging_2061/klagomålsmail/A 54156-2023 FSC-klagomål mail.docx", "A 54156-2023")</f>
        <v/>
      </c>
      <c r="X32">
        <f>HYPERLINK("https://klasma.github.io/Logging_2061/tillsyn/A 54156-2023 tillsynsbegäran.docx", "A 54156-2023")</f>
        <v/>
      </c>
      <c r="Y32">
        <f>HYPERLINK("https://klasma.github.io/Logging_2061/tillsynsmail/A 54156-2023 tillsynsbegäran mail.docx", "A 54156-2023")</f>
        <v/>
      </c>
    </row>
    <row r="33" ht="15" customHeight="1">
      <c r="A33" t="inlineStr">
        <is>
          <t>A 41336-2022</t>
        </is>
      </c>
      <c r="B33" s="1" t="n">
        <v>44826</v>
      </c>
      <c r="C33" s="1" t="n">
        <v>46186</v>
      </c>
      <c r="D33" t="inlineStr">
        <is>
          <t>DALARNAS LÄN</t>
        </is>
      </c>
      <c r="E33" t="inlineStr">
        <is>
          <t>SMEDJEBACKEN</t>
        </is>
      </c>
      <c r="G33" t="n">
        <v>2.3</v>
      </c>
      <c r="H33" t="n">
        <v>1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Spillkråka</t>
        </is>
      </c>
      <c r="S33">
        <f>HYPERLINK("https://klasma.github.io/Logging_2061/artfynd/A 41336-2022 artfynd.xlsx", "A 41336-2022")</f>
        <v/>
      </c>
      <c r="T33">
        <f>HYPERLINK("https://klasma.github.io/Logging_2061/kartor/A 41336-2022 karta.png", "A 41336-2022")</f>
        <v/>
      </c>
      <c r="V33">
        <f>HYPERLINK("https://klasma.github.io/Logging_2061/klagomål/A 41336-2022 FSC-klagomål.docx", "A 41336-2022")</f>
        <v/>
      </c>
      <c r="W33">
        <f>HYPERLINK("https://klasma.github.io/Logging_2061/klagomålsmail/A 41336-2022 FSC-klagomål mail.docx", "A 41336-2022")</f>
        <v/>
      </c>
      <c r="X33">
        <f>HYPERLINK("https://klasma.github.io/Logging_2061/tillsyn/A 41336-2022 tillsynsbegäran.docx", "A 41336-2022")</f>
        <v/>
      </c>
      <c r="Y33">
        <f>HYPERLINK("https://klasma.github.io/Logging_2061/tillsynsmail/A 41336-2022 tillsynsbegäran mail.docx", "A 41336-2022")</f>
        <v/>
      </c>
      <c r="Z33">
        <f>HYPERLINK("https://klasma.github.io/Logging_2061/fåglar/A 41336-2022 prioriterade fågelarter.docx", "A 41336-2022")</f>
        <v/>
      </c>
    </row>
    <row r="34" ht="15" customHeight="1">
      <c r="A34" t="inlineStr">
        <is>
          <t>A 11364-2025</t>
        </is>
      </c>
      <c r="B34" s="1" t="n">
        <v>45726</v>
      </c>
      <c r="C34" s="1" t="n">
        <v>46186</v>
      </c>
      <c r="D34" t="inlineStr">
        <is>
          <t>DALARNAS LÄN</t>
        </is>
      </c>
      <c r="E34" t="inlineStr">
        <is>
          <t>SMEDJEBACKEN</t>
        </is>
      </c>
      <c r="F34" t="inlineStr">
        <is>
          <t>Bergvik skog väst AB</t>
        </is>
      </c>
      <c r="G34" t="n">
        <v>3.5</v>
      </c>
      <c r="H34" t="n">
        <v>1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Blåsippa</t>
        </is>
      </c>
      <c r="S34">
        <f>HYPERLINK("https://klasma.github.io/Logging_2061/artfynd/A 11364-2025 artfynd.xlsx", "A 11364-2025")</f>
        <v/>
      </c>
      <c r="T34">
        <f>HYPERLINK("https://klasma.github.io/Logging_2061/kartor/A 11364-2025 karta.png", "A 11364-2025")</f>
        <v/>
      </c>
      <c r="V34">
        <f>HYPERLINK("https://klasma.github.io/Logging_2061/klagomål/A 11364-2025 FSC-klagomål.docx", "A 11364-2025")</f>
        <v/>
      </c>
      <c r="W34">
        <f>HYPERLINK("https://klasma.github.io/Logging_2061/klagomålsmail/A 11364-2025 FSC-klagomål mail.docx", "A 11364-2025")</f>
        <v/>
      </c>
      <c r="X34">
        <f>HYPERLINK("https://klasma.github.io/Logging_2061/tillsyn/A 11364-2025 tillsynsbegäran.docx", "A 11364-2025")</f>
        <v/>
      </c>
      <c r="Y34">
        <f>HYPERLINK("https://klasma.github.io/Logging_2061/tillsynsmail/A 11364-2025 tillsynsbegäran mail.docx", "A 11364-2025")</f>
        <v/>
      </c>
    </row>
    <row r="35" ht="15" customHeight="1">
      <c r="A35" t="inlineStr">
        <is>
          <t>A 24549-2022</t>
        </is>
      </c>
      <c r="B35" s="1" t="n">
        <v>44727</v>
      </c>
      <c r="C35" s="1" t="n">
        <v>46186</v>
      </c>
      <c r="D35" t="inlineStr">
        <is>
          <t>DALARNAS LÄN</t>
        </is>
      </c>
      <c r="E35" t="inlineStr">
        <is>
          <t>SMEDJEBACKEN</t>
        </is>
      </c>
      <c r="F35" t="inlineStr">
        <is>
          <t>Bergvik skog väst AB</t>
        </is>
      </c>
      <c r="G35" t="n">
        <v>3.3</v>
      </c>
      <c r="H35" t="n">
        <v>1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Blåsippa</t>
        </is>
      </c>
      <c r="S35">
        <f>HYPERLINK("https://klasma.github.io/Logging_2061/artfynd/A 24549-2022 artfynd.xlsx", "A 24549-2022")</f>
        <v/>
      </c>
      <c r="T35">
        <f>HYPERLINK("https://klasma.github.io/Logging_2061/kartor/A 24549-2022 karta.png", "A 24549-2022")</f>
        <v/>
      </c>
      <c r="V35">
        <f>HYPERLINK("https://klasma.github.io/Logging_2061/klagomål/A 24549-2022 FSC-klagomål.docx", "A 24549-2022")</f>
        <v/>
      </c>
      <c r="W35">
        <f>HYPERLINK("https://klasma.github.io/Logging_2061/klagomålsmail/A 24549-2022 FSC-klagomål mail.docx", "A 24549-2022")</f>
        <v/>
      </c>
      <c r="X35">
        <f>HYPERLINK("https://klasma.github.io/Logging_2061/tillsyn/A 24549-2022 tillsynsbegäran.docx", "A 24549-2022")</f>
        <v/>
      </c>
      <c r="Y35">
        <f>HYPERLINK("https://klasma.github.io/Logging_2061/tillsynsmail/A 24549-2022 tillsynsbegäran mail.docx", "A 24549-2022")</f>
        <v/>
      </c>
    </row>
    <row r="36" ht="15" customHeight="1">
      <c r="A36" t="inlineStr">
        <is>
          <t>A 15389-2024</t>
        </is>
      </c>
      <c r="B36" s="1" t="n">
        <v>45401.2678125</v>
      </c>
      <c r="C36" s="1" t="n">
        <v>46186</v>
      </c>
      <c r="D36" t="inlineStr">
        <is>
          <t>DALARNAS LÄN</t>
        </is>
      </c>
      <c r="E36" t="inlineStr">
        <is>
          <t>SMEDJEBACKEN</t>
        </is>
      </c>
      <c r="F36" t="inlineStr">
        <is>
          <t>Sveaskog</t>
        </is>
      </c>
      <c r="G36" t="n">
        <v>2.8</v>
      </c>
      <c r="H36" t="n">
        <v>0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Svavelriska</t>
        </is>
      </c>
      <c r="S36">
        <f>HYPERLINK("https://klasma.github.io/Logging_2061/artfynd/A 15389-2024 artfynd.xlsx", "A 15389-2024")</f>
        <v/>
      </c>
      <c r="T36">
        <f>HYPERLINK("https://klasma.github.io/Logging_2061/kartor/A 15389-2024 karta.png", "A 15389-2024")</f>
        <v/>
      </c>
      <c r="V36">
        <f>HYPERLINK("https://klasma.github.io/Logging_2061/klagomål/A 15389-2024 FSC-klagomål.docx", "A 15389-2024")</f>
        <v/>
      </c>
      <c r="W36">
        <f>HYPERLINK("https://klasma.github.io/Logging_2061/klagomålsmail/A 15389-2024 FSC-klagomål mail.docx", "A 15389-2024")</f>
        <v/>
      </c>
      <c r="X36">
        <f>HYPERLINK("https://klasma.github.io/Logging_2061/tillsyn/A 15389-2024 tillsynsbegäran.docx", "A 15389-2024")</f>
        <v/>
      </c>
      <c r="Y36">
        <f>HYPERLINK("https://klasma.github.io/Logging_2061/tillsynsmail/A 15389-2024 tillsynsbegäran mail.docx", "A 15389-2024")</f>
        <v/>
      </c>
    </row>
    <row r="37" ht="15" customHeight="1">
      <c r="A37" t="inlineStr">
        <is>
          <t>A 55851-2021</t>
        </is>
      </c>
      <c r="B37" s="1" t="n">
        <v>44476</v>
      </c>
      <c r="C37" s="1" t="n">
        <v>46186</v>
      </c>
      <c r="D37" t="inlineStr">
        <is>
          <t>DALARNAS LÄN</t>
        </is>
      </c>
      <c r="E37" t="inlineStr">
        <is>
          <t>SMEDJEBACKEN</t>
        </is>
      </c>
      <c r="F37" t="inlineStr">
        <is>
          <t>Övriga Aktiebolag</t>
        </is>
      </c>
      <c r="G37" t="n">
        <v>2.6</v>
      </c>
      <c r="H37" t="n">
        <v>1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Talltita</t>
        </is>
      </c>
      <c r="S37">
        <f>HYPERLINK("https://klasma.github.io/Logging_2061/artfynd/A 55851-2021 artfynd.xlsx", "A 55851-2021")</f>
        <v/>
      </c>
      <c r="T37">
        <f>HYPERLINK("https://klasma.github.io/Logging_2061/kartor/A 55851-2021 karta.png", "A 55851-2021")</f>
        <v/>
      </c>
      <c r="V37">
        <f>HYPERLINK("https://klasma.github.io/Logging_2061/klagomål/A 55851-2021 FSC-klagomål.docx", "A 55851-2021")</f>
        <v/>
      </c>
      <c r="W37">
        <f>HYPERLINK("https://klasma.github.io/Logging_2061/klagomålsmail/A 55851-2021 FSC-klagomål mail.docx", "A 55851-2021")</f>
        <v/>
      </c>
      <c r="X37">
        <f>HYPERLINK("https://klasma.github.io/Logging_2061/tillsyn/A 55851-2021 tillsynsbegäran.docx", "A 55851-2021")</f>
        <v/>
      </c>
      <c r="Y37">
        <f>HYPERLINK("https://klasma.github.io/Logging_2061/tillsynsmail/A 55851-2021 tillsynsbegäran mail.docx", "A 55851-2021")</f>
        <v/>
      </c>
      <c r="Z37">
        <f>HYPERLINK("https://klasma.github.io/Logging_2061/fåglar/A 55851-2021 prioriterade fågelarter.docx", "A 55851-2021")</f>
        <v/>
      </c>
    </row>
    <row r="38" ht="15" customHeight="1">
      <c r="A38" t="inlineStr">
        <is>
          <t>A 52242-2024</t>
        </is>
      </c>
      <c r="B38" s="1" t="n">
        <v>45607</v>
      </c>
      <c r="C38" s="1" t="n">
        <v>46186</v>
      </c>
      <c r="D38" t="inlineStr">
        <is>
          <t>DALARNAS LÄN</t>
        </is>
      </c>
      <c r="E38" t="inlineStr">
        <is>
          <t>SMEDJEBACKEN</t>
        </is>
      </c>
      <c r="F38" t="inlineStr">
        <is>
          <t>Bergvik skog väst AB</t>
        </is>
      </c>
      <c r="G38" t="n">
        <v>26.2</v>
      </c>
      <c r="H38" t="n">
        <v>1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Havsörn</t>
        </is>
      </c>
      <c r="S38">
        <f>HYPERLINK("https://klasma.github.io/Logging_2061/artfynd/A 52242-2024 artfynd.xlsx", "A 52242-2024")</f>
        <v/>
      </c>
      <c r="T38">
        <f>HYPERLINK("https://klasma.github.io/Logging_2061/kartor/A 52242-2024 karta.png", "A 52242-2024")</f>
        <v/>
      </c>
      <c r="V38">
        <f>HYPERLINK("https://klasma.github.io/Logging_2061/klagomål/A 52242-2024 FSC-klagomål.docx", "A 52242-2024")</f>
        <v/>
      </c>
      <c r="W38">
        <f>HYPERLINK("https://klasma.github.io/Logging_2061/klagomålsmail/A 52242-2024 FSC-klagomål mail.docx", "A 52242-2024")</f>
        <v/>
      </c>
      <c r="X38">
        <f>HYPERLINK("https://klasma.github.io/Logging_2061/tillsyn/A 52242-2024 tillsynsbegäran.docx", "A 52242-2024")</f>
        <v/>
      </c>
      <c r="Y38">
        <f>HYPERLINK("https://klasma.github.io/Logging_2061/tillsynsmail/A 52242-2024 tillsynsbegäran mail.docx", "A 52242-2024")</f>
        <v/>
      </c>
      <c r="Z38">
        <f>HYPERLINK("https://klasma.github.io/Logging_2061/fåglar/A 52242-2024 prioriterade fågelarter.docx", "A 52242-2024")</f>
        <v/>
      </c>
    </row>
    <row r="39" ht="15" customHeight="1">
      <c r="A39" t="inlineStr">
        <is>
          <t>A 21421-2023</t>
        </is>
      </c>
      <c r="B39" s="1" t="n">
        <v>45063</v>
      </c>
      <c r="C39" s="1" t="n">
        <v>46186</v>
      </c>
      <c r="D39" t="inlineStr">
        <is>
          <t>DALARNAS LÄN</t>
        </is>
      </c>
      <c r="E39" t="inlineStr">
        <is>
          <t>SMEDJEBACKEN</t>
        </is>
      </c>
      <c r="F39" t="inlineStr">
        <is>
          <t>Bergvik skog väst AB</t>
        </is>
      </c>
      <c r="G39" t="n">
        <v>0.5</v>
      </c>
      <c r="H39" t="n">
        <v>0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Barrpraktbagge</t>
        </is>
      </c>
      <c r="S39">
        <f>HYPERLINK("https://klasma.github.io/Logging_2061/artfynd/A 21421-2023 artfynd.xlsx", "A 21421-2023")</f>
        <v/>
      </c>
      <c r="T39">
        <f>HYPERLINK("https://klasma.github.io/Logging_2061/kartor/A 21421-2023 karta.png", "A 21421-2023")</f>
        <v/>
      </c>
      <c r="V39">
        <f>HYPERLINK("https://klasma.github.io/Logging_2061/klagomål/A 21421-2023 FSC-klagomål.docx", "A 21421-2023")</f>
        <v/>
      </c>
      <c r="W39">
        <f>HYPERLINK("https://klasma.github.io/Logging_2061/klagomålsmail/A 21421-2023 FSC-klagomål mail.docx", "A 21421-2023")</f>
        <v/>
      </c>
      <c r="X39">
        <f>HYPERLINK("https://klasma.github.io/Logging_2061/tillsyn/A 21421-2023 tillsynsbegäran.docx", "A 21421-2023")</f>
        <v/>
      </c>
      <c r="Y39">
        <f>HYPERLINK("https://klasma.github.io/Logging_2061/tillsynsmail/A 21421-2023 tillsynsbegäran mail.docx", "A 21421-2023")</f>
        <v/>
      </c>
    </row>
    <row r="40" ht="15" customHeight="1">
      <c r="A40" t="inlineStr">
        <is>
          <t>A 52953-2023</t>
        </is>
      </c>
      <c r="B40" s="1" t="n">
        <v>45226.58356481481</v>
      </c>
      <c r="C40" s="1" t="n">
        <v>46186</v>
      </c>
      <c r="D40" t="inlineStr">
        <is>
          <t>DALARNAS LÄN</t>
        </is>
      </c>
      <c r="E40" t="inlineStr">
        <is>
          <t>SMEDJEBACKEN</t>
        </is>
      </c>
      <c r="F40" t="inlineStr">
        <is>
          <t>Sveaskog</t>
        </is>
      </c>
      <c r="G40" t="n">
        <v>0.9</v>
      </c>
      <c r="H40" t="n">
        <v>0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Motaggsvamp</t>
        </is>
      </c>
      <c r="S40">
        <f>HYPERLINK("https://klasma.github.io/Logging_2061/artfynd/A 52953-2023 artfynd.xlsx", "A 52953-2023")</f>
        <v/>
      </c>
      <c r="T40">
        <f>HYPERLINK("https://klasma.github.io/Logging_2061/kartor/A 52953-2023 karta.png", "A 52953-2023")</f>
        <v/>
      </c>
      <c r="V40">
        <f>HYPERLINK("https://klasma.github.io/Logging_2061/klagomål/A 52953-2023 FSC-klagomål.docx", "A 52953-2023")</f>
        <v/>
      </c>
      <c r="W40">
        <f>HYPERLINK("https://klasma.github.io/Logging_2061/klagomålsmail/A 52953-2023 FSC-klagomål mail.docx", "A 52953-2023")</f>
        <v/>
      </c>
      <c r="X40">
        <f>HYPERLINK("https://klasma.github.io/Logging_2061/tillsyn/A 52953-2023 tillsynsbegäran.docx", "A 52953-2023")</f>
        <v/>
      </c>
      <c r="Y40">
        <f>HYPERLINK("https://klasma.github.io/Logging_2061/tillsynsmail/A 52953-2023 tillsynsbegäran mail.docx", "A 52953-2023")</f>
        <v/>
      </c>
    </row>
    <row r="41" ht="15" customHeight="1">
      <c r="A41" t="inlineStr">
        <is>
          <t>A 39832-2024</t>
        </is>
      </c>
      <c r="B41" s="1" t="n">
        <v>45553.40890046296</v>
      </c>
      <c r="C41" s="1" t="n">
        <v>46186</v>
      </c>
      <c r="D41" t="inlineStr">
        <is>
          <t>DALARNAS LÄN</t>
        </is>
      </c>
      <c r="E41" t="inlineStr">
        <is>
          <t>SMEDJEBACKEN</t>
        </is>
      </c>
      <c r="G41" t="n">
        <v>2.4</v>
      </c>
      <c r="H41" t="n">
        <v>1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Revlummer</t>
        </is>
      </c>
      <c r="S41">
        <f>HYPERLINK("https://klasma.github.io/Logging_2061/artfynd/A 39832-2024 artfynd.xlsx", "A 39832-2024")</f>
        <v/>
      </c>
      <c r="T41">
        <f>HYPERLINK("https://klasma.github.io/Logging_2061/kartor/A 39832-2024 karta.png", "A 39832-2024")</f>
        <v/>
      </c>
      <c r="V41">
        <f>HYPERLINK("https://klasma.github.io/Logging_2061/klagomål/A 39832-2024 FSC-klagomål.docx", "A 39832-2024")</f>
        <v/>
      </c>
      <c r="W41">
        <f>HYPERLINK("https://klasma.github.io/Logging_2061/klagomålsmail/A 39832-2024 FSC-klagomål mail.docx", "A 39832-2024")</f>
        <v/>
      </c>
      <c r="X41">
        <f>HYPERLINK("https://klasma.github.io/Logging_2061/tillsyn/A 39832-2024 tillsynsbegäran.docx", "A 39832-2024")</f>
        <v/>
      </c>
      <c r="Y41">
        <f>HYPERLINK("https://klasma.github.io/Logging_2061/tillsynsmail/A 39832-2024 tillsynsbegäran mail.docx", "A 39832-2024")</f>
        <v/>
      </c>
    </row>
    <row r="42" ht="15" customHeight="1">
      <c r="A42" t="inlineStr">
        <is>
          <t>A 21507-2024</t>
        </is>
      </c>
      <c r="B42" s="1" t="n">
        <v>45441.56653935185</v>
      </c>
      <c r="C42" s="1" t="n">
        <v>46186</v>
      </c>
      <c r="D42" t="inlineStr">
        <is>
          <t>DALARNAS LÄN</t>
        </is>
      </c>
      <c r="E42" t="inlineStr">
        <is>
          <t>SMEDJEBACKEN</t>
        </is>
      </c>
      <c r="F42" t="inlineStr">
        <is>
          <t>Sveaskog</t>
        </is>
      </c>
      <c r="G42" t="n">
        <v>16</v>
      </c>
      <c r="H42" t="n">
        <v>0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Ullticka</t>
        </is>
      </c>
      <c r="S42">
        <f>HYPERLINK("https://klasma.github.io/Logging_2061/artfynd/A 21507-2024 artfynd.xlsx", "A 21507-2024")</f>
        <v/>
      </c>
      <c r="T42">
        <f>HYPERLINK("https://klasma.github.io/Logging_2061/kartor/A 21507-2024 karta.png", "A 21507-2024")</f>
        <v/>
      </c>
      <c r="V42">
        <f>HYPERLINK("https://klasma.github.io/Logging_2061/klagomål/A 21507-2024 FSC-klagomål.docx", "A 21507-2024")</f>
        <v/>
      </c>
      <c r="W42">
        <f>HYPERLINK("https://klasma.github.io/Logging_2061/klagomålsmail/A 21507-2024 FSC-klagomål mail.docx", "A 21507-2024")</f>
        <v/>
      </c>
      <c r="X42">
        <f>HYPERLINK("https://klasma.github.io/Logging_2061/tillsyn/A 21507-2024 tillsynsbegäran.docx", "A 21507-2024")</f>
        <v/>
      </c>
      <c r="Y42">
        <f>HYPERLINK("https://klasma.github.io/Logging_2061/tillsynsmail/A 21507-2024 tillsynsbegäran mail.docx", "A 21507-2024")</f>
        <v/>
      </c>
    </row>
    <row r="43" ht="15" customHeight="1">
      <c r="A43" t="inlineStr">
        <is>
          <t>A 30003-2023</t>
        </is>
      </c>
      <c r="B43" s="1" t="n">
        <v>45109</v>
      </c>
      <c r="C43" s="1" t="n">
        <v>46186</v>
      </c>
      <c r="D43" t="inlineStr">
        <is>
          <t>DALARNAS LÄN</t>
        </is>
      </c>
      <c r="E43" t="inlineStr">
        <is>
          <t>SMEDJEBACKEN</t>
        </is>
      </c>
      <c r="G43" t="n">
        <v>1.6</v>
      </c>
      <c r="H43" t="n">
        <v>1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Fläcknycklar</t>
        </is>
      </c>
      <c r="S43">
        <f>HYPERLINK("https://klasma.github.io/Logging_2061/artfynd/A 30003-2023 artfynd.xlsx", "A 30003-2023")</f>
        <v/>
      </c>
      <c r="T43">
        <f>HYPERLINK("https://klasma.github.io/Logging_2061/kartor/A 30003-2023 karta.png", "A 30003-2023")</f>
        <v/>
      </c>
      <c r="V43">
        <f>HYPERLINK("https://klasma.github.io/Logging_2061/klagomål/A 30003-2023 FSC-klagomål.docx", "A 30003-2023")</f>
        <v/>
      </c>
      <c r="W43">
        <f>HYPERLINK("https://klasma.github.io/Logging_2061/klagomålsmail/A 30003-2023 FSC-klagomål mail.docx", "A 30003-2023")</f>
        <v/>
      </c>
      <c r="X43">
        <f>HYPERLINK("https://klasma.github.io/Logging_2061/tillsyn/A 30003-2023 tillsynsbegäran.docx", "A 30003-2023")</f>
        <v/>
      </c>
      <c r="Y43">
        <f>HYPERLINK("https://klasma.github.io/Logging_2061/tillsynsmail/A 30003-2023 tillsynsbegäran mail.docx", "A 30003-2023")</f>
        <v/>
      </c>
    </row>
    <row r="44" ht="15" customHeight="1">
      <c r="A44" t="inlineStr">
        <is>
          <t>A 45577-2024</t>
        </is>
      </c>
      <c r="B44" s="1" t="n">
        <v>45579.39178240741</v>
      </c>
      <c r="C44" s="1" t="n">
        <v>46186</v>
      </c>
      <c r="D44" t="inlineStr">
        <is>
          <t>DALARNAS LÄN</t>
        </is>
      </c>
      <c r="E44" t="inlineStr">
        <is>
          <t>SMEDJEBACKEN</t>
        </is>
      </c>
      <c r="F44" t="inlineStr">
        <is>
          <t>Sveaskog</t>
        </is>
      </c>
      <c r="G44" t="n">
        <v>18.6</v>
      </c>
      <c r="H44" t="n">
        <v>1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Tjäder</t>
        </is>
      </c>
      <c r="S44">
        <f>HYPERLINK("https://klasma.github.io/Logging_2061/artfynd/A 45577-2024 artfynd.xlsx", "A 45577-2024")</f>
        <v/>
      </c>
      <c r="T44">
        <f>HYPERLINK("https://klasma.github.io/Logging_2061/kartor/A 45577-2024 karta.png", "A 45577-2024")</f>
        <v/>
      </c>
      <c r="V44">
        <f>HYPERLINK("https://klasma.github.io/Logging_2061/klagomål/A 45577-2024 FSC-klagomål.docx", "A 45577-2024")</f>
        <v/>
      </c>
      <c r="W44">
        <f>HYPERLINK("https://klasma.github.io/Logging_2061/klagomålsmail/A 45577-2024 FSC-klagomål mail.docx", "A 45577-2024")</f>
        <v/>
      </c>
      <c r="X44">
        <f>HYPERLINK("https://klasma.github.io/Logging_2061/tillsyn/A 45577-2024 tillsynsbegäran.docx", "A 45577-2024")</f>
        <v/>
      </c>
      <c r="Y44">
        <f>HYPERLINK("https://klasma.github.io/Logging_2061/tillsynsmail/A 45577-2024 tillsynsbegäran mail.docx", "A 45577-2024")</f>
        <v/>
      </c>
      <c r="Z44">
        <f>HYPERLINK("https://klasma.github.io/Logging_2061/fåglar/A 45577-2024 prioriterade fågelarter.docx", "A 45577-2024")</f>
        <v/>
      </c>
    </row>
    <row r="45" ht="15" customHeight="1">
      <c r="A45" t="inlineStr">
        <is>
          <t>A 52601-2024</t>
        </is>
      </c>
      <c r="B45" s="1" t="n">
        <v>45609</v>
      </c>
      <c r="C45" s="1" t="n">
        <v>46186</v>
      </c>
      <c r="D45" t="inlineStr">
        <is>
          <t>DALARNAS LÄN</t>
        </is>
      </c>
      <c r="E45" t="inlineStr">
        <is>
          <t>SMEDJEBACKEN</t>
        </is>
      </c>
      <c r="F45" t="inlineStr">
        <is>
          <t>Bergvik skog väst AB</t>
        </is>
      </c>
      <c r="G45" t="n">
        <v>47.9</v>
      </c>
      <c r="H45" t="n">
        <v>0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Tallticka</t>
        </is>
      </c>
      <c r="S45">
        <f>HYPERLINK("https://klasma.github.io/Logging_2061/artfynd/A 52601-2024 artfynd.xlsx", "A 52601-2024")</f>
        <v/>
      </c>
      <c r="T45">
        <f>HYPERLINK("https://klasma.github.io/Logging_2061/kartor/A 52601-2024 karta.png", "A 52601-2024")</f>
        <v/>
      </c>
      <c r="U45">
        <f>HYPERLINK("https://klasma.github.io/Logging_2061/knärot/A 52601-2024 karta knärot.png", "A 52601-2024")</f>
        <v/>
      </c>
      <c r="V45">
        <f>HYPERLINK("https://klasma.github.io/Logging_2061/klagomål/A 52601-2024 FSC-klagomål.docx", "A 52601-2024")</f>
        <v/>
      </c>
      <c r="W45">
        <f>HYPERLINK("https://klasma.github.io/Logging_2061/klagomålsmail/A 52601-2024 FSC-klagomål mail.docx", "A 52601-2024")</f>
        <v/>
      </c>
      <c r="X45">
        <f>HYPERLINK("https://klasma.github.io/Logging_2061/tillsyn/A 52601-2024 tillsynsbegäran.docx", "A 52601-2024")</f>
        <v/>
      </c>
      <c r="Y45">
        <f>HYPERLINK("https://klasma.github.io/Logging_2061/tillsynsmail/A 52601-2024 tillsynsbegäran mail.docx", "A 52601-2024")</f>
        <v/>
      </c>
    </row>
    <row r="46" ht="15" customHeight="1">
      <c r="A46" t="inlineStr">
        <is>
          <t>A 32954-2024</t>
        </is>
      </c>
      <c r="B46" s="1" t="n">
        <v>45517.37303240741</v>
      </c>
      <c r="C46" s="1" t="n">
        <v>46186</v>
      </c>
      <c r="D46" t="inlineStr">
        <is>
          <t>DALARNAS LÄN</t>
        </is>
      </c>
      <c r="E46" t="inlineStr">
        <is>
          <t>SMEDJEBACKEN</t>
        </is>
      </c>
      <c r="F46" t="inlineStr">
        <is>
          <t>Övriga Aktiebolag</t>
        </is>
      </c>
      <c r="G46" t="n">
        <v>5.9</v>
      </c>
      <c r="H46" t="n">
        <v>1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Fläcknycklar</t>
        </is>
      </c>
      <c r="S46">
        <f>HYPERLINK("https://klasma.github.io/Logging_2061/artfynd/A 32954-2024 artfynd.xlsx", "A 32954-2024")</f>
        <v/>
      </c>
      <c r="T46">
        <f>HYPERLINK("https://klasma.github.io/Logging_2061/kartor/A 32954-2024 karta.png", "A 32954-2024")</f>
        <v/>
      </c>
      <c r="V46">
        <f>HYPERLINK("https://klasma.github.io/Logging_2061/klagomål/A 32954-2024 FSC-klagomål.docx", "A 32954-2024")</f>
        <v/>
      </c>
      <c r="W46">
        <f>HYPERLINK("https://klasma.github.io/Logging_2061/klagomålsmail/A 32954-2024 FSC-klagomål mail.docx", "A 32954-2024")</f>
        <v/>
      </c>
      <c r="X46">
        <f>HYPERLINK("https://klasma.github.io/Logging_2061/tillsyn/A 32954-2024 tillsynsbegäran.docx", "A 32954-2024")</f>
        <v/>
      </c>
      <c r="Y46">
        <f>HYPERLINK("https://klasma.github.io/Logging_2061/tillsynsmail/A 32954-2024 tillsynsbegäran mail.docx", "A 32954-2024")</f>
        <v/>
      </c>
    </row>
    <row r="47" ht="15" customHeight="1">
      <c r="A47" t="inlineStr">
        <is>
          <t>A 54259-2022</t>
        </is>
      </c>
      <c r="B47" s="1" t="n">
        <v>44882.2475462963</v>
      </c>
      <c r="C47" s="1" t="n">
        <v>46186</v>
      </c>
      <c r="D47" t="inlineStr">
        <is>
          <t>DALARNAS LÄN</t>
        </is>
      </c>
      <c r="E47" t="inlineStr">
        <is>
          <t>SMEDJEBACKEN</t>
        </is>
      </c>
      <c r="F47" t="inlineStr">
        <is>
          <t>Kyrkan</t>
        </is>
      </c>
      <c r="G47" t="n">
        <v>11.1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8675-2022</t>
        </is>
      </c>
      <c r="B48" s="1" t="n">
        <v>44613.67759259259</v>
      </c>
      <c r="C48" s="1" t="n">
        <v>46186</v>
      </c>
      <c r="D48" t="inlineStr">
        <is>
          <t>DALARNAS LÄN</t>
        </is>
      </c>
      <c r="E48" t="inlineStr">
        <is>
          <t>SMEDJEBACKEN</t>
        </is>
      </c>
      <c r="G48" t="n">
        <v>5.3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33489-2021</t>
        </is>
      </c>
      <c r="B49" s="1" t="n">
        <v>44377.67195601852</v>
      </c>
      <c r="C49" s="1" t="n">
        <v>46186</v>
      </c>
      <c r="D49" t="inlineStr">
        <is>
          <t>DALARNAS LÄN</t>
        </is>
      </c>
      <c r="E49" t="inlineStr">
        <is>
          <t>SMEDJEBACKEN</t>
        </is>
      </c>
      <c r="G49" t="n">
        <v>1.8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39816-2021</t>
        </is>
      </c>
      <c r="B50" s="1" t="n">
        <v>44417.59931712963</v>
      </c>
      <c r="C50" s="1" t="n">
        <v>46186</v>
      </c>
      <c r="D50" t="inlineStr">
        <is>
          <t>DALARNAS LÄN</t>
        </is>
      </c>
      <c r="E50" t="inlineStr">
        <is>
          <t>SMEDJEBACKEN</t>
        </is>
      </c>
      <c r="G50" t="n">
        <v>3.1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39719-2021</t>
        </is>
      </c>
      <c r="B51" s="1" t="n">
        <v>44414</v>
      </c>
      <c r="C51" s="1" t="n">
        <v>46186</v>
      </c>
      <c r="D51" t="inlineStr">
        <is>
          <t>DALARNAS LÄN</t>
        </is>
      </c>
      <c r="E51" t="inlineStr">
        <is>
          <t>SMEDJEBACKEN</t>
        </is>
      </c>
      <c r="G51" t="n">
        <v>2.4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43375-2021</t>
        </is>
      </c>
      <c r="B52" s="1" t="n">
        <v>44432</v>
      </c>
      <c r="C52" s="1" t="n">
        <v>46186</v>
      </c>
      <c r="D52" t="inlineStr">
        <is>
          <t>DALARNAS LÄN</t>
        </is>
      </c>
      <c r="E52" t="inlineStr">
        <is>
          <t>SMEDJEBACKEN</t>
        </is>
      </c>
      <c r="G52" t="n">
        <v>1.9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33253-2022</t>
        </is>
      </c>
      <c r="B53" s="1" t="n">
        <v>44787</v>
      </c>
      <c r="C53" s="1" t="n">
        <v>46186</v>
      </c>
      <c r="D53" t="inlineStr">
        <is>
          <t>DALARNAS LÄN</t>
        </is>
      </c>
      <c r="E53" t="inlineStr">
        <is>
          <t>SMEDJEBACKEN</t>
        </is>
      </c>
      <c r="G53" t="n">
        <v>0.5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39726-2021</t>
        </is>
      </c>
      <c r="B54" s="1" t="n">
        <v>44414</v>
      </c>
      <c r="C54" s="1" t="n">
        <v>46186</v>
      </c>
      <c r="D54" t="inlineStr">
        <is>
          <t>DALARNAS LÄN</t>
        </is>
      </c>
      <c r="E54" t="inlineStr">
        <is>
          <t>SMEDJEBACKEN</t>
        </is>
      </c>
      <c r="G54" t="n">
        <v>10.6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49097-2021</t>
        </is>
      </c>
      <c r="B55" s="1" t="n">
        <v>44453</v>
      </c>
      <c r="C55" s="1" t="n">
        <v>46186</v>
      </c>
      <c r="D55" t="inlineStr">
        <is>
          <t>DALARNAS LÄN</t>
        </is>
      </c>
      <c r="E55" t="inlineStr">
        <is>
          <t>SMEDJEBACKEN</t>
        </is>
      </c>
      <c r="G55" t="n">
        <v>1.4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907-2022</t>
        </is>
      </c>
      <c r="B56" s="1" t="n">
        <v>44571</v>
      </c>
      <c r="C56" s="1" t="n">
        <v>46186</v>
      </c>
      <c r="D56" t="inlineStr">
        <is>
          <t>DALARNAS LÄN</t>
        </is>
      </c>
      <c r="E56" t="inlineStr">
        <is>
          <t>SMEDJEBACKEN</t>
        </is>
      </c>
      <c r="G56" t="n">
        <v>0.7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26305-2022</t>
        </is>
      </c>
      <c r="B57" s="1" t="n">
        <v>44735</v>
      </c>
      <c r="C57" s="1" t="n">
        <v>46186</v>
      </c>
      <c r="D57" t="inlineStr">
        <is>
          <t>DALARNAS LÄN</t>
        </is>
      </c>
      <c r="E57" t="inlineStr">
        <is>
          <t>SMEDJEBACKEN</t>
        </is>
      </c>
      <c r="G57" t="n">
        <v>0.4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37370-2022</t>
        </is>
      </c>
      <c r="B58" s="1" t="n">
        <v>44809.39690972222</v>
      </c>
      <c r="C58" s="1" t="n">
        <v>46186</v>
      </c>
      <c r="D58" t="inlineStr">
        <is>
          <t>DALARNAS LÄN</t>
        </is>
      </c>
      <c r="E58" t="inlineStr">
        <is>
          <t>SMEDJEBACKEN</t>
        </is>
      </c>
      <c r="F58" t="inlineStr">
        <is>
          <t>Sveaskog</t>
        </is>
      </c>
      <c r="G58" t="n">
        <v>2.5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51731-2021</t>
        </is>
      </c>
      <c r="B59" s="1" t="n">
        <v>44462</v>
      </c>
      <c r="C59" s="1" t="n">
        <v>46186</v>
      </c>
      <c r="D59" t="inlineStr">
        <is>
          <t>DALARNAS LÄN</t>
        </is>
      </c>
      <c r="E59" t="inlineStr">
        <is>
          <t>SMEDJEBACKEN</t>
        </is>
      </c>
      <c r="F59" t="inlineStr">
        <is>
          <t>Sveaskog</t>
        </is>
      </c>
      <c r="G59" t="n">
        <v>3.1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19019-2022</t>
        </is>
      </c>
      <c r="B60" s="1" t="n">
        <v>44691.324375</v>
      </c>
      <c r="C60" s="1" t="n">
        <v>46186</v>
      </c>
      <c r="D60" t="inlineStr">
        <is>
          <t>DALARNAS LÄN</t>
        </is>
      </c>
      <c r="E60" t="inlineStr">
        <is>
          <t>SMEDJEBACKEN</t>
        </is>
      </c>
      <c r="F60" t="inlineStr">
        <is>
          <t>Övriga Aktiebolag</t>
        </is>
      </c>
      <c r="G60" t="n">
        <v>2.7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60697-2021</t>
        </is>
      </c>
      <c r="B61" s="1" t="n">
        <v>44496</v>
      </c>
      <c r="C61" s="1" t="n">
        <v>46186</v>
      </c>
      <c r="D61" t="inlineStr">
        <is>
          <t>DALARNAS LÄN</t>
        </is>
      </c>
      <c r="E61" t="inlineStr">
        <is>
          <t>SMEDJEBACKEN</t>
        </is>
      </c>
      <c r="G61" t="n">
        <v>0.6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12606-2022</t>
        </is>
      </c>
      <c r="B62" s="1" t="n">
        <v>44641.34217592593</v>
      </c>
      <c r="C62" s="1" t="n">
        <v>46186</v>
      </c>
      <c r="D62" t="inlineStr">
        <is>
          <t>DALARNAS LÄN</t>
        </is>
      </c>
      <c r="E62" t="inlineStr">
        <is>
          <t>SMEDJEBACKEN</t>
        </is>
      </c>
      <c r="G62" t="n">
        <v>0.4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49278-2022</t>
        </is>
      </c>
      <c r="B63" s="1" t="n">
        <v>44861</v>
      </c>
      <c r="C63" s="1" t="n">
        <v>46186</v>
      </c>
      <c r="D63" t="inlineStr">
        <is>
          <t>DALARNAS LÄN</t>
        </is>
      </c>
      <c r="E63" t="inlineStr">
        <is>
          <t>SMEDJEBACKEN</t>
        </is>
      </c>
      <c r="F63" t="inlineStr">
        <is>
          <t>Sveaskog</t>
        </is>
      </c>
      <c r="G63" t="n">
        <v>0.4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31791-2022</t>
        </is>
      </c>
      <c r="B64" s="1" t="n">
        <v>44776</v>
      </c>
      <c r="C64" s="1" t="n">
        <v>46186</v>
      </c>
      <c r="D64" t="inlineStr">
        <is>
          <t>DALARNAS LÄN</t>
        </is>
      </c>
      <c r="E64" t="inlineStr">
        <is>
          <t>SMEDJEBACKEN</t>
        </is>
      </c>
      <c r="F64" t="inlineStr">
        <is>
          <t>Bergvik skog väst AB</t>
        </is>
      </c>
      <c r="G64" t="n">
        <v>9.199999999999999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22351-2022</t>
        </is>
      </c>
      <c r="B65" s="1" t="n">
        <v>44713</v>
      </c>
      <c r="C65" s="1" t="n">
        <v>46186</v>
      </c>
      <c r="D65" t="inlineStr">
        <is>
          <t>DALARNAS LÄN</t>
        </is>
      </c>
      <c r="E65" t="inlineStr">
        <is>
          <t>SMEDJEBACKEN</t>
        </is>
      </c>
      <c r="G65" t="n">
        <v>2.3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12331-2022</t>
        </is>
      </c>
      <c r="B66" s="1" t="n">
        <v>44637.62076388889</v>
      </c>
      <c r="C66" s="1" t="n">
        <v>46186</v>
      </c>
      <c r="D66" t="inlineStr">
        <is>
          <t>DALARNAS LÄN</t>
        </is>
      </c>
      <c r="E66" t="inlineStr">
        <is>
          <t>SMEDJEBACKEN</t>
        </is>
      </c>
      <c r="G66" t="n">
        <v>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37375-2022</t>
        </is>
      </c>
      <c r="B67" s="1" t="n">
        <v>44809.39892361111</v>
      </c>
      <c r="C67" s="1" t="n">
        <v>46186</v>
      </c>
      <c r="D67" t="inlineStr">
        <is>
          <t>DALARNAS LÄN</t>
        </is>
      </c>
      <c r="E67" t="inlineStr">
        <is>
          <t>SMEDJEBACKEN</t>
        </is>
      </c>
      <c r="F67" t="inlineStr">
        <is>
          <t>Sveaskog</t>
        </is>
      </c>
      <c r="G67" t="n">
        <v>2.5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21631-2022</t>
        </is>
      </c>
      <c r="B68" s="1" t="n">
        <v>44706</v>
      </c>
      <c r="C68" s="1" t="n">
        <v>46186</v>
      </c>
      <c r="D68" t="inlineStr">
        <is>
          <t>DALARNAS LÄN</t>
        </is>
      </c>
      <c r="E68" t="inlineStr">
        <is>
          <t>SMEDJEBACKEN</t>
        </is>
      </c>
      <c r="G68" t="n">
        <v>2.5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26298-2022</t>
        </is>
      </c>
      <c r="B69" s="1" t="n">
        <v>44735.57864583333</v>
      </c>
      <c r="C69" s="1" t="n">
        <v>46186</v>
      </c>
      <c r="D69" t="inlineStr">
        <is>
          <t>DALARNAS LÄN</t>
        </is>
      </c>
      <c r="E69" t="inlineStr">
        <is>
          <t>SMEDJEBACKEN</t>
        </is>
      </c>
      <c r="G69" t="n">
        <v>0.4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53210-2022</t>
        </is>
      </c>
      <c r="B70" s="1" t="n">
        <v>44876.60767361111</v>
      </c>
      <c r="C70" s="1" t="n">
        <v>46186</v>
      </c>
      <c r="D70" t="inlineStr">
        <is>
          <t>DALARNAS LÄN</t>
        </is>
      </c>
      <c r="E70" t="inlineStr">
        <is>
          <t>SMEDJEBACKEN</t>
        </is>
      </c>
      <c r="F70" t="inlineStr">
        <is>
          <t>Kyrkan</t>
        </is>
      </c>
      <c r="G70" t="n">
        <v>1.2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38797-2021</t>
        </is>
      </c>
      <c r="B71" s="1" t="n">
        <v>44410</v>
      </c>
      <c r="C71" s="1" t="n">
        <v>46186</v>
      </c>
      <c r="D71" t="inlineStr">
        <is>
          <t>DALARNAS LÄN</t>
        </is>
      </c>
      <c r="E71" t="inlineStr">
        <is>
          <t>SMEDJEBACKEN</t>
        </is>
      </c>
      <c r="G71" t="n">
        <v>1.5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38800-2021</t>
        </is>
      </c>
      <c r="B72" s="1" t="n">
        <v>44410</v>
      </c>
      <c r="C72" s="1" t="n">
        <v>46186</v>
      </c>
      <c r="D72" t="inlineStr">
        <is>
          <t>DALARNAS LÄN</t>
        </is>
      </c>
      <c r="E72" t="inlineStr">
        <is>
          <t>SMEDJEBACKEN</t>
        </is>
      </c>
      <c r="G72" t="n">
        <v>1.4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60451-2021</t>
        </is>
      </c>
      <c r="B73" s="1" t="n">
        <v>44496.44542824074</v>
      </c>
      <c r="C73" s="1" t="n">
        <v>46186</v>
      </c>
      <c r="D73" t="inlineStr">
        <is>
          <t>DALARNAS LÄN</t>
        </is>
      </c>
      <c r="E73" t="inlineStr">
        <is>
          <t>SMEDJEBACKEN</t>
        </is>
      </c>
      <c r="F73" t="inlineStr">
        <is>
          <t>Sveaskog</t>
        </is>
      </c>
      <c r="G73" t="n">
        <v>1.7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42744-2022</t>
        </is>
      </c>
      <c r="B74" s="1" t="n">
        <v>44832</v>
      </c>
      <c r="C74" s="1" t="n">
        <v>46186</v>
      </c>
      <c r="D74" t="inlineStr">
        <is>
          <t>DALARNAS LÄN</t>
        </is>
      </c>
      <c r="E74" t="inlineStr">
        <is>
          <t>SMEDJEBACKEN</t>
        </is>
      </c>
      <c r="G74" t="n">
        <v>6.8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55362-2021</t>
        </is>
      </c>
      <c r="B75" s="1" t="n">
        <v>44475.49350694445</v>
      </c>
      <c r="C75" s="1" t="n">
        <v>46186</v>
      </c>
      <c r="D75" t="inlineStr">
        <is>
          <t>DALARNAS LÄN</t>
        </is>
      </c>
      <c r="E75" t="inlineStr">
        <is>
          <t>SMEDJEBACKEN</t>
        </is>
      </c>
      <c r="G75" t="n">
        <v>0.6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39731-2021</t>
        </is>
      </c>
      <c r="B76" s="1" t="n">
        <v>44414</v>
      </c>
      <c r="C76" s="1" t="n">
        <v>46186</v>
      </c>
      <c r="D76" t="inlineStr">
        <is>
          <t>DALARNAS LÄN</t>
        </is>
      </c>
      <c r="E76" t="inlineStr">
        <is>
          <t>SMEDJEBACKEN</t>
        </is>
      </c>
      <c r="G76" t="n">
        <v>3.2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51422-2021</t>
        </is>
      </c>
      <c r="B77" s="1" t="n">
        <v>44461</v>
      </c>
      <c r="C77" s="1" t="n">
        <v>46186</v>
      </c>
      <c r="D77" t="inlineStr">
        <is>
          <t>DALARNAS LÄN</t>
        </is>
      </c>
      <c r="E77" t="inlineStr">
        <is>
          <t>SMEDJEBACKEN</t>
        </is>
      </c>
      <c r="G77" t="n">
        <v>4.3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41337-2022</t>
        </is>
      </c>
      <c r="B78" s="1" t="n">
        <v>44826</v>
      </c>
      <c r="C78" s="1" t="n">
        <v>46186</v>
      </c>
      <c r="D78" t="inlineStr">
        <is>
          <t>DALARNAS LÄN</t>
        </is>
      </c>
      <c r="E78" t="inlineStr">
        <is>
          <t>SMEDJEBACKEN</t>
        </is>
      </c>
      <c r="G78" t="n">
        <v>1.5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44126-2021</t>
        </is>
      </c>
      <c r="B79" s="1" t="n">
        <v>44434.62304398148</v>
      </c>
      <c r="C79" s="1" t="n">
        <v>46186</v>
      </c>
      <c r="D79" t="inlineStr">
        <is>
          <t>DALARNAS LÄN</t>
        </is>
      </c>
      <c r="E79" t="inlineStr">
        <is>
          <t>SMEDJEBACKEN</t>
        </is>
      </c>
      <c r="G79" t="n">
        <v>0.3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45382-2021</t>
        </is>
      </c>
      <c r="B80" s="1" t="n">
        <v>44440</v>
      </c>
      <c r="C80" s="1" t="n">
        <v>46186</v>
      </c>
      <c r="D80" t="inlineStr">
        <is>
          <t>DALARNAS LÄN</t>
        </is>
      </c>
      <c r="E80" t="inlineStr">
        <is>
          <t>SMEDJEBACKEN</t>
        </is>
      </c>
      <c r="F80" t="inlineStr">
        <is>
          <t>Kyrkan</t>
        </is>
      </c>
      <c r="G80" t="n">
        <v>1.1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43137-2021</t>
        </is>
      </c>
      <c r="B81" s="1" t="n">
        <v>44431</v>
      </c>
      <c r="C81" s="1" t="n">
        <v>46186</v>
      </c>
      <c r="D81" t="inlineStr">
        <is>
          <t>DALARNAS LÄN</t>
        </is>
      </c>
      <c r="E81" t="inlineStr">
        <is>
          <t>SMEDJEBACKEN</t>
        </is>
      </c>
      <c r="G81" t="n">
        <v>0.9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63691-2021</t>
        </is>
      </c>
      <c r="B82" s="1" t="n">
        <v>44509.39956018519</v>
      </c>
      <c r="C82" s="1" t="n">
        <v>46186</v>
      </c>
      <c r="D82" t="inlineStr">
        <is>
          <t>DALARNAS LÄN</t>
        </is>
      </c>
      <c r="E82" t="inlineStr">
        <is>
          <t>SMEDJEBACKEN</t>
        </is>
      </c>
      <c r="G82" t="n">
        <v>1.8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70780-2021</t>
        </is>
      </c>
      <c r="B83" s="1" t="n">
        <v>44537.69876157407</v>
      </c>
      <c r="C83" s="1" t="n">
        <v>46186</v>
      </c>
      <c r="D83" t="inlineStr">
        <is>
          <t>DALARNAS LÄN</t>
        </is>
      </c>
      <c r="E83" t="inlineStr">
        <is>
          <t>SMEDJEBACKEN</t>
        </is>
      </c>
      <c r="G83" t="n">
        <v>3.2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14-2022</t>
        </is>
      </c>
      <c r="B84" s="1" t="n">
        <v>44563</v>
      </c>
      <c r="C84" s="1" t="n">
        <v>46186</v>
      </c>
      <c r="D84" t="inlineStr">
        <is>
          <t>DALARNAS LÄN</t>
        </is>
      </c>
      <c r="E84" t="inlineStr">
        <is>
          <t>SMEDJEBACKEN</t>
        </is>
      </c>
      <c r="G84" t="n">
        <v>1.5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16-2022</t>
        </is>
      </c>
      <c r="B85" s="1" t="n">
        <v>44563</v>
      </c>
      <c r="C85" s="1" t="n">
        <v>46186</v>
      </c>
      <c r="D85" t="inlineStr">
        <is>
          <t>DALARNAS LÄN</t>
        </is>
      </c>
      <c r="E85" t="inlineStr">
        <is>
          <t>SMEDJEBACKEN</t>
        </is>
      </c>
      <c r="G85" t="n">
        <v>2.9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34235-2022</t>
        </is>
      </c>
      <c r="B86" s="1" t="n">
        <v>44791.8230787037</v>
      </c>
      <c r="C86" s="1" t="n">
        <v>46186</v>
      </c>
      <c r="D86" t="inlineStr">
        <is>
          <t>DALARNAS LÄN</t>
        </is>
      </c>
      <c r="E86" t="inlineStr">
        <is>
          <t>SMEDJEBACKEN</t>
        </is>
      </c>
      <c r="F86" t="inlineStr">
        <is>
          <t>Bergvik skog väst AB</t>
        </is>
      </c>
      <c r="G86" t="n">
        <v>0.6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52958-2021</t>
        </is>
      </c>
      <c r="B87" s="1" t="n">
        <v>44467.60453703703</v>
      </c>
      <c r="C87" s="1" t="n">
        <v>46186</v>
      </c>
      <c r="D87" t="inlineStr">
        <is>
          <t>DALARNAS LÄN</t>
        </is>
      </c>
      <c r="E87" t="inlineStr">
        <is>
          <t>SMEDJEBACKEN</t>
        </is>
      </c>
      <c r="F87" t="inlineStr">
        <is>
          <t>Övriga Aktiebolag</t>
        </is>
      </c>
      <c r="G87" t="n">
        <v>2.5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60910-2021</t>
        </is>
      </c>
      <c r="B88" s="1" t="n">
        <v>44496</v>
      </c>
      <c r="C88" s="1" t="n">
        <v>46186</v>
      </c>
      <c r="D88" t="inlineStr">
        <is>
          <t>DALARNAS LÄN</t>
        </is>
      </c>
      <c r="E88" t="inlineStr">
        <is>
          <t>SMEDJEBACKEN</t>
        </is>
      </c>
      <c r="G88" t="n">
        <v>0.5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36385-2021</t>
        </is>
      </c>
      <c r="B89" s="1" t="n">
        <v>44390.62594907408</v>
      </c>
      <c r="C89" s="1" t="n">
        <v>46186</v>
      </c>
      <c r="D89" t="inlineStr">
        <is>
          <t>DALARNAS LÄN</t>
        </is>
      </c>
      <c r="E89" t="inlineStr">
        <is>
          <t>SMEDJEBACKEN</t>
        </is>
      </c>
      <c r="G89" t="n">
        <v>4.2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41303-2021</t>
        </is>
      </c>
      <c r="B90" s="1" t="n">
        <v>44424</v>
      </c>
      <c r="C90" s="1" t="n">
        <v>46186</v>
      </c>
      <c r="D90" t="inlineStr">
        <is>
          <t>DALARNAS LÄN</t>
        </is>
      </c>
      <c r="E90" t="inlineStr">
        <is>
          <t>SMEDJEBACKEN</t>
        </is>
      </c>
      <c r="G90" t="n">
        <v>3.7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63693-2021</t>
        </is>
      </c>
      <c r="B91" s="1" t="n">
        <v>44509.40319444444</v>
      </c>
      <c r="C91" s="1" t="n">
        <v>46186</v>
      </c>
      <c r="D91" t="inlineStr">
        <is>
          <t>DALARNAS LÄN</t>
        </is>
      </c>
      <c r="E91" t="inlineStr">
        <is>
          <t>SMEDJEBACKEN</t>
        </is>
      </c>
      <c r="G91" t="n">
        <v>1.6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14868-2022</t>
        </is>
      </c>
      <c r="B92" s="1" t="n">
        <v>44656.67989583333</v>
      </c>
      <c r="C92" s="1" t="n">
        <v>46186</v>
      </c>
      <c r="D92" t="inlineStr">
        <is>
          <t>DALARNAS LÄN</t>
        </is>
      </c>
      <c r="E92" t="inlineStr">
        <is>
          <t>SMEDJEBACKEN</t>
        </is>
      </c>
      <c r="F92" t="inlineStr">
        <is>
          <t>Bergvik skog väst AB</t>
        </is>
      </c>
      <c r="G92" t="n">
        <v>2.3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67977-2021</t>
        </is>
      </c>
      <c r="B93" s="1" t="n">
        <v>44525</v>
      </c>
      <c r="C93" s="1" t="n">
        <v>46186</v>
      </c>
      <c r="D93" t="inlineStr">
        <is>
          <t>DALARNAS LÄN</t>
        </is>
      </c>
      <c r="E93" t="inlineStr">
        <is>
          <t>SMEDJEBACKEN</t>
        </is>
      </c>
      <c r="G93" t="n">
        <v>0.7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26005-2022</t>
        </is>
      </c>
      <c r="B94" s="1" t="n">
        <v>44734.54008101852</v>
      </c>
      <c r="C94" s="1" t="n">
        <v>46186</v>
      </c>
      <c r="D94" t="inlineStr">
        <is>
          <t>DALARNAS LÄN</t>
        </is>
      </c>
      <c r="E94" t="inlineStr">
        <is>
          <t>SMEDJEBACKEN</t>
        </is>
      </c>
      <c r="F94" t="inlineStr">
        <is>
          <t>Sveaskog</t>
        </is>
      </c>
      <c r="G94" t="n">
        <v>0.8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7759-2022</t>
        </is>
      </c>
      <c r="B95" s="1" t="n">
        <v>44608</v>
      </c>
      <c r="C95" s="1" t="n">
        <v>46186</v>
      </c>
      <c r="D95" t="inlineStr">
        <is>
          <t>DALARNAS LÄN</t>
        </is>
      </c>
      <c r="E95" t="inlineStr">
        <is>
          <t>SMEDJEBACKEN</t>
        </is>
      </c>
      <c r="G95" t="n">
        <v>0.6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33843-2022</t>
        </is>
      </c>
      <c r="B96" s="1" t="n">
        <v>44790</v>
      </c>
      <c r="C96" s="1" t="n">
        <v>46186</v>
      </c>
      <c r="D96" t="inlineStr">
        <is>
          <t>DALARNAS LÄN</t>
        </is>
      </c>
      <c r="E96" t="inlineStr">
        <is>
          <t>SMEDJEBACKEN</t>
        </is>
      </c>
      <c r="F96" t="inlineStr">
        <is>
          <t>Bergvik skog väst AB</t>
        </is>
      </c>
      <c r="G96" t="n">
        <v>2.5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35666-2022</t>
        </is>
      </c>
      <c r="B97" s="1" t="n">
        <v>44799</v>
      </c>
      <c r="C97" s="1" t="n">
        <v>46186</v>
      </c>
      <c r="D97" t="inlineStr">
        <is>
          <t>DALARNAS LÄN</t>
        </is>
      </c>
      <c r="E97" t="inlineStr">
        <is>
          <t>SMEDJEBACKEN</t>
        </is>
      </c>
      <c r="F97" t="inlineStr">
        <is>
          <t>Sveaskog</t>
        </is>
      </c>
      <c r="G97" t="n">
        <v>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44250-2021</t>
        </is>
      </c>
      <c r="B98" s="1" t="n">
        <v>44434</v>
      </c>
      <c r="C98" s="1" t="n">
        <v>46186</v>
      </c>
      <c r="D98" t="inlineStr">
        <is>
          <t>DALARNAS LÄN</t>
        </is>
      </c>
      <c r="E98" t="inlineStr">
        <is>
          <t>SMEDJEBACKEN</t>
        </is>
      </c>
      <c r="G98" t="n">
        <v>0.6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60414-2021</t>
        </is>
      </c>
      <c r="B99" s="1" t="n">
        <v>44496.40109953703</v>
      </c>
      <c r="C99" s="1" t="n">
        <v>46186</v>
      </c>
      <c r="D99" t="inlineStr">
        <is>
          <t>DALARNAS LÄN</t>
        </is>
      </c>
      <c r="E99" t="inlineStr">
        <is>
          <t>SMEDJEBACKEN</t>
        </is>
      </c>
      <c r="F99" t="inlineStr">
        <is>
          <t>Sveaskog</t>
        </is>
      </c>
      <c r="G99" t="n">
        <v>2.1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60912-2021</t>
        </is>
      </c>
      <c r="B100" s="1" t="n">
        <v>44496</v>
      </c>
      <c r="C100" s="1" t="n">
        <v>46186</v>
      </c>
      <c r="D100" t="inlineStr">
        <is>
          <t>DALARNAS LÄN</t>
        </is>
      </c>
      <c r="E100" t="inlineStr">
        <is>
          <t>SMEDJEBACKEN</t>
        </is>
      </c>
      <c r="G100" t="n">
        <v>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36663-2022</t>
        </is>
      </c>
      <c r="B101" s="1" t="n">
        <v>44804.87157407407</v>
      </c>
      <c r="C101" s="1" t="n">
        <v>46186</v>
      </c>
      <c r="D101" t="inlineStr">
        <is>
          <t>DALARNAS LÄN</t>
        </is>
      </c>
      <c r="E101" t="inlineStr">
        <is>
          <t>SMEDJEBACKEN</t>
        </is>
      </c>
      <c r="G101" t="n">
        <v>0.9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32013-2022</t>
        </is>
      </c>
      <c r="B102" s="1" t="n">
        <v>44778</v>
      </c>
      <c r="C102" s="1" t="n">
        <v>46186</v>
      </c>
      <c r="D102" t="inlineStr">
        <is>
          <t>DALARNAS LÄN</t>
        </is>
      </c>
      <c r="E102" t="inlineStr">
        <is>
          <t>SMEDJEBACKEN</t>
        </is>
      </c>
      <c r="G102" t="n">
        <v>1.7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32945-2022</t>
        </is>
      </c>
      <c r="B103" s="1" t="n">
        <v>44784.70158564814</v>
      </c>
      <c r="C103" s="1" t="n">
        <v>46186</v>
      </c>
      <c r="D103" t="inlineStr">
        <is>
          <t>DALARNAS LÄN</t>
        </is>
      </c>
      <c r="E103" t="inlineStr">
        <is>
          <t>SMEDJEBACKEN</t>
        </is>
      </c>
      <c r="F103" t="inlineStr">
        <is>
          <t>Sveaskog</t>
        </is>
      </c>
      <c r="G103" t="n">
        <v>1.7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11410-2022</t>
        </is>
      </c>
      <c r="B104" s="1" t="n">
        <v>44630</v>
      </c>
      <c r="C104" s="1" t="n">
        <v>46186</v>
      </c>
      <c r="D104" t="inlineStr">
        <is>
          <t>DALARNAS LÄN</t>
        </is>
      </c>
      <c r="E104" t="inlineStr">
        <is>
          <t>SMEDJEBACKEN</t>
        </is>
      </c>
      <c r="G104" t="n">
        <v>0.2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36243-2022</t>
        </is>
      </c>
      <c r="B105" s="1" t="n">
        <v>44803.57310185185</v>
      </c>
      <c r="C105" s="1" t="n">
        <v>46186</v>
      </c>
      <c r="D105" t="inlineStr">
        <is>
          <t>DALARNAS LÄN</t>
        </is>
      </c>
      <c r="E105" t="inlineStr">
        <is>
          <t>SMEDJEBACKEN</t>
        </is>
      </c>
      <c r="G105" t="n">
        <v>1.7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22640-2022</t>
        </is>
      </c>
      <c r="B106" s="1" t="n">
        <v>44714</v>
      </c>
      <c r="C106" s="1" t="n">
        <v>46186</v>
      </c>
      <c r="D106" t="inlineStr">
        <is>
          <t>DALARNAS LÄN</t>
        </is>
      </c>
      <c r="E106" t="inlineStr">
        <is>
          <t>SMEDJEBACKEN</t>
        </is>
      </c>
      <c r="G106" t="n">
        <v>11.5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37851-2021</t>
        </is>
      </c>
      <c r="B107" s="1" t="n">
        <v>44403</v>
      </c>
      <c r="C107" s="1" t="n">
        <v>46186</v>
      </c>
      <c r="D107" t="inlineStr">
        <is>
          <t>DALARNAS LÄN</t>
        </is>
      </c>
      <c r="E107" t="inlineStr">
        <is>
          <t>SMEDJEBACKEN</t>
        </is>
      </c>
      <c r="G107" t="n">
        <v>2.9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60927-2021</t>
        </is>
      </c>
      <c r="B108" s="1" t="n">
        <v>44496</v>
      </c>
      <c r="C108" s="1" t="n">
        <v>46186</v>
      </c>
      <c r="D108" t="inlineStr">
        <is>
          <t>DALARNAS LÄN</t>
        </is>
      </c>
      <c r="E108" t="inlineStr">
        <is>
          <t>SMEDJEBACKEN</t>
        </is>
      </c>
      <c r="G108" t="n">
        <v>1.3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49275-2022</t>
        </is>
      </c>
      <c r="B109" s="1" t="n">
        <v>44861</v>
      </c>
      <c r="C109" s="1" t="n">
        <v>46186</v>
      </c>
      <c r="D109" t="inlineStr">
        <is>
          <t>DALARNAS LÄN</t>
        </is>
      </c>
      <c r="E109" t="inlineStr">
        <is>
          <t>SMEDJEBACKEN</t>
        </is>
      </c>
      <c r="F109" t="inlineStr">
        <is>
          <t>Sveaskog</t>
        </is>
      </c>
      <c r="G109" t="n">
        <v>0.6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37881-2022</t>
        </is>
      </c>
      <c r="B110" s="1" t="n">
        <v>44811</v>
      </c>
      <c r="C110" s="1" t="n">
        <v>46186</v>
      </c>
      <c r="D110" t="inlineStr">
        <is>
          <t>DALARNAS LÄN</t>
        </is>
      </c>
      <c r="E110" t="inlineStr">
        <is>
          <t>SMEDJEBACKEN</t>
        </is>
      </c>
      <c r="G110" t="n">
        <v>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46137-2021</t>
        </is>
      </c>
      <c r="B111" s="1" t="n">
        <v>44442.39701388889</v>
      </c>
      <c r="C111" s="1" t="n">
        <v>46186</v>
      </c>
      <c r="D111" t="inlineStr">
        <is>
          <t>DALARNAS LÄN</t>
        </is>
      </c>
      <c r="E111" t="inlineStr">
        <is>
          <t>SMEDJEBACKEN</t>
        </is>
      </c>
      <c r="F111" t="inlineStr">
        <is>
          <t>Sveaskog</t>
        </is>
      </c>
      <c r="G111" t="n">
        <v>0.7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53290-2022</t>
        </is>
      </c>
      <c r="B112" s="1" t="n">
        <v>44876.95594907407</v>
      </c>
      <c r="C112" s="1" t="n">
        <v>46186</v>
      </c>
      <c r="D112" t="inlineStr">
        <is>
          <t>DALARNAS LÄN</t>
        </is>
      </c>
      <c r="E112" t="inlineStr">
        <is>
          <t>SMEDJEBACKEN</t>
        </is>
      </c>
      <c r="G112" t="n">
        <v>1.6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72384-2021</t>
        </is>
      </c>
      <c r="B113" s="1" t="n">
        <v>44545.57009259259</v>
      </c>
      <c r="C113" s="1" t="n">
        <v>46186</v>
      </c>
      <c r="D113" t="inlineStr">
        <is>
          <t>DALARNAS LÄN</t>
        </is>
      </c>
      <c r="E113" t="inlineStr">
        <is>
          <t>SMEDJEBACKEN</t>
        </is>
      </c>
      <c r="G113" t="n">
        <v>13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53583-2021</t>
        </is>
      </c>
      <c r="B114" s="1" t="n">
        <v>44469</v>
      </c>
      <c r="C114" s="1" t="n">
        <v>46186</v>
      </c>
      <c r="D114" t="inlineStr">
        <is>
          <t>DALARNAS LÄN</t>
        </is>
      </c>
      <c r="E114" t="inlineStr">
        <is>
          <t>SMEDJEBACKEN</t>
        </is>
      </c>
      <c r="G114" t="n">
        <v>1.1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1700-2022</t>
        </is>
      </c>
      <c r="B115" s="1" t="n">
        <v>44574</v>
      </c>
      <c r="C115" s="1" t="n">
        <v>46186</v>
      </c>
      <c r="D115" t="inlineStr">
        <is>
          <t>DALARNAS LÄN</t>
        </is>
      </c>
      <c r="E115" t="inlineStr">
        <is>
          <t>SMEDJEBACKEN</t>
        </is>
      </c>
      <c r="G115" t="n">
        <v>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44141-2021</t>
        </is>
      </c>
      <c r="B116" s="1" t="n">
        <v>44434.63518518519</v>
      </c>
      <c r="C116" s="1" t="n">
        <v>46186</v>
      </c>
      <c r="D116" t="inlineStr">
        <is>
          <t>DALARNAS LÄN</t>
        </is>
      </c>
      <c r="E116" t="inlineStr">
        <is>
          <t>SMEDJEBACKEN</t>
        </is>
      </c>
      <c r="G116" t="n">
        <v>0.7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31143-2022</t>
        </is>
      </c>
      <c r="B117" s="1" t="n">
        <v>44770.43327546296</v>
      </c>
      <c r="C117" s="1" t="n">
        <v>46186</v>
      </c>
      <c r="D117" t="inlineStr">
        <is>
          <t>DALARNAS LÄN</t>
        </is>
      </c>
      <c r="E117" t="inlineStr">
        <is>
          <t>SMEDJEBACKEN</t>
        </is>
      </c>
      <c r="G117" t="n">
        <v>1.5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33256-2022</t>
        </is>
      </c>
      <c r="B118" s="1" t="n">
        <v>44787</v>
      </c>
      <c r="C118" s="1" t="n">
        <v>46186</v>
      </c>
      <c r="D118" t="inlineStr">
        <is>
          <t>DALARNAS LÄN</t>
        </is>
      </c>
      <c r="E118" t="inlineStr">
        <is>
          <t>SMEDJEBACKEN</t>
        </is>
      </c>
      <c r="G118" t="n">
        <v>6.6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33257-2022</t>
        </is>
      </c>
      <c r="B119" s="1" t="n">
        <v>44787</v>
      </c>
      <c r="C119" s="1" t="n">
        <v>46186</v>
      </c>
      <c r="D119" t="inlineStr">
        <is>
          <t>DALARNAS LÄN</t>
        </is>
      </c>
      <c r="E119" t="inlineStr">
        <is>
          <t>SMEDJEBACKEN</t>
        </is>
      </c>
      <c r="G119" t="n">
        <v>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69512-2021</t>
        </is>
      </c>
      <c r="B120" s="1" t="n">
        <v>44531.80703703704</v>
      </c>
      <c r="C120" s="1" t="n">
        <v>46186</v>
      </c>
      <c r="D120" t="inlineStr">
        <is>
          <t>DALARNAS LÄN</t>
        </is>
      </c>
      <c r="E120" t="inlineStr">
        <is>
          <t>SMEDJEBACKEN</t>
        </is>
      </c>
      <c r="G120" t="n">
        <v>3.1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34382-2022</t>
        </is>
      </c>
      <c r="B121" s="1" t="n">
        <v>44792.4921412037</v>
      </c>
      <c r="C121" s="1" t="n">
        <v>46186</v>
      </c>
      <c r="D121" t="inlineStr">
        <is>
          <t>DALARNAS LÄN</t>
        </is>
      </c>
      <c r="E121" t="inlineStr">
        <is>
          <t>SMEDJEBACKEN</t>
        </is>
      </c>
      <c r="F121" t="inlineStr">
        <is>
          <t>Sveaskog</t>
        </is>
      </c>
      <c r="G121" t="n">
        <v>3.3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2836-2022</t>
        </is>
      </c>
      <c r="B122" s="1" t="n">
        <v>44581</v>
      </c>
      <c r="C122" s="1" t="n">
        <v>46186</v>
      </c>
      <c r="D122" t="inlineStr">
        <is>
          <t>DALARNAS LÄN</t>
        </is>
      </c>
      <c r="E122" t="inlineStr">
        <is>
          <t>SMEDJEBACKEN</t>
        </is>
      </c>
      <c r="G122" t="n">
        <v>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34216-2022</t>
        </is>
      </c>
      <c r="B123" s="1" t="n">
        <v>44791.67481481482</v>
      </c>
      <c r="C123" s="1" t="n">
        <v>46186</v>
      </c>
      <c r="D123" t="inlineStr">
        <is>
          <t>DALARNAS LÄN</t>
        </is>
      </c>
      <c r="E123" t="inlineStr">
        <is>
          <t>SMEDJEBACKEN</t>
        </is>
      </c>
      <c r="F123" t="inlineStr">
        <is>
          <t>Bergvik skog väst AB</t>
        </is>
      </c>
      <c r="G123" t="n">
        <v>0.9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42496-2022</t>
        </is>
      </c>
      <c r="B124" s="1" t="n">
        <v>44831</v>
      </c>
      <c r="C124" s="1" t="n">
        <v>46186</v>
      </c>
      <c r="D124" t="inlineStr">
        <is>
          <t>DALARNAS LÄN</t>
        </is>
      </c>
      <c r="E124" t="inlineStr">
        <is>
          <t>SMEDJEBACKEN</t>
        </is>
      </c>
      <c r="F124" t="inlineStr">
        <is>
          <t>Sveaskog</t>
        </is>
      </c>
      <c r="G124" t="n">
        <v>4.3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19411-2024</t>
        </is>
      </c>
      <c r="B125" s="1" t="n">
        <v>45429.40702546296</v>
      </c>
      <c r="C125" s="1" t="n">
        <v>46186</v>
      </c>
      <c r="D125" t="inlineStr">
        <is>
          <t>DALARNAS LÄN</t>
        </is>
      </c>
      <c r="E125" t="inlineStr">
        <is>
          <t>SMEDJEBACKEN</t>
        </is>
      </c>
      <c r="F125" t="inlineStr">
        <is>
          <t>Sveaskog</t>
        </is>
      </c>
      <c r="G125" t="n">
        <v>0.8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25125-2024</t>
        </is>
      </c>
      <c r="B126" s="1" t="n">
        <v>45462</v>
      </c>
      <c r="C126" s="1" t="n">
        <v>46186</v>
      </c>
      <c r="D126" t="inlineStr">
        <is>
          <t>DALARNAS LÄN</t>
        </is>
      </c>
      <c r="E126" t="inlineStr">
        <is>
          <t>SMEDJEBACKEN</t>
        </is>
      </c>
      <c r="G126" t="n">
        <v>4.4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53273-2022</t>
        </is>
      </c>
      <c r="B127" s="1" t="n">
        <v>44876.94532407408</v>
      </c>
      <c r="C127" s="1" t="n">
        <v>46186</v>
      </c>
      <c r="D127" t="inlineStr">
        <is>
          <t>DALARNAS LÄN</t>
        </is>
      </c>
      <c r="E127" t="inlineStr">
        <is>
          <t>SMEDJEBACKEN</t>
        </is>
      </c>
      <c r="G127" t="n">
        <v>1.9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26430-2024</t>
        </is>
      </c>
      <c r="B128" s="1" t="n">
        <v>45469.48158564815</v>
      </c>
      <c r="C128" s="1" t="n">
        <v>46186</v>
      </c>
      <c r="D128" t="inlineStr">
        <is>
          <t>DALARNAS LÄN</t>
        </is>
      </c>
      <c r="E128" t="inlineStr">
        <is>
          <t>SMEDJEBACKEN</t>
        </is>
      </c>
      <c r="F128" t="inlineStr">
        <is>
          <t>Bergvik skog väst AB</t>
        </is>
      </c>
      <c r="G128" t="n">
        <v>0.9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47839-2022</t>
        </is>
      </c>
      <c r="B129" s="1" t="n">
        <v>44855</v>
      </c>
      <c r="C129" s="1" t="n">
        <v>46186</v>
      </c>
      <c r="D129" t="inlineStr">
        <is>
          <t>DALARNAS LÄN</t>
        </is>
      </c>
      <c r="E129" t="inlineStr">
        <is>
          <t>SMEDJEBACKEN</t>
        </is>
      </c>
      <c r="F129" t="inlineStr">
        <is>
          <t>Sveaskog</t>
        </is>
      </c>
      <c r="G129" t="n">
        <v>6.1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22984-2022</t>
        </is>
      </c>
      <c r="B130" s="1" t="n">
        <v>44718</v>
      </c>
      <c r="C130" s="1" t="n">
        <v>46186</v>
      </c>
      <c r="D130" t="inlineStr">
        <is>
          <t>DALARNAS LÄN</t>
        </is>
      </c>
      <c r="E130" t="inlineStr">
        <is>
          <t>SMEDJEBACKEN</t>
        </is>
      </c>
      <c r="G130" t="n">
        <v>1.1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36667-2023</t>
        </is>
      </c>
      <c r="B131" s="1" t="n">
        <v>45153</v>
      </c>
      <c r="C131" s="1" t="n">
        <v>46186</v>
      </c>
      <c r="D131" t="inlineStr">
        <is>
          <t>DALARNAS LÄN</t>
        </is>
      </c>
      <c r="E131" t="inlineStr">
        <is>
          <t>SMEDJEBACKEN</t>
        </is>
      </c>
      <c r="F131" t="inlineStr">
        <is>
          <t>Sveaskog</t>
        </is>
      </c>
      <c r="G131" t="n">
        <v>2.9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53718-2022</t>
        </is>
      </c>
      <c r="B132" s="1" t="n">
        <v>44880.39084490741</v>
      </c>
      <c r="C132" s="1" t="n">
        <v>46186</v>
      </c>
      <c r="D132" t="inlineStr">
        <is>
          <t>DALARNAS LÄN</t>
        </is>
      </c>
      <c r="E132" t="inlineStr">
        <is>
          <t>SMEDJEBACKEN</t>
        </is>
      </c>
      <c r="F132" t="inlineStr">
        <is>
          <t>Sveaskog</t>
        </is>
      </c>
      <c r="G132" t="n">
        <v>1.9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29820-2023</t>
        </is>
      </c>
      <c r="B133" s="1" t="n">
        <v>45107.56135416667</v>
      </c>
      <c r="C133" s="1" t="n">
        <v>46186</v>
      </c>
      <c r="D133" t="inlineStr">
        <is>
          <t>DALARNAS LÄN</t>
        </is>
      </c>
      <c r="E133" t="inlineStr">
        <is>
          <t>SMEDJEBACKEN</t>
        </is>
      </c>
      <c r="G133" t="n">
        <v>0.8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35008-2024</t>
        </is>
      </c>
      <c r="B134" s="1" t="n">
        <v>45527</v>
      </c>
      <c r="C134" s="1" t="n">
        <v>46186</v>
      </c>
      <c r="D134" t="inlineStr">
        <is>
          <t>DALARNAS LÄN</t>
        </is>
      </c>
      <c r="E134" t="inlineStr">
        <is>
          <t>SMEDJEBACKEN</t>
        </is>
      </c>
      <c r="F134" t="inlineStr">
        <is>
          <t>Bergvik skog väst AB</t>
        </is>
      </c>
      <c r="G134" t="n">
        <v>0.5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48214-2023</t>
        </is>
      </c>
      <c r="B135" s="1" t="n">
        <v>45205.48114583334</v>
      </c>
      <c r="C135" s="1" t="n">
        <v>46186</v>
      </c>
      <c r="D135" t="inlineStr">
        <is>
          <t>DALARNAS LÄN</t>
        </is>
      </c>
      <c r="E135" t="inlineStr">
        <is>
          <t>SMEDJEBACKEN</t>
        </is>
      </c>
      <c r="G135" t="n">
        <v>1.5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47805-2025</t>
        </is>
      </c>
      <c r="B136" s="1" t="n">
        <v>45931.88991898148</v>
      </c>
      <c r="C136" s="1" t="n">
        <v>46186</v>
      </c>
      <c r="D136" t="inlineStr">
        <is>
          <t>DALARNAS LÄN</t>
        </is>
      </c>
      <c r="E136" t="inlineStr">
        <is>
          <t>SMEDJEBACKEN</t>
        </is>
      </c>
      <c r="G136" t="n">
        <v>4.9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48617-2025</t>
        </is>
      </c>
      <c r="B137" s="1" t="n">
        <v>45935</v>
      </c>
      <c r="C137" s="1" t="n">
        <v>46186</v>
      </c>
      <c r="D137" t="inlineStr">
        <is>
          <t>DALARNAS LÄN</t>
        </is>
      </c>
      <c r="E137" t="inlineStr">
        <is>
          <t>SMEDJEBACKEN</t>
        </is>
      </c>
      <c r="F137" t="inlineStr">
        <is>
          <t>Bergvik skog väst AB</t>
        </is>
      </c>
      <c r="G137" t="n">
        <v>18.6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48481-2025</t>
        </is>
      </c>
      <c r="B138" s="1" t="n">
        <v>45936.3534375</v>
      </c>
      <c r="C138" s="1" t="n">
        <v>46186</v>
      </c>
      <c r="D138" t="inlineStr">
        <is>
          <t>DALARNAS LÄN</t>
        </is>
      </c>
      <c r="E138" t="inlineStr">
        <is>
          <t>SMEDJEBACKEN</t>
        </is>
      </c>
      <c r="F138" t="inlineStr">
        <is>
          <t>Sveaskog</t>
        </is>
      </c>
      <c r="G138" t="n">
        <v>2.6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48476-2025</t>
        </is>
      </c>
      <c r="B139" s="1" t="n">
        <v>45936.34744212963</v>
      </c>
      <c r="C139" s="1" t="n">
        <v>46186</v>
      </c>
      <c r="D139" t="inlineStr">
        <is>
          <t>DALARNAS LÄN</t>
        </is>
      </c>
      <c r="E139" t="inlineStr">
        <is>
          <t>SMEDJEBACKEN</t>
        </is>
      </c>
      <c r="F139" t="inlineStr">
        <is>
          <t>Sveaskog</t>
        </is>
      </c>
      <c r="G139" t="n">
        <v>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48478-2025</t>
        </is>
      </c>
      <c r="B140" s="1" t="n">
        <v>45936.34949074074</v>
      </c>
      <c r="C140" s="1" t="n">
        <v>46186</v>
      </c>
      <c r="D140" t="inlineStr">
        <is>
          <t>DALARNAS LÄN</t>
        </is>
      </c>
      <c r="E140" t="inlineStr">
        <is>
          <t>SMEDJEBACKEN</t>
        </is>
      </c>
      <c r="F140" t="inlineStr">
        <is>
          <t>Sveaskog</t>
        </is>
      </c>
      <c r="G140" t="n">
        <v>4.4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48480-2025</t>
        </is>
      </c>
      <c r="B141" s="1" t="n">
        <v>45936.35192129629</v>
      </c>
      <c r="C141" s="1" t="n">
        <v>46186</v>
      </c>
      <c r="D141" t="inlineStr">
        <is>
          <t>DALARNAS LÄN</t>
        </is>
      </c>
      <c r="E141" t="inlineStr">
        <is>
          <t>SMEDJEBACKEN</t>
        </is>
      </c>
      <c r="F141" t="inlineStr">
        <is>
          <t>Sveaskog</t>
        </is>
      </c>
      <c r="G141" t="n">
        <v>4.7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48984-2025</t>
        </is>
      </c>
      <c r="B142" s="1" t="n">
        <v>45937.57471064815</v>
      </c>
      <c r="C142" s="1" t="n">
        <v>46186</v>
      </c>
      <c r="D142" t="inlineStr">
        <is>
          <t>DALARNAS LÄN</t>
        </is>
      </c>
      <c r="E142" t="inlineStr">
        <is>
          <t>SMEDJEBACKEN</t>
        </is>
      </c>
      <c r="F142" t="inlineStr">
        <is>
          <t>Sveaskog</t>
        </is>
      </c>
      <c r="G142" t="n">
        <v>6.9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6280-2025</t>
        </is>
      </c>
      <c r="B143" s="1" t="n">
        <v>45698.63383101852</v>
      </c>
      <c r="C143" s="1" t="n">
        <v>46186</v>
      </c>
      <c r="D143" t="inlineStr">
        <is>
          <t>DALARNAS LÄN</t>
        </is>
      </c>
      <c r="E143" t="inlineStr">
        <is>
          <t>SMEDJEBACKEN</t>
        </is>
      </c>
      <c r="G143" t="n">
        <v>3.3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38768-2025</t>
        </is>
      </c>
      <c r="B144" s="1" t="n">
        <v>45887.41387731482</v>
      </c>
      <c r="C144" s="1" t="n">
        <v>46186</v>
      </c>
      <c r="D144" t="inlineStr">
        <is>
          <t>DALARNAS LÄN</t>
        </is>
      </c>
      <c r="E144" t="inlineStr">
        <is>
          <t>SMEDJEBACKEN</t>
        </is>
      </c>
      <c r="F144" t="inlineStr">
        <is>
          <t>Sveaskog</t>
        </is>
      </c>
      <c r="G144" t="n">
        <v>1.7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49205-2025</t>
        </is>
      </c>
      <c r="B145" s="1" t="n">
        <v>45938.42122685185</v>
      </c>
      <c r="C145" s="1" t="n">
        <v>46186</v>
      </c>
      <c r="D145" t="inlineStr">
        <is>
          <t>DALARNAS LÄN</t>
        </is>
      </c>
      <c r="E145" t="inlineStr">
        <is>
          <t>SMEDJEBACKEN</t>
        </is>
      </c>
      <c r="G145" t="n">
        <v>1.9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20901-2025</t>
        </is>
      </c>
      <c r="B146" s="1" t="n">
        <v>45777.40040509259</v>
      </c>
      <c r="C146" s="1" t="n">
        <v>46186</v>
      </c>
      <c r="D146" t="inlineStr">
        <is>
          <t>DALARNAS LÄN</t>
        </is>
      </c>
      <c r="E146" t="inlineStr">
        <is>
          <t>SMEDJEBACKEN</t>
        </is>
      </c>
      <c r="F146" t="inlineStr">
        <is>
          <t>Sveaskog</t>
        </is>
      </c>
      <c r="G146" t="n">
        <v>0.6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20903-2025</t>
        </is>
      </c>
      <c r="B147" s="1" t="n">
        <v>45777.40322916667</v>
      </c>
      <c r="C147" s="1" t="n">
        <v>46186</v>
      </c>
      <c r="D147" t="inlineStr">
        <is>
          <t>DALARNAS LÄN</t>
        </is>
      </c>
      <c r="E147" t="inlineStr">
        <is>
          <t>SMEDJEBACKEN</t>
        </is>
      </c>
      <c r="F147" t="inlineStr">
        <is>
          <t>Sveaskog</t>
        </is>
      </c>
      <c r="G147" t="n">
        <v>2.2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50680-2025</t>
        </is>
      </c>
      <c r="B148" s="1" t="n">
        <v>45945</v>
      </c>
      <c r="C148" s="1" t="n">
        <v>46186</v>
      </c>
      <c r="D148" t="inlineStr">
        <is>
          <t>DALARNAS LÄN</t>
        </is>
      </c>
      <c r="E148" t="inlineStr">
        <is>
          <t>SMEDJEBACKEN</t>
        </is>
      </c>
      <c r="F148" t="inlineStr">
        <is>
          <t>Bergvik skog väst AB</t>
        </is>
      </c>
      <c r="G148" t="n">
        <v>24.5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50682-2025</t>
        </is>
      </c>
      <c r="B149" s="1" t="n">
        <v>45945</v>
      </c>
      <c r="C149" s="1" t="n">
        <v>46186</v>
      </c>
      <c r="D149" t="inlineStr">
        <is>
          <t>DALARNAS LÄN</t>
        </is>
      </c>
      <c r="E149" t="inlineStr">
        <is>
          <t>SMEDJEBACKEN</t>
        </is>
      </c>
      <c r="F149" t="inlineStr">
        <is>
          <t>Bergvik skog väst AB</t>
        </is>
      </c>
      <c r="G149" t="n">
        <v>17.4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65249-2021</t>
        </is>
      </c>
      <c r="B150" s="1" t="n">
        <v>44515</v>
      </c>
      <c r="C150" s="1" t="n">
        <v>46186</v>
      </c>
      <c r="D150" t="inlineStr">
        <is>
          <t>DALARNAS LÄN</t>
        </is>
      </c>
      <c r="E150" t="inlineStr">
        <is>
          <t>SMEDJEBACKEN</t>
        </is>
      </c>
      <c r="G150" t="n">
        <v>0.9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41569-2023</t>
        </is>
      </c>
      <c r="B151" s="1" t="n">
        <v>45175</v>
      </c>
      <c r="C151" s="1" t="n">
        <v>46186</v>
      </c>
      <c r="D151" t="inlineStr">
        <is>
          <t>DALARNAS LÄN</t>
        </is>
      </c>
      <c r="E151" t="inlineStr">
        <is>
          <t>SMEDJEBACKEN</t>
        </is>
      </c>
      <c r="G151" t="n">
        <v>2.5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51164-2023</t>
        </is>
      </c>
      <c r="B152" s="1" t="n">
        <v>45219.38086805555</v>
      </c>
      <c r="C152" s="1" t="n">
        <v>46186</v>
      </c>
      <c r="D152" t="inlineStr">
        <is>
          <t>DALARNAS LÄN</t>
        </is>
      </c>
      <c r="E152" t="inlineStr">
        <is>
          <t>SMEDJEBACKEN</t>
        </is>
      </c>
      <c r="G152" t="n">
        <v>1.5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50668-2025</t>
        </is>
      </c>
      <c r="B153" s="1" t="n">
        <v>45945</v>
      </c>
      <c r="C153" s="1" t="n">
        <v>46186</v>
      </c>
      <c r="D153" t="inlineStr">
        <is>
          <t>DALARNAS LÄN</t>
        </is>
      </c>
      <c r="E153" t="inlineStr">
        <is>
          <t>SMEDJEBACKEN</t>
        </is>
      </c>
      <c r="F153" t="inlineStr">
        <is>
          <t>Bergvik skog väst AB</t>
        </is>
      </c>
      <c r="G153" t="n">
        <v>14.5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38477-2025</t>
        </is>
      </c>
      <c r="B154" s="1" t="n">
        <v>45884.31744212963</v>
      </c>
      <c r="C154" s="1" t="n">
        <v>46186</v>
      </c>
      <c r="D154" t="inlineStr">
        <is>
          <t>DALARNAS LÄN</t>
        </is>
      </c>
      <c r="E154" t="inlineStr">
        <is>
          <t>SMEDJEBACKEN</t>
        </is>
      </c>
      <c r="G154" t="n">
        <v>0.7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51138-2025</t>
        </is>
      </c>
      <c r="B155" s="1" t="n">
        <v>45947.5597337963</v>
      </c>
      <c r="C155" s="1" t="n">
        <v>46186</v>
      </c>
      <c r="D155" t="inlineStr">
        <is>
          <t>DALARNAS LÄN</t>
        </is>
      </c>
      <c r="E155" t="inlineStr">
        <is>
          <t>SMEDJEBACKEN</t>
        </is>
      </c>
      <c r="F155" t="inlineStr">
        <is>
          <t>Sveaskog</t>
        </is>
      </c>
      <c r="G155" t="n">
        <v>2.3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51151-2025</t>
        </is>
      </c>
      <c r="B156" s="1" t="n">
        <v>45947.57368055556</v>
      </c>
      <c r="C156" s="1" t="n">
        <v>46186</v>
      </c>
      <c r="D156" t="inlineStr">
        <is>
          <t>DALARNAS LÄN</t>
        </is>
      </c>
      <c r="E156" t="inlineStr">
        <is>
          <t>SMEDJEBACKEN</t>
        </is>
      </c>
      <c r="F156" t="inlineStr">
        <is>
          <t>Sveaskog</t>
        </is>
      </c>
      <c r="G156" t="n">
        <v>0.9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51173-2025</t>
        </is>
      </c>
      <c r="B157" s="1" t="n">
        <v>45947.60856481481</v>
      </c>
      <c r="C157" s="1" t="n">
        <v>46186</v>
      </c>
      <c r="D157" t="inlineStr">
        <is>
          <t>DALARNAS LÄN</t>
        </is>
      </c>
      <c r="E157" t="inlineStr">
        <is>
          <t>SMEDJEBACKEN</t>
        </is>
      </c>
      <c r="F157" t="inlineStr">
        <is>
          <t>Sveaskog</t>
        </is>
      </c>
      <c r="G157" t="n">
        <v>1.6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50779-2025</t>
        </is>
      </c>
      <c r="B158" s="1" t="n">
        <v>45946.45733796297</v>
      </c>
      <c r="C158" s="1" t="n">
        <v>46186</v>
      </c>
      <c r="D158" t="inlineStr">
        <is>
          <t>DALARNAS LÄN</t>
        </is>
      </c>
      <c r="E158" t="inlineStr">
        <is>
          <t>SMEDJEBACKEN</t>
        </is>
      </c>
      <c r="F158" t="inlineStr">
        <is>
          <t>Sveaskog</t>
        </is>
      </c>
      <c r="G158" t="n">
        <v>6.5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51051-2025</t>
        </is>
      </c>
      <c r="B159" s="1" t="n">
        <v>45947.43714120371</v>
      </c>
      <c r="C159" s="1" t="n">
        <v>46186</v>
      </c>
      <c r="D159" t="inlineStr">
        <is>
          <t>DALARNAS LÄN</t>
        </is>
      </c>
      <c r="E159" t="inlineStr">
        <is>
          <t>SMEDJEBACKEN</t>
        </is>
      </c>
      <c r="F159" t="inlineStr">
        <is>
          <t>Sveaskog</t>
        </is>
      </c>
      <c r="G159" t="n">
        <v>1.1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51063-2025</t>
        </is>
      </c>
      <c r="B160" s="1" t="n">
        <v>45947.44696759259</v>
      </c>
      <c r="C160" s="1" t="n">
        <v>46186</v>
      </c>
      <c r="D160" t="inlineStr">
        <is>
          <t>DALARNAS LÄN</t>
        </is>
      </c>
      <c r="E160" t="inlineStr">
        <is>
          <t>SMEDJEBACKEN</t>
        </is>
      </c>
      <c r="F160" t="inlineStr">
        <is>
          <t>Sveaskog</t>
        </is>
      </c>
      <c r="G160" t="n">
        <v>1.8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51071-2025</t>
        </is>
      </c>
      <c r="B161" s="1" t="n">
        <v>45947.45814814815</v>
      </c>
      <c r="C161" s="1" t="n">
        <v>46186</v>
      </c>
      <c r="D161" t="inlineStr">
        <is>
          <t>DALARNAS LÄN</t>
        </is>
      </c>
      <c r="E161" t="inlineStr">
        <is>
          <t>SMEDJEBACKEN</t>
        </is>
      </c>
      <c r="F161" t="inlineStr">
        <is>
          <t>Sveaskog</t>
        </is>
      </c>
      <c r="G161" t="n">
        <v>0.7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51053-2025</t>
        </is>
      </c>
      <c r="B162" s="1" t="n">
        <v>45947.4393287037</v>
      </c>
      <c r="C162" s="1" t="n">
        <v>46186</v>
      </c>
      <c r="D162" t="inlineStr">
        <is>
          <t>DALARNAS LÄN</t>
        </is>
      </c>
      <c r="E162" t="inlineStr">
        <is>
          <t>SMEDJEBACKEN</t>
        </is>
      </c>
      <c r="F162" t="inlineStr">
        <is>
          <t>Sveaskog</t>
        </is>
      </c>
      <c r="G162" t="n">
        <v>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51054-2025</t>
        </is>
      </c>
      <c r="B163" s="1" t="n">
        <v>45947.4418287037</v>
      </c>
      <c r="C163" s="1" t="n">
        <v>46186</v>
      </c>
      <c r="D163" t="inlineStr">
        <is>
          <t>DALARNAS LÄN</t>
        </is>
      </c>
      <c r="E163" t="inlineStr">
        <is>
          <t>SMEDJEBACKEN</t>
        </is>
      </c>
      <c r="F163" t="inlineStr">
        <is>
          <t>Sveaskog</t>
        </is>
      </c>
      <c r="G163" t="n">
        <v>1.2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17908-2022</t>
        </is>
      </c>
      <c r="B164" s="1" t="n">
        <v>44683.53989583333</v>
      </c>
      <c r="C164" s="1" t="n">
        <v>46186</v>
      </c>
      <c r="D164" t="inlineStr">
        <is>
          <t>DALARNAS LÄN</t>
        </is>
      </c>
      <c r="E164" t="inlineStr">
        <is>
          <t>SMEDJEBACKEN</t>
        </is>
      </c>
      <c r="G164" t="n">
        <v>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51444-2025</t>
        </is>
      </c>
      <c r="B165" s="1" t="n">
        <v>45950</v>
      </c>
      <c r="C165" s="1" t="n">
        <v>46186</v>
      </c>
      <c r="D165" t="inlineStr">
        <is>
          <t>DALARNAS LÄN</t>
        </is>
      </c>
      <c r="E165" t="inlineStr">
        <is>
          <t>SMEDJEBACKEN</t>
        </is>
      </c>
      <c r="F165" t="inlineStr">
        <is>
          <t>Bergvik skog väst AB</t>
        </is>
      </c>
      <c r="G165" t="n">
        <v>2.8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51443-2025</t>
        </is>
      </c>
      <c r="B166" s="1" t="n">
        <v>45950</v>
      </c>
      <c r="C166" s="1" t="n">
        <v>46186</v>
      </c>
      <c r="D166" t="inlineStr">
        <is>
          <t>DALARNAS LÄN</t>
        </is>
      </c>
      <c r="E166" t="inlineStr">
        <is>
          <t>SMEDJEBACKEN</t>
        </is>
      </c>
      <c r="F166" t="inlineStr">
        <is>
          <t>Bergvik skog väst AB</t>
        </is>
      </c>
      <c r="G166" t="n">
        <v>5.2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51456-2025</t>
        </is>
      </c>
      <c r="B167" s="1" t="n">
        <v>45950</v>
      </c>
      <c r="C167" s="1" t="n">
        <v>46186</v>
      </c>
      <c r="D167" t="inlineStr">
        <is>
          <t>DALARNAS LÄN</t>
        </is>
      </c>
      <c r="E167" t="inlineStr">
        <is>
          <t>SMEDJEBACKEN</t>
        </is>
      </c>
      <c r="F167" t="inlineStr">
        <is>
          <t>Bergvik skog väst AB</t>
        </is>
      </c>
      <c r="G167" t="n">
        <v>6.1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51555-2025</t>
        </is>
      </c>
      <c r="B168" s="1" t="n">
        <v>45950.88679398148</v>
      </c>
      <c r="C168" s="1" t="n">
        <v>46186</v>
      </c>
      <c r="D168" t="inlineStr">
        <is>
          <t>DALARNAS LÄN</t>
        </is>
      </c>
      <c r="E168" t="inlineStr">
        <is>
          <t>SMEDJEBACKEN</t>
        </is>
      </c>
      <c r="G168" t="n">
        <v>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52713-2025</t>
        </is>
      </c>
      <c r="B169" s="1" t="n">
        <v>45953</v>
      </c>
      <c r="C169" s="1" t="n">
        <v>46186</v>
      </c>
      <c r="D169" t="inlineStr">
        <is>
          <t>DALARNAS LÄN</t>
        </is>
      </c>
      <c r="E169" t="inlineStr">
        <is>
          <t>SMEDJEBACKEN</t>
        </is>
      </c>
      <c r="F169" t="inlineStr">
        <is>
          <t>Bergvik skog väst AB</t>
        </is>
      </c>
      <c r="G169" t="n">
        <v>0.3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52000-2025</t>
        </is>
      </c>
      <c r="B170" s="1" t="n">
        <v>45952.58974537037</v>
      </c>
      <c r="C170" s="1" t="n">
        <v>46186</v>
      </c>
      <c r="D170" t="inlineStr">
        <is>
          <t>DALARNAS LÄN</t>
        </is>
      </c>
      <c r="E170" t="inlineStr">
        <is>
          <t>SMEDJEBACKEN</t>
        </is>
      </c>
      <c r="F170" t="inlineStr">
        <is>
          <t>Sveaskog</t>
        </is>
      </c>
      <c r="G170" t="n">
        <v>4.7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52004-2025</t>
        </is>
      </c>
      <c r="B171" s="1" t="n">
        <v>45952.59214120371</v>
      </c>
      <c r="C171" s="1" t="n">
        <v>46186</v>
      </c>
      <c r="D171" t="inlineStr">
        <is>
          <t>DALARNAS LÄN</t>
        </is>
      </c>
      <c r="E171" t="inlineStr">
        <is>
          <t>SMEDJEBACKEN</t>
        </is>
      </c>
      <c r="F171" t="inlineStr">
        <is>
          <t>Sveaskog</t>
        </is>
      </c>
      <c r="G171" t="n">
        <v>1.9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39800-2025</t>
        </is>
      </c>
      <c r="B172" s="1" t="n">
        <v>45891.50084490741</v>
      </c>
      <c r="C172" s="1" t="n">
        <v>46186</v>
      </c>
      <c r="D172" t="inlineStr">
        <is>
          <t>DALARNAS LÄN</t>
        </is>
      </c>
      <c r="E172" t="inlineStr">
        <is>
          <t>SMEDJEBACKEN</t>
        </is>
      </c>
      <c r="F172" t="inlineStr">
        <is>
          <t>Sveaskog</t>
        </is>
      </c>
      <c r="G172" t="n">
        <v>1.1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39805-2025</t>
        </is>
      </c>
      <c r="B173" s="1" t="n">
        <v>45891.50685185185</v>
      </c>
      <c r="C173" s="1" t="n">
        <v>46186</v>
      </c>
      <c r="D173" t="inlineStr">
        <is>
          <t>DALARNAS LÄN</t>
        </is>
      </c>
      <c r="E173" t="inlineStr">
        <is>
          <t>SMEDJEBACKEN</t>
        </is>
      </c>
      <c r="F173" t="inlineStr">
        <is>
          <t>Sveaskog</t>
        </is>
      </c>
      <c r="G173" t="n">
        <v>2.2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52968-2025</t>
        </is>
      </c>
      <c r="B174" s="1" t="n">
        <v>45957.67209490741</v>
      </c>
      <c r="C174" s="1" t="n">
        <v>46186</v>
      </c>
      <c r="D174" t="inlineStr">
        <is>
          <t>DALARNAS LÄN</t>
        </is>
      </c>
      <c r="E174" t="inlineStr">
        <is>
          <t>SMEDJEBACKEN</t>
        </is>
      </c>
      <c r="F174" t="inlineStr">
        <is>
          <t>Sveaskog</t>
        </is>
      </c>
      <c r="G174" t="n">
        <v>3.6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45214-2025</t>
        </is>
      </c>
      <c r="B175" s="1" t="n">
        <v>45919</v>
      </c>
      <c r="C175" s="1" t="n">
        <v>46186</v>
      </c>
      <c r="D175" t="inlineStr">
        <is>
          <t>DALARNAS LÄN</t>
        </is>
      </c>
      <c r="E175" t="inlineStr">
        <is>
          <t>SMEDJEBACKEN</t>
        </is>
      </c>
      <c r="G175" t="n">
        <v>0.5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52610-2025</t>
        </is>
      </c>
      <c r="B176" s="1" t="n">
        <v>45954.66931712963</v>
      </c>
      <c r="C176" s="1" t="n">
        <v>46186</v>
      </c>
      <c r="D176" t="inlineStr">
        <is>
          <t>DALARNAS LÄN</t>
        </is>
      </c>
      <c r="E176" t="inlineStr">
        <is>
          <t>SMEDJEBACKEN</t>
        </is>
      </c>
      <c r="G176" t="n">
        <v>5.5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39802-2025</t>
        </is>
      </c>
      <c r="B177" s="1" t="n">
        <v>45891.50247685185</v>
      </c>
      <c r="C177" s="1" t="n">
        <v>46186</v>
      </c>
      <c r="D177" t="inlineStr">
        <is>
          <t>DALARNAS LÄN</t>
        </is>
      </c>
      <c r="E177" t="inlineStr">
        <is>
          <t>SMEDJEBACKEN</t>
        </is>
      </c>
      <c r="F177" t="inlineStr">
        <is>
          <t>Sveaskog</t>
        </is>
      </c>
      <c r="G177" t="n">
        <v>1.2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39806-2025</t>
        </is>
      </c>
      <c r="B178" s="1" t="n">
        <v>45891.50767361111</v>
      </c>
      <c r="C178" s="1" t="n">
        <v>46186</v>
      </c>
      <c r="D178" t="inlineStr">
        <is>
          <t>DALARNAS LÄN</t>
        </is>
      </c>
      <c r="E178" t="inlineStr">
        <is>
          <t>SMEDJEBACKEN</t>
        </is>
      </c>
      <c r="F178" t="inlineStr">
        <is>
          <t>Sveaskog</t>
        </is>
      </c>
      <c r="G178" t="n">
        <v>1.3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39804-2025</t>
        </is>
      </c>
      <c r="B179" s="1" t="n">
        <v>45891.50608796296</v>
      </c>
      <c r="C179" s="1" t="n">
        <v>46186</v>
      </c>
      <c r="D179" t="inlineStr">
        <is>
          <t>DALARNAS LÄN</t>
        </is>
      </c>
      <c r="E179" t="inlineStr">
        <is>
          <t>SMEDJEBACKEN</t>
        </is>
      </c>
      <c r="F179" t="inlineStr">
        <is>
          <t>Sveaskog</t>
        </is>
      </c>
      <c r="G179" t="n">
        <v>8.800000000000001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53279-2025</t>
        </is>
      </c>
      <c r="B180" s="1" t="n">
        <v>45958</v>
      </c>
      <c r="C180" s="1" t="n">
        <v>46186</v>
      </c>
      <c r="D180" t="inlineStr">
        <is>
          <t>DALARNAS LÄN</t>
        </is>
      </c>
      <c r="E180" t="inlineStr">
        <is>
          <t>SMEDJEBACKEN</t>
        </is>
      </c>
      <c r="G180" t="n">
        <v>4.5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20623-2022</t>
        </is>
      </c>
      <c r="B181" s="1" t="n">
        <v>44700</v>
      </c>
      <c r="C181" s="1" t="n">
        <v>46186</v>
      </c>
      <c r="D181" t="inlineStr">
        <is>
          <t>DALARNAS LÄN</t>
        </is>
      </c>
      <c r="E181" t="inlineStr">
        <is>
          <t>SMEDJEBACKEN</t>
        </is>
      </c>
      <c r="G181" t="n">
        <v>0.8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53285-2025</t>
        </is>
      </c>
      <c r="B182" s="1" t="n">
        <v>45958</v>
      </c>
      <c r="C182" s="1" t="n">
        <v>46186</v>
      </c>
      <c r="D182" t="inlineStr">
        <is>
          <t>DALARNAS LÄN</t>
        </is>
      </c>
      <c r="E182" t="inlineStr">
        <is>
          <t>SMEDJEBACKEN</t>
        </is>
      </c>
      <c r="F182" t="inlineStr">
        <is>
          <t>Bergvik skog väst AB</t>
        </is>
      </c>
      <c r="G182" t="n">
        <v>4.6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15360-2023</t>
        </is>
      </c>
      <c r="B183" s="1" t="n">
        <v>45019</v>
      </c>
      <c r="C183" s="1" t="n">
        <v>46186</v>
      </c>
      <c r="D183" t="inlineStr">
        <is>
          <t>DALARNAS LÄN</t>
        </is>
      </c>
      <c r="E183" t="inlineStr">
        <is>
          <t>SMEDJEBACKEN</t>
        </is>
      </c>
      <c r="G183" t="n">
        <v>1.3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53769-2025</t>
        </is>
      </c>
      <c r="B184" s="1" t="n">
        <v>45960.68148148148</v>
      </c>
      <c r="C184" s="1" t="n">
        <v>46186</v>
      </c>
      <c r="D184" t="inlineStr">
        <is>
          <t>DALARNAS LÄN</t>
        </is>
      </c>
      <c r="E184" t="inlineStr">
        <is>
          <t>SMEDJEBACKEN</t>
        </is>
      </c>
      <c r="G184" t="n">
        <v>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38755-2025</t>
        </is>
      </c>
      <c r="B185" s="1" t="n">
        <v>45887.39440972222</v>
      </c>
      <c r="C185" s="1" t="n">
        <v>46186</v>
      </c>
      <c r="D185" t="inlineStr">
        <is>
          <t>DALARNAS LÄN</t>
        </is>
      </c>
      <c r="E185" t="inlineStr">
        <is>
          <t>SMEDJEBACKEN</t>
        </is>
      </c>
      <c r="F185" t="inlineStr">
        <is>
          <t>Sveaskog</t>
        </is>
      </c>
      <c r="G185" t="n">
        <v>2.7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42315-2024</t>
        </is>
      </c>
      <c r="B186" s="1" t="n">
        <v>45562.64291666666</v>
      </c>
      <c r="C186" s="1" t="n">
        <v>46186</v>
      </c>
      <c r="D186" t="inlineStr">
        <is>
          <t>DALARNAS LÄN</t>
        </is>
      </c>
      <c r="E186" t="inlineStr">
        <is>
          <t>SMEDJEBACKEN</t>
        </is>
      </c>
      <c r="G186" t="n">
        <v>5.7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53859-2023</t>
        </is>
      </c>
      <c r="B187" s="1" t="n">
        <v>45224</v>
      </c>
      <c r="C187" s="1" t="n">
        <v>46186</v>
      </c>
      <c r="D187" t="inlineStr">
        <is>
          <t>DALARNAS LÄN</t>
        </is>
      </c>
      <c r="E187" t="inlineStr">
        <is>
          <t>SMEDJEBACKEN</t>
        </is>
      </c>
      <c r="F187" t="inlineStr">
        <is>
          <t>Bergvik skog väst AB</t>
        </is>
      </c>
      <c r="G187" t="n">
        <v>10.5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38750-2025</t>
        </is>
      </c>
      <c r="B188" s="1" t="n">
        <v>45887.38953703704</v>
      </c>
      <c r="C188" s="1" t="n">
        <v>46186</v>
      </c>
      <c r="D188" t="inlineStr">
        <is>
          <t>DALARNAS LÄN</t>
        </is>
      </c>
      <c r="E188" t="inlineStr">
        <is>
          <t>SMEDJEBACKEN</t>
        </is>
      </c>
      <c r="F188" t="inlineStr">
        <is>
          <t>Sveaskog</t>
        </is>
      </c>
      <c r="G188" t="n">
        <v>4.8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40827-2025</t>
        </is>
      </c>
      <c r="B189" s="1" t="n">
        <v>45897.50523148148</v>
      </c>
      <c r="C189" s="1" t="n">
        <v>46186</v>
      </c>
      <c r="D189" t="inlineStr">
        <is>
          <t>DALARNAS LÄN</t>
        </is>
      </c>
      <c r="E189" t="inlineStr">
        <is>
          <t>SMEDJEBACKEN</t>
        </is>
      </c>
      <c r="G189" t="n">
        <v>3.1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54107-2025</t>
        </is>
      </c>
      <c r="B190" s="1" t="n">
        <v>45964.43033564815</v>
      </c>
      <c r="C190" s="1" t="n">
        <v>46186</v>
      </c>
      <c r="D190" t="inlineStr">
        <is>
          <t>DALARNAS LÄN</t>
        </is>
      </c>
      <c r="E190" t="inlineStr">
        <is>
          <t>SMEDJEBACKEN</t>
        </is>
      </c>
      <c r="F190" t="inlineStr">
        <is>
          <t>Sveaskog</t>
        </is>
      </c>
      <c r="G190" t="n">
        <v>9.9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54083-2025</t>
        </is>
      </c>
      <c r="B191" s="1" t="n">
        <v>45964.38497685185</v>
      </c>
      <c r="C191" s="1" t="n">
        <v>46186</v>
      </c>
      <c r="D191" t="inlineStr">
        <is>
          <t>DALARNAS LÄN</t>
        </is>
      </c>
      <c r="E191" t="inlineStr">
        <is>
          <t>SMEDJEBACKEN</t>
        </is>
      </c>
      <c r="F191" t="inlineStr">
        <is>
          <t>Sveaskog</t>
        </is>
      </c>
      <c r="G191" t="n">
        <v>7.1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54084-2025</t>
        </is>
      </c>
      <c r="B192" s="1" t="n">
        <v>45964.38748842593</v>
      </c>
      <c r="C192" s="1" t="n">
        <v>46186</v>
      </c>
      <c r="D192" t="inlineStr">
        <is>
          <t>DALARNAS LÄN</t>
        </is>
      </c>
      <c r="E192" t="inlineStr">
        <is>
          <t>SMEDJEBACKEN</t>
        </is>
      </c>
      <c r="F192" t="inlineStr">
        <is>
          <t>Sveaskog</t>
        </is>
      </c>
      <c r="G192" t="n">
        <v>1.3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47654-2024</t>
        </is>
      </c>
      <c r="B193" s="1" t="n">
        <v>45588.38447916666</v>
      </c>
      <c r="C193" s="1" t="n">
        <v>46186</v>
      </c>
      <c r="D193" t="inlineStr">
        <is>
          <t>DALARNAS LÄN</t>
        </is>
      </c>
      <c r="E193" t="inlineStr">
        <is>
          <t>SMEDJEBACKEN</t>
        </is>
      </c>
      <c r="F193" t="inlineStr">
        <is>
          <t>Sveaskog</t>
        </is>
      </c>
      <c r="G193" t="n">
        <v>2.3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47661-2024</t>
        </is>
      </c>
      <c r="B194" s="1" t="n">
        <v>45588.3869212963</v>
      </c>
      <c r="C194" s="1" t="n">
        <v>46186</v>
      </c>
      <c r="D194" t="inlineStr">
        <is>
          <t>DALARNAS LÄN</t>
        </is>
      </c>
      <c r="E194" t="inlineStr">
        <is>
          <t>SMEDJEBACKEN</t>
        </is>
      </c>
      <c r="F194" t="inlineStr">
        <is>
          <t>Sveaskog</t>
        </is>
      </c>
      <c r="G194" t="n">
        <v>2.3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14875-2025</t>
        </is>
      </c>
      <c r="B195" s="1" t="n">
        <v>45743</v>
      </c>
      <c r="C195" s="1" t="n">
        <v>46186</v>
      </c>
      <c r="D195" t="inlineStr">
        <is>
          <t>DALARNAS LÄN</t>
        </is>
      </c>
      <c r="E195" t="inlineStr">
        <is>
          <t>SMEDJEBACKEN</t>
        </is>
      </c>
      <c r="G195" t="n">
        <v>2.7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28444-2025</t>
        </is>
      </c>
      <c r="B196" s="1" t="n">
        <v>45819.39711805555</v>
      </c>
      <c r="C196" s="1" t="n">
        <v>46186</v>
      </c>
      <c r="D196" t="inlineStr">
        <is>
          <t>DALARNAS LÄN</t>
        </is>
      </c>
      <c r="E196" t="inlineStr">
        <is>
          <t>SMEDJEBACKEN</t>
        </is>
      </c>
      <c r="F196" t="inlineStr">
        <is>
          <t>Sveaskog</t>
        </is>
      </c>
      <c r="G196" t="n">
        <v>1.2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25393-2024</t>
        </is>
      </c>
      <c r="B197" s="1" t="n">
        <v>45463.32146990741</v>
      </c>
      <c r="C197" s="1" t="n">
        <v>46186</v>
      </c>
      <c r="D197" t="inlineStr">
        <is>
          <t>DALARNAS LÄN</t>
        </is>
      </c>
      <c r="E197" t="inlineStr">
        <is>
          <t>SMEDJEBACKEN</t>
        </is>
      </c>
      <c r="G197" t="n">
        <v>5.2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43926-2024</t>
        </is>
      </c>
      <c r="B198" s="1" t="n">
        <v>45572.45065972222</v>
      </c>
      <c r="C198" s="1" t="n">
        <v>46186</v>
      </c>
      <c r="D198" t="inlineStr">
        <is>
          <t>DALARNAS LÄN</t>
        </is>
      </c>
      <c r="E198" t="inlineStr">
        <is>
          <t>SMEDJEBACKEN</t>
        </is>
      </c>
      <c r="F198" t="inlineStr">
        <is>
          <t>Sveaskog</t>
        </is>
      </c>
      <c r="G198" t="n">
        <v>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39734-2021</t>
        </is>
      </c>
      <c r="B199" s="1" t="n">
        <v>44414</v>
      </c>
      <c r="C199" s="1" t="n">
        <v>46186</v>
      </c>
      <c r="D199" t="inlineStr">
        <is>
          <t>DALARNAS LÄN</t>
        </is>
      </c>
      <c r="E199" t="inlineStr">
        <is>
          <t>SMEDJEBACKEN</t>
        </is>
      </c>
      <c r="G199" t="n">
        <v>4.4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60922-2021</t>
        </is>
      </c>
      <c r="B200" s="1" t="n">
        <v>44496</v>
      </c>
      <c r="C200" s="1" t="n">
        <v>46186</v>
      </c>
      <c r="D200" t="inlineStr">
        <is>
          <t>DALARNAS LÄN</t>
        </is>
      </c>
      <c r="E200" t="inlineStr">
        <is>
          <t>SMEDJEBACKEN</t>
        </is>
      </c>
      <c r="G200" t="n">
        <v>3.6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41479-2025</t>
        </is>
      </c>
      <c r="B201" s="1" t="n">
        <v>45901.47142361111</v>
      </c>
      <c r="C201" s="1" t="n">
        <v>46186</v>
      </c>
      <c r="D201" t="inlineStr">
        <is>
          <t>DALARNAS LÄN</t>
        </is>
      </c>
      <c r="E201" t="inlineStr">
        <is>
          <t>SMEDJEBACKEN</t>
        </is>
      </c>
      <c r="G201" t="n">
        <v>2.9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60814-2022</t>
        </is>
      </c>
      <c r="B202" s="1" t="n">
        <v>44914</v>
      </c>
      <c r="C202" s="1" t="n">
        <v>46186</v>
      </c>
      <c r="D202" t="inlineStr">
        <is>
          <t>DALARNAS LÄN</t>
        </is>
      </c>
      <c r="E202" t="inlineStr">
        <is>
          <t>SMEDJEBACKEN</t>
        </is>
      </c>
      <c r="G202" t="n">
        <v>0.6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31788-2022</t>
        </is>
      </c>
      <c r="B203" s="1" t="n">
        <v>44776</v>
      </c>
      <c r="C203" s="1" t="n">
        <v>46186</v>
      </c>
      <c r="D203" t="inlineStr">
        <is>
          <t>DALARNAS LÄN</t>
        </is>
      </c>
      <c r="E203" t="inlineStr">
        <is>
          <t>SMEDJEBACKEN</t>
        </is>
      </c>
      <c r="F203" t="inlineStr">
        <is>
          <t>Bergvik skog väst AB</t>
        </is>
      </c>
      <c r="G203" t="n">
        <v>3.9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22207-2024</t>
        </is>
      </c>
      <c r="B204" s="1" t="n">
        <v>45446.38172453704</v>
      </c>
      <c r="C204" s="1" t="n">
        <v>46186</v>
      </c>
      <c r="D204" t="inlineStr">
        <is>
          <t>DALARNAS LÄN</t>
        </is>
      </c>
      <c r="E204" t="inlineStr">
        <is>
          <t>SMEDJEBACKEN</t>
        </is>
      </c>
      <c r="F204" t="inlineStr">
        <is>
          <t>Sveaskog</t>
        </is>
      </c>
      <c r="G204" t="n">
        <v>1.3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33022-2024</t>
        </is>
      </c>
      <c r="B205" s="1" t="n">
        <v>45517.56021990741</v>
      </c>
      <c r="C205" s="1" t="n">
        <v>46186</v>
      </c>
      <c r="D205" t="inlineStr">
        <is>
          <t>DALARNAS LÄN</t>
        </is>
      </c>
      <c r="E205" t="inlineStr">
        <is>
          <t>SMEDJEBACKEN</t>
        </is>
      </c>
      <c r="F205" t="inlineStr">
        <is>
          <t>Sveaskog</t>
        </is>
      </c>
      <c r="G205" t="n">
        <v>6.5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41846-2025</t>
        </is>
      </c>
      <c r="B206" s="1" t="n">
        <v>45902.74388888889</v>
      </c>
      <c r="C206" s="1" t="n">
        <v>46186</v>
      </c>
      <c r="D206" t="inlineStr">
        <is>
          <t>DALARNAS LÄN</t>
        </is>
      </c>
      <c r="E206" t="inlineStr">
        <is>
          <t>SMEDJEBACKEN</t>
        </is>
      </c>
      <c r="F206" t="inlineStr">
        <is>
          <t>Sveaskog</t>
        </is>
      </c>
      <c r="G206" t="n">
        <v>2.6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36167-2025</t>
        </is>
      </c>
      <c r="B207" s="1" t="n">
        <v>45867.38560185185</v>
      </c>
      <c r="C207" s="1" t="n">
        <v>46186</v>
      </c>
      <c r="D207" t="inlineStr">
        <is>
          <t>DALARNAS LÄN</t>
        </is>
      </c>
      <c r="E207" t="inlineStr">
        <is>
          <t>SMEDJEBACKEN</t>
        </is>
      </c>
      <c r="F207" t="inlineStr">
        <is>
          <t>Sveaskog</t>
        </is>
      </c>
      <c r="G207" t="n">
        <v>2.6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55364-2025</t>
        </is>
      </c>
      <c r="B208" s="1" t="n">
        <v>45971.40157407407</v>
      </c>
      <c r="C208" s="1" t="n">
        <v>46186</v>
      </c>
      <c r="D208" t="inlineStr">
        <is>
          <t>DALARNAS LÄN</t>
        </is>
      </c>
      <c r="E208" t="inlineStr">
        <is>
          <t>SMEDJEBACKEN</t>
        </is>
      </c>
      <c r="F208" t="inlineStr">
        <is>
          <t>Sveaskog</t>
        </is>
      </c>
      <c r="G208" t="n">
        <v>7.9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42047-2025</t>
        </is>
      </c>
      <c r="B209" s="1" t="n">
        <v>45903.62934027778</v>
      </c>
      <c r="C209" s="1" t="n">
        <v>46186</v>
      </c>
      <c r="D209" t="inlineStr">
        <is>
          <t>DALARNAS LÄN</t>
        </is>
      </c>
      <c r="E209" t="inlineStr">
        <is>
          <t>SMEDJEBACKEN</t>
        </is>
      </c>
      <c r="G209" t="n">
        <v>2.3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41480-2023</t>
        </is>
      </c>
      <c r="B210" s="1" t="n">
        <v>45172</v>
      </c>
      <c r="C210" s="1" t="n">
        <v>46186</v>
      </c>
      <c r="D210" t="inlineStr">
        <is>
          <t>DALARNAS LÄN</t>
        </is>
      </c>
      <c r="E210" t="inlineStr">
        <is>
          <t>SMEDJEBACKEN</t>
        </is>
      </c>
      <c r="F210" t="inlineStr">
        <is>
          <t>Bergvik skog väst AB</t>
        </is>
      </c>
      <c r="G210" t="n">
        <v>9.699999999999999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50539-2024</t>
        </is>
      </c>
      <c r="B211" s="1" t="n">
        <v>45600</v>
      </c>
      <c r="C211" s="1" t="n">
        <v>46186</v>
      </c>
      <c r="D211" t="inlineStr">
        <is>
          <t>DALARNAS LÄN</t>
        </is>
      </c>
      <c r="E211" t="inlineStr">
        <is>
          <t>SMEDJEBACKEN</t>
        </is>
      </c>
      <c r="G211" t="n">
        <v>0.8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22462-2025</t>
        </is>
      </c>
      <c r="B212" s="1" t="n">
        <v>45786.60820601852</v>
      </c>
      <c r="C212" s="1" t="n">
        <v>46186</v>
      </c>
      <c r="D212" t="inlineStr">
        <is>
          <t>DALARNAS LÄN</t>
        </is>
      </c>
      <c r="E212" t="inlineStr">
        <is>
          <t>SMEDJEBACKEN</t>
        </is>
      </c>
      <c r="F212" t="inlineStr">
        <is>
          <t>Sveaskog</t>
        </is>
      </c>
      <c r="G212" t="n">
        <v>8.800000000000001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32934-2024</t>
        </is>
      </c>
      <c r="B213" s="1" t="n">
        <v>45517.32456018519</v>
      </c>
      <c r="C213" s="1" t="n">
        <v>46186</v>
      </c>
      <c r="D213" t="inlineStr">
        <is>
          <t>DALARNAS LÄN</t>
        </is>
      </c>
      <c r="E213" t="inlineStr">
        <is>
          <t>SMEDJEBACKEN</t>
        </is>
      </c>
      <c r="F213" t="inlineStr">
        <is>
          <t>Sveaskog</t>
        </is>
      </c>
      <c r="G213" t="n">
        <v>4.8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42866-2024</t>
        </is>
      </c>
      <c r="B214" s="1" t="n">
        <v>45566.66189814815</v>
      </c>
      <c r="C214" s="1" t="n">
        <v>46186</v>
      </c>
      <c r="D214" t="inlineStr">
        <is>
          <t>DALARNAS LÄN</t>
        </is>
      </c>
      <c r="E214" t="inlineStr">
        <is>
          <t>SMEDJEBACKEN</t>
        </is>
      </c>
      <c r="G214" t="n">
        <v>1.7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2275-2024</t>
        </is>
      </c>
      <c r="B215" s="1" t="n">
        <v>45310</v>
      </c>
      <c r="C215" s="1" t="n">
        <v>46186</v>
      </c>
      <c r="D215" t="inlineStr">
        <is>
          <t>DALARNAS LÄN</t>
        </is>
      </c>
      <c r="E215" t="inlineStr">
        <is>
          <t>SMEDJEBACKEN</t>
        </is>
      </c>
      <c r="G215" t="n">
        <v>0.6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31034-2024</t>
        </is>
      </c>
      <c r="B216" s="1" t="n">
        <v>45501.47048611111</v>
      </c>
      <c r="C216" s="1" t="n">
        <v>46186</v>
      </c>
      <c r="D216" t="inlineStr">
        <is>
          <t>DALARNAS LÄN</t>
        </is>
      </c>
      <c r="E216" t="inlineStr">
        <is>
          <t>SMEDJEBACKEN</t>
        </is>
      </c>
      <c r="G216" t="n">
        <v>0.5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51771-2024</t>
        </is>
      </c>
      <c r="B217" s="1" t="n">
        <v>45607.44939814815</v>
      </c>
      <c r="C217" s="1" t="n">
        <v>46186</v>
      </c>
      <c r="D217" t="inlineStr">
        <is>
          <t>DALARNAS LÄN</t>
        </is>
      </c>
      <c r="E217" t="inlineStr">
        <is>
          <t>SMEDJEBACKEN</t>
        </is>
      </c>
      <c r="G217" t="n">
        <v>1.6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22459-2025</t>
        </is>
      </c>
      <c r="B218" s="1" t="n">
        <v>45786.60678240741</v>
      </c>
      <c r="C218" s="1" t="n">
        <v>46186</v>
      </c>
      <c r="D218" t="inlineStr">
        <is>
          <t>DALARNAS LÄN</t>
        </is>
      </c>
      <c r="E218" t="inlineStr">
        <is>
          <t>SMEDJEBACKEN</t>
        </is>
      </c>
      <c r="F218" t="inlineStr">
        <is>
          <t>Sveaskog</t>
        </is>
      </c>
      <c r="G218" t="n">
        <v>8.800000000000001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49139-2022</t>
        </is>
      </c>
      <c r="B219" s="1" t="n">
        <v>44860.72960648148</v>
      </c>
      <c r="C219" s="1" t="n">
        <v>46186</v>
      </c>
      <c r="D219" t="inlineStr">
        <is>
          <t>DALARNAS LÄN</t>
        </is>
      </c>
      <c r="E219" t="inlineStr">
        <is>
          <t>SMEDJEBACKEN</t>
        </is>
      </c>
      <c r="G219" t="n">
        <v>3.7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53982-2024</t>
        </is>
      </c>
      <c r="B220" s="1" t="n">
        <v>45615</v>
      </c>
      <c r="C220" s="1" t="n">
        <v>46186</v>
      </c>
      <c r="D220" t="inlineStr">
        <is>
          <t>DALARNAS LÄN</t>
        </is>
      </c>
      <c r="E220" t="inlineStr">
        <is>
          <t>SMEDJEBACKEN</t>
        </is>
      </c>
      <c r="F220" t="inlineStr">
        <is>
          <t>Bergvik skog väst AB</t>
        </is>
      </c>
      <c r="G220" t="n">
        <v>10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41333-2024</t>
        </is>
      </c>
      <c r="B221" s="1" t="n">
        <v>45559.66320601852</v>
      </c>
      <c r="C221" s="1" t="n">
        <v>46186</v>
      </c>
      <c r="D221" t="inlineStr">
        <is>
          <t>DALARNAS LÄN</t>
        </is>
      </c>
      <c r="E221" t="inlineStr">
        <is>
          <t>SMEDJEBACKEN</t>
        </is>
      </c>
      <c r="G221" t="n">
        <v>1.2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646-2022</t>
        </is>
      </c>
      <c r="B222" s="1" t="n">
        <v>44568</v>
      </c>
      <c r="C222" s="1" t="n">
        <v>46186</v>
      </c>
      <c r="D222" t="inlineStr">
        <is>
          <t>DALARNAS LÄN</t>
        </is>
      </c>
      <c r="E222" t="inlineStr">
        <is>
          <t>SMEDJEBACKEN</t>
        </is>
      </c>
      <c r="G222" t="n">
        <v>2.2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39536-2021</t>
        </is>
      </c>
      <c r="B223" s="1" t="n">
        <v>44415.9652662037</v>
      </c>
      <c r="C223" s="1" t="n">
        <v>46186</v>
      </c>
      <c r="D223" t="inlineStr">
        <is>
          <t>DALARNAS LÄN</t>
        </is>
      </c>
      <c r="E223" t="inlineStr">
        <is>
          <t>SMEDJEBACKEN</t>
        </is>
      </c>
      <c r="G223" t="n">
        <v>5.1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42663-2025</t>
        </is>
      </c>
      <c r="B224" s="1" t="n">
        <v>45907.84583333333</v>
      </c>
      <c r="C224" s="1" t="n">
        <v>46186</v>
      </c>
      <c r="D224" t="inlineStr">
        <is>
          <t>DALARNAS LÄN</t>
        </is>
      </c>
      <c r="E224" t="inlineStr">
        <is>
          <t>SMEDJEBACKEN</t>
        </is>
      </c>
      <c r="G224" t="n">
        <v>1.6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56029-2025</t>
        </is>
      </c>
      <c r="B225" s="1" t="n">
        <v>45973.60090277778</v>
      </c>
      <c r="C225" s="1" t="n">
        <v>46186</v>
      </c>
      <c r="D225" t="inlineStr">
        <is>
          <t>DALARNAS LÄN</t>
        </is>
      </c>
      <c r="E225" t="inlineStr">
        <is>
          <t>SMEDJEBACKEN</t>
        </is>
      </c>
      <c r="G225" t="n">
        <v>3.2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56069-2025</t>
        </is>
      </c>
      <c r="B226" s="1" t="n">
        <v>45973.64831018518</v>
      </c>
      <c r="C226" s="1" t="n">
        <v>46186</v>
      </c>
      <c r="D226" t="inlineStr">
        <is>
          <t>DALARNAS LÄN</t>
        </is>
      </c>
      <c r="E226" t="inlineStr">
        <is>
          <t>SMEDJEBACKEN</t>
        </is>
      </c>
      <c r="F226" t="inlineStr">
        <is>
          <t>Bergvik skog väst AB</t>
        </is>
      </c>
      <c r="G226" t="n">
        <v>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21703-2023</t>
        </is>
      </c>
      <c r="B227" s="1" t="n">
        <v>45064</v>
      </c>
      <c r="C227" s="1" t="n">
        <v>46186</v>
      </c>
      <c r="D227" t="inlineStr">
        <is>
          <t>DALARNAS LÄN</t>
        </is>
      </c>
      <c r="E227" t="inlineStr">
        <is>
          <t>SMEDJEBACKEN</t>
        </is>
      </c>
      <c r="F227" t="inlineStr">
        <is>
          <t>Övriga Aktiebolag</t>
        </is>
      </c>
      <c r="G227" t="n">
        <v>4.1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37501-2022</t>
        </is>
      </c>
      <c r="B228" s="1" t="n">
        <v>44809.57108796296</v>
      </c>
      <c r="C228" s="1" t="n">
        <v>46186</v>
      </c>
      <c r="D228" t="inlineStr">
        <is>
          <t>DALARNAS LÄN</t>
        </is>
      </c>
      <c r="E228" t="inlineStr">
        <is>
          <t>SMEDJEBACKEN</t>
        </is>
      </c>
      <c r="G228" t="n">
        <v>1.7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57146-2022</t>
        </is>
      </c>
      <c r="B229" s="1" t="n">
        <v>44895</v>
      </c>
      <c r="C229" s="1" t="n">
        <v>46186</v>
      </c>
      <c r="D229" t="inlineStr">
        <is>
          <t>DALARNAS LÄN</t>
        </is>
      </c>
      <c r="E229" t="inlineStr">
        <is>
          <t>SMEDJEBACKEN</t>
        </is>
      </c>
      <c r="G229" t="n">
        <v>1.4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50567-2024</t>
        </is>
      </c>
      <c r="B230" s="1" t="n">
        <v>45600</v>
      </c>
      <c r="C230" s="1" t="n">
        <v>46186</v>
      </c>
      <c r="D230" t="inlineStr">
        <is>
          <t>DALARNAS LÄN</t>
        </is>
      </c>
      <c r="E230" t="inlineStr">
        <is>
          <t>SMEDJEBACKEN</t>
        </is>
      </c>
      <c r="G230" t="n">
        <v>1.2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18096-2024</t>
        </is>
      </c>
      <c r="B231" s="1" t="n">
        <v>45420.47038194445</v>
      </c>
      <c r="C231" s="1" t="n">
        <v>46186</v>
      </c>
      <c r="D231" t="inlineStr">
        <is>
          <t>DALARNAS LÄN</t>
        </is>
      </c>
      <c r="E231" t="inlineStr">
        <is>
          <t>SMEDJEBACKEN</t>
        </is>
      </c>
      <c r="F231" t="inlineStr">
        <is>
          <t>Sveaskog</t>
        </is>
      </c>
      <c r="G231" t="n">
        <v>4.9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56674-2025</t>
        </is>
      </c>
      <c r="B232" s="1" t="n">
        <v>45975.7069675926</v>
      </c>
      <c r="C232" s="1" t="n">
        <v>46186</v>
      </c>
      <c r="D232" t="inlineStr">
        <is>
          <t>DALARNAS LÄN</t>
        </is>
      </c>
      <c r="E232" t="inlineStr">
        <is>
          <t>SMEDJEBACKEN</t>
        </is>
      </c>
      <c r="G232" t="n">
        <v>0.7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40561-2021</t>
        </is>
      </c>
      <c r="B233" s="1" t="n">
        <v>44420</v>
      </c>
      <c r="C233" s="1" t="n">
        <v>46186</v>
      </c>
      <c r="D233" t="inlineStr">
        <is>
          <t>DALARNAS LÄN</t>
        </is>
      </c>
      <c r="E233" t="inlineStr">
        <is>
          <t>SMEDJEBACKEN</t>
        </is>
      </c>
      <c r="G233" t="n">
        <v>0.5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56659-2025</t>
        </is>
      </c>
      <c r="B234" s="1" t="n">
        <v>45975.65641203704</v>
      </c>
      <c r="C234" s="1" t="n">
        <v>46186</v>
      </c>
      <c r="D234" t="inlineStr">
        <is>
          <t>DALARNAS LÄN</t>
        </is>
      </c>
      <c r="E234" t="inlineStr">
        <is>
          <t>SMEDJEBACKEN</t>
        </is>
      </c>
      <c r="G234" t="n">
        <v>1.7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1505-2025</t>
        </is>
      </c>
      <c r="B235" s="1" t="n">
        <v>45670.42971064815</v>
      </c>
      <c r="C235" s="1" t="n">
        <v>46186</v>
      </c>
      <c r="D235" t="inlineStr">
        <is>
          <t>DALARNAS LÄN</t>
        </is>
      </c>
      <c r="E235" t="inlineStr">
        <is>
          <t>SMEDJEBACKEN</t>
        </is>
      </c>
      <c r="F235" t="inlineStr">
        <is>
          <t>Sveaskog</t>
        </is>
      </c>
      <c r="G235" t="n">
        <v>1.1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57408-2025</t>
        </is>
      </c>
      <c r="B236" s="1" t="n">
        <v>45980.44607638889</v>
      </c>
      <c r="C236" s="1" t="n">
        <v>46186</v>
      </c>
      <c r="D236" t="inlineStr">
        <is>
          <t>DALARNAS LÄN</t>
        </is>
      </c>
      <c r="E236" t="inlineStr">
        <is>
          <t>SMEDJEBACKEN</t>
        </is>
      </c>
      <c r="F236" t="inlineStr">
        <is>
          <t>Sveaskog</t>
        </is>
      </c>
      <c r="G236" t="n">
        <v>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57416-2025</t>
        </is>
      </c>
      <c r="B237" s="1" t="n">
        <v>45980.45153935185</v>
      </c>
      <c r="C237" s="1" t="n">
        <v>46186</v>
      </c>
      <c r="D237" t="inlineStr">
        <is>
          <t>DALARNAS LÄN</t>
        </is>
      </c>
      <c r="E237" t="inlineStr">
        <is>
          <t>SMEDJEBACKEN</t>
        </is>
      </c>
      <c r="F237" t="inlineStr">
        <is>
          <t>Sveaskog</t>
        </is>
      </c>
      <c r="G237" t="n">
        <v>2.6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57660-2025</t>
        </is>
      </c>
      <c r="B238" s="1" t="n">
        <v>45981.4140162037</v>
      </c>
      <c r="C238" s="1" t="n">
        <v>46186</v>
      </c>
      <c r="D238" t="inlineStr">
        <is>
          <t>DALARNAS LÄN</t>
        </is>
      </c>
      <c r="E238" t="inlineStr">
        <is>
          <t>SMEDJEBACKEN</t>
        </is>
      </c>
      <c r="G238" t="n">
        <v>6.3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57409-2025</t>
        </is>
      </c>
      <c r="B239" s="1" t="n">
        <v>45980.44828703703</v>
      </c>
      <c r="C239" s="1" t="n">
        <v>46186</v>
      </c>
      <c r="D239" t="inlineStr">
        <is>
          <t>DALARNAS LÄN</t>
        </is>
      </c>
      <c r="E239" t="inlineStr">
        <is>
          <t>SMEDJEBACKEN</t>
        </is>
      </c>
      <c r="F239" t="inlineStr">
        <is>
          <t>Sveaskog</t>
        </is>
      </c>
      <c r="G239" t="n">
        <v>3.2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60762-2022</t>
        </is>
      </c>
      <c r="B240" s="1" t="n">
        <v>44914</v>
      </c>
      <c r="C240" s="1" t="n">
        <v>46186</v>
      </c>
      <c r="D240" t="inlineStr">
        <is>
          <t>DALARNAS LÄN</t>
        </is>
      </c>
      <c r="E240" t="inlineStr">
        <is>
          <t>SMEDJEBACKEN</t>
        </is>
      </c>
      <c r="G240" t="n">
        <v>1.8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60764-2022</t>
        </is>
      </c>
      <c r="B241" s="1" t="n">
        <v>44914</v>
      </c>
      <c r="C241" s="1" t="n">
        <v>46186</v>
      </c>
      <c r="D241" t="inlineStr">
        <is>
          <t>DALARNAS LÄN</t>
        </is>
      </c>
      <c r="E241" t="inlineStr">
        <is>
          <t>SMEDJEBACKEN</t>
        </is>
      </c>
      <c r="G241" t="n">
        <v>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45175-2025</t>
        </is>
      </c>
      <c r="B242" s="1" t="n">
        <v>45919.52307870371</v>
      </c>
      <c r="C242" s="1" t="n">
        <v>46186</v>
      </c>
      <c r="D242" t="inlineStr">
        <is>
          <t>DALARNAS LÄN</t>
        </is>
      </c>
      <c r="E242" t="inlineStr">
        <is>
          <t>SMEDJEBACKEN</t>
        </is>
      </c>
      <c r="G242" t="n">
        <v>0.5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58280-2025</t>
        </is>
      </c>
      <c r="B243" s="1" t="n">
        <v>45985.44011574074</v>
      </c>
      <c r="C243" s="1" t="n">
        <v>46186</v>
      </c>
      <c r="D243" t="inlineStr">
        <is>
          <t>DALARNAS LÄN</t>
        </is>
      </c>
      <c r="E243" t="inlineStr">
        <is>
          <t>SMEDJEBACKEN</t>
        </is>
      </c>
      <c r="G243" t="n">
        <v>2.1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18386-2024</t>
        </is>
      </c>
      <c r="B244" s="1" t="n">
        <v>45424.71232638889</v>
      </c>
      <c r="C244" s="1" t="n">
        <v>46186</v>
      </c>
      <c r="D244" t="inlineStr">
        <is>
          <t>DALARNAS LÄN</t>
        </is>
      </c>
      <c r="E244" t="inlineStr">
        <is>
          <t>SMEDJEBACKEN</t>
        </is>
      </c>
      <c r="F244" t="inlineStr">
        <is>
          <t>Sveaskog</t>
        </is>
      </c>
      <c r="G244" t="n">
        <v>1.1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23684-2025</t>
        </is>
      </c>
      <c r="B245" s="1" t="n">
        <v>45793</v>
      </c>
      <c r="C245" s="1" t="n">
        <v>46186</v>
      </c>
      <c r="D245" t="inlineStr">
        <is>
          <t>DALARNAS LÄN</t>
        </is>
      </c>
      <c r="E245" t="inlineStr">
        <is>
          <t>SMEDJEBACKEN</t>
        </is>
      </c>
      <c r="G245" t="n">
        <v>2.2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45608-2025</t>
        </is>
      </c>
      <c r="B246" s="1" t="n">
        <v>45922.70684027778</v>
      </c>
      <c r="C246" s="1" t="n">
        <v>46186</v>
      </c>
      <c r="D246" t="inlineStr">
        <is>
          <t>DALARNAS LÄN</t>
        </is>
      </c>
      <c r="E246" t="inlineStr">
        <is>
          <t>SMEDJEBACKEN</t>
        </is>
      </c>
      <c r="G246" t="n">
        <v>2.4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57260-2021</t>
        </is>
      </c>
      <c r="B247" s="1" t="n">
        <v>44482</v>
      </c>
      <c r="C247" s="1" t="n">
        <v>46186</v>
      </c>
      <c r="D247" t="inlineStr">
        <is>
          <t>DALARNAS LÄN</t>
        </is>
      </c>
      <c r="E247" t="inlineStr">
        <is>
          <t>SMEDJEBACKEN</t>
        </is>
      </c>
      <c r="F247" t="inlineStr">
        <is>
          <t>Bergvik skog väst AB</t>
        </is>
      </c>
      <c r="G247" t="n">
        <v>3.1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57269-2021</t>
        </is>
      </c>
      <c r="B248" s="1" t="n">
        <v>44482</v>
      </c>
      <c r="C248" s="1" t="n">
        <v>46186</v>
      </c>
      <c r="D248" t="inlineStr">
        <is>
          <t>DALARNAS LÄN</t>
        </is>
      </c>
      <c r="E248" t="inlineStr">
        <is>
          <t>SMEDJEBACKEN</t>
        </is>
      </c>
      <c r="F248" t="inlineStr">
        <is>
          <t>Bergvik skog väst AB</t>
        </is>
      </c>
      <c r="G248" t="n">
        <v>1.8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60049-2022</t>
        </is>
      </c>
      <c r="B249" s="1" t="n">
        <v>44909.52246527778</v>
      </c>
      <c r="C249" s="1" t="n">
        <v>46186</v>
      </c>
      <c r="D249" t="inlineStr">
        <is>
          <t>DALARNAS LÄN</t>
        </is>
      </c>
      <c r="E249" t="inlineStr">
        <is>
          <t>SMEDJEBACKEN</t>
        </is>
      </c>
      <c r="G249" t="n">
        <v>0.8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48716-2022</t>
        </is>
      </c>
      <c r="B250" s="1" t="n">
        <v>44859.5005787037</v>
      </c>
      <c r="C250" s="1" t="n">
        <v>46186</v>
      </c>
      <c r="D250" t="inlineStr">
        <is>
          <t>DALARNAS LÄN</t>
        </is>
      </c>
      <c r="E250" t="inlineStr">
        <is>
          <t>SMEDJEBACKEN</t>
        </is>
      </c>
      <c r="F250" t="inlineStr">
        <is>
          <t>Sveaskog</t>
        </is>
      </c>
      <c r="G250" t="n">
        <v>2.5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46367-2025</t>
        </is>
      </c>
      <c r="B251" s="1" t="n">
        <v>45925.50178240741</v>
      </c>
      <c r="C251" s="1" t="n">
        <v>46186</v>
      </c>
      <c r="D251" t="inlineStr">
        <is>
          <t>DALARNAS LÄN</t>
        </is>
      </c>
      <c r="E251" t="inlineStr">
        <is>
          <t>SMEDJEBACKEN</t>
        </is>
      </c>
      <c r="G251" t="n">
        <v>1.2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10401-2023</t>
        </is>
      </c>
      <c r="B252" s="1" t="n">
        <v>44987.47634259259</v>
      </c>
      <c r="C252" s="1" t="n">
        <v>46186</v>
      </c>
      <c r="D252" t="inlineStr">
        <is>
          <t>DALARNAS LÄN</t>
        </is>
      </c>
      <c r="E252" t="inlineStr">
        <is>
          <t>SMEDJEBACKEN</t>
        </is>
      </c>
      <c r="F252" t="inlineStr">
        <is>
          <t>Kommuner</t>
        </is>
      </c>
      <c r="G252" t="n">
        <v>2.1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23547-2025</t>
        </is>
      </c>
      <c r="B253" s="1" t="n">
        <v>45792.56722222222</v>
      </c>
      <c r="C253" s="1" t="n">
        <v>46186</v>
      </c>
      <c r="D253" t="inlineStr">
        <is>
          <t>DALARNAS LÄN</t>
        </is>
      </c>
      <c r="E253" t="inlineStr">
        <is>
          <t>SMEDJEBACKEN</t>
        </is>
      </c>
      <c r="G253" t="n">
        <v>3.8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22367-2024</t>
        </is>
      </c>
      <c r="B254" s="1" t="n">
        <v>45446.64342592593</v>
      </c>
      <c r="C254" s="1" t="n">
        <v>46186</v>
      </c>
      <c r="D254" t="inlineStr">
        <is>
          <t>DALARNAS LÄN</t>
        </is>
      </c>
      <c r="E254" t="inlineStr">
        <is>
          <t>SMEDJEBACKEN</t>
        </is>
      </c>
      <c r="G254" t="n">
        <v>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60528-2025</t>
        </is>
      </c>
      <c r="B255" s="1" t="n">
        <v>45995.65111111111</v>
      </c>
      <c r="C255" s="1" t="n">
        <v>46186</v>
      </c>
      <c r="D255" t="inlineStr">
        <is>
          <t>DALARNAS LÄN</t>
        </is>
      </c>
      <c r="E255" t="inlineStr">
        <is>
          <t>SMEDJEBACKEN</t>
        </is>
      </c>
      <c r="F255" t="inlineStr">
        <is>
          <t>Bergvik skog väst AB</t>
        </is>
      </c>
      <c r="G255" t="n">
        <v>5.1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56305-2021</t>
        </is>
      </c>
      <c r="B256" s="1" t="n">
        <v>44477</v>
      </c>
      <c r="C256" s="1" t="n">
        <v>46186</v>
      </c>
      <c r="D256" t="inlineStr">
        <is>
          <t>DALARNAS LÄN</t>
        </is>
      </c>
      <c r="E256" t="inlineStr">
        <is>
          <t>SMEDJEBACKEN</t>
        </is>
      </c>
      <c r="F256" t="inlineStr">
        <is>
          <t>Bergvik skog väst AB</t>
        </is>
      </c>
      <c r="G256" t="n">
        <v>14.2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11155-2025</t>
        </is>
      </c>
      <c r="B257" s="1" t="n">
        <v>45723</v>
      </c>
      <c r="C257" s="1" t="n">
        <v>46186</v>
      </c>
      <c r="D257" t="inlineStr">
        <is>
          <t>DALARNAS LÄN</t>
        </is>
      </c>
      <c r="E257" t="inlineStr">
        <is>
          <t>SMEDJEBACKEN</t>
        </is>
      </c>
      <c r="F257" t="inlineStr">
        <is>
          <t>Bergvik skog väst AB</t>
        </is>
      </c>
      <c r="G257" t="n">
        <v>6.3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60023-2024</t>
        </is>
      </c>
      <c r="B258" s="1" t="n">
        <v>45642.44747685185</v>
      </c>
      <c r="C258" s="1" t="n">
        <v>46186</v>
      </c>
      <c r="D258" t="inlineStr">
        <is>
          <t>DALARNAS LÄN</t>
        </is>
      </c>
      <c r="E258" t="inlineStr">
        <is>
          <t>SMEDJEBACKEN</t>
        </is>
      </c>
      <c r="G258" t="n">
        <v>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61378-2023</t>
        </is>
      </c>
      <c r="B259" s="1" t="n">
        <v>45264</v>
      </c>
      <c r="C259" s="1" t="n">
        <v>46186</v>
      </c>
      <c r="D259" t="inlineStr">
        <is>
          <t>DALARNAS LÄN</t>
        </is>
      </c>
      <c r="E259" t="inlineStr">
        <is>
          <t>SMEDJEBACKEN</t>
        </is>
      </c>
      <c r="G259" t="n">
        <v>0.7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60683-2024</t>
        </is>
      </c>
      <c r="B260" s="1" t="n">
        <v>45644.46488425926</v>
      </c>
      <c r="C260" s="1" t="n">
        <v>46186</v>
      </c>
      <c r="D260" t="inlineStr">
        <is>
          <t>DALARNAS LÄN</t>
        </is>
      </c>
      <c r="E260" t="inlineStr">
        <is>
          <t>SMEDJEBACKEN</t>
        </is>
      </c>
      <c r="G260" t="n">
        <v>0.5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62110-2025</t>
        </is>
      </c>
      <c r="B261" s="1" t="n">
        <v>46006.43310185185</v>
      </c>
      <c r="C261" s="1" t="n">
        <v>46186</v>
      </c>
      <c r="D261" t="inlineStr">
        <is>
          <t>DALARNAS LÄN</t>
        </is>
      </c>
      <c r="E261" t="inlineStr">
        <is>
          <t>SMEDJEBACKEN</t>
        </is>
      </c>
      <c r="F261" t="inlineStr">
        <is>
          <t>Bergvik skog väst AB</t>
        </is>
      </c>
      <c r="G261" t="n">
        <v>1.4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63082-2025</t>
        </is>
      </c>
      <c r="B262" s="1" t="n">
        <v>46009.67033564814</v>
      </c>
      <c r="C262" s="1" t="n">
        <v>46186</v>
      </c>
      <c r="D262" t="inlineStr">
        <is>
          <t>DALARNAS LÄN</t>
        </is>
      </c>
      <c r="E262" t="inlineStr">
        <is>
          <t>SMEDJEBACKEN</t>
        </is>
      </c>
      <c r="G262" t="n">
        <v>8.300000000000001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62693-2025</t>
        </is>
      </c>
      <c r="B263" s="1" t="n">
        <v>46008.4846412037</v>
      </c>
      <c r="C263" s="1" t="n">
        <v>46186</v>
      </c>
      <c r="D263" t="inlineStr">
        <is>
          <t>DALARNAS LÄN</t>
        </is>
      </c>
      <c r="E263" t="inlineStr">
        <is>
          <t>SMEDJEBACKEN</t>
        </is>
      </c>
      <c r="F263" t="inlineStr">
        <is>
          <t>Bergvik skog väst AB</t>
        </is>
      </c>
      <c r="G263" t="n">
        <v>0.6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62713-2025</t>
        </is>
      </c>
      <c r="B264" s="1" t="n">
        <v>46008.51363425926</v>
      </c>
      <c r="C264" s="1" t="n">
        <v>46186</v>
      </c>
      <c r="D264" t="inlineStr">
        <is>
          <t>DALARNAS LÄN</t>
        </is>
      </c>
      <c r="E264" t="inlineStr">
        <is>
          <t>SMEDJEBACKEN</t>
        </is>
      </c>
      <c r="F264" t="inlineStr">
        <is>
          <t>Bergvik skog väst AB</t>
        </is>
      </c>
      <c r="G264" t="n">
        <v>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62875-2025</t>
        </is>
      </c>
      <c r="B265" s="1" t="n">
        <v>46008.87181712963</v>
      </c>
      <c r="C265" s="1" t="n">
        <v>46186</v>
      </c>
      <c r="D265" t="inlineStr">
        <is>
          <t>DALARNAS LÄN</t>
        </is>
      </c>
      <c r="E265" t="inlineStr">
        <is>
          <t>SMEDJEBACKEN</t>
        </is>
      </c>
      <c r="F265" t="inlineStr">
        <is>
          <t>Övriga Aktiebolag</t>
        </is>
      </c>
      <c r="G265" t="n">
        <v>4.6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63058-2025</t>
        </is>
      </c>
      <c r="B266" s="1" t="n">
        <v>46009.63863425926</v>
      </c>
      <c r="C266" s="1" t="n">
        <v>46186</v>
      </c>
      <c r="D266" t="inlineStr">
        <is>
          <t>DALARNAS LÄN</t>
        </is>
      </c>
      <c r="E266" t="inlineStr">
        <is>
          <t>SMEDJEBACKEN</t>
        </is>
      </c>
      <c r="F266" t="inlineStr">
        <is>
          <t>Övriga Aktiebolag</t>
        </is>
      </c>
      <c r="G266" t="n">
        <v>2.2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11426-2022</t>
        </is>
      </c>
      <c r="B267" s="1" t="n">
        <v>44630</v>
      </c>
      <c r="C267" s="1" t="n">
        <v>46186</v>
      </c>
      <c r="D267" t="inlineStr">
        <is>
          <t>DALARNAS LÄN</t>
        </is>
      </c>
      <c r="E267" t="inlineStr">
        <is>
          <t>SMEDJEBACKEN</t>
        </is>
      </c>
      <c r="G267" t="n">
        <v>0.9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63234-2025</t>
        </is>
      </c>
      <c r="B268" s="1" t="n">
        <v>46010.51391203704</v>
      </c>
      <c r="C268" s="1" t="n">
        <v>46186</v>
      </c>
      <c r="D268" t="inlineStr">
        <is>
          <t>DALARNAS LÄN</t>
        </is>
      </c>
      <c r="E268" t="inlineStr">
        <is>
          <t>SMEDJEBACKEN</t>
        </is>
      </c>
      <c r="G268" t="n">
        <v>5.7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63347-2025</t>
        </is>
      </c>
      <c r="B269" s="1" t="n">
        <v>46010.66137731481</v>
      </c>
      <c r="C269" s="1" t="n">
        <v>46186</v>
      </c>
      <c r="D269" t="inlineStr">
        <is>
          <t>DALARNAS LÄN</t>
        </is>
      </c>
      <c r="E269" t="inlineStr">
        <is>
          <t>SMEDJEBACKEN</t>
        </is>
      </c>
      <c r="F269" t="inlineStr">
        <is>
          <t>Bergvik skog väst AB</t>
        </is>
      </c>
      <c r="G269" t="n">
        <v>13.6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6177-2025</t>
        </is>
      </c>
      <c r="B270" s="1" t="n">
        <v>45698.44792824074</v>
      </c>
      <c r="C270" s="1" t="n">
        <v>46186</v>
      </c>
      <c r="D270" t="inlineStr">
        <is>
          <t>DALARNAS LÄN</t>
        </is>
      </c>
      <c r="E270" t="inlineStr">
        <is>
          <t>SMEDJEBACKEN</t>
        </is>
      </c>
      <c r="G270" t="n">
        <v>3.1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40943-2024</t>
        </is>
      </c>
      <c r="B271" s="1" t="n">
        <v>45558.64694444444</v>
      </c>
      <c r="C271" s="1" t="n">
        <v>46186</v>
      </c>
      <c r="D271" t="inlineStr">
        <is>
          <t>DALARNAS LÄN</t>
        </is>
      </c>
      <c r="E271" t="inlineStr">
        <is>
          <t>SMEDJEBACKEN</t>
        </is>
      </c>
      <c r="F271" t="inlineStr">
        <is>
          <t>Sveaskog</t>
        </is>
      </c>
      <c r="G271" t="n">
        <v>0.5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13633-2023</t>
        </is>
      </c>
      <c r="B272" s="1" t="n">
        <v>45006</v>
      </c>
      <c r="C272" s="1" t="n">
        <v>46186</v>
      </c>
      <c r="D272" t="inlineStr">
        <is>
          <t>DALARNAS LÄN</t>
        </is>
      </c>
      <c r="E272" t="inlineStr">
        <is>
          <t>SMEDJEBACKEN</t>
        </is>
      </c>
      <c r="G272" t="n">
        <v>1.9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63753-2025</t>
        </is>
      </c>
      <c r="B273" s="1" t="n">
        <v>46017.81530092593</v>
      </c>
      <c r="C273" s="1" t="n">
        <v>46186</v>
      </c>
      <c r="D273" t="inlineStr">
        <is>
          <t>DALARNAS LÄN</t>
        </is>
      </c>
      <c r="E273" t="inlineStr">
        <is>
          <t>SMEDJEBACKEN</t>
        </is>
      </c>
      <c r="G273" t="n">
        <v>1.6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64023-2025</t>
        </is>
      </c>
      <c r="B274" s="1" t="n">
        <v>46021</v>
      </c>
      <c r="C274" s="1" t="n">
        <v>46186</v>
      </c>
      <c r="D274" t="inlineStr">
        <is>
          <t>DALARNAS LÄN</t>
        </is>
      </c>
      <c r="E274" t="inlineStr">
        <is>
          <t>SMEDJEBACKEN</t>
        </is>
      </c>
      <c r="G274" t="n">
        <v>3.4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49447-2025</t>
        </is>
      </c>
      <c r="B275" s="1" t="n">
        <v>45938.93008101852</v>
      </c>
      <c r="C275" s="1" t="n">
        <v>46186</v>
      </c>
      <c r="D275" t="inlineStr">
        <is>
          <t>DALARNAS LÄN</t>
        </is>
      </c>
      <c r="E275" t="inlineStr">
        <is>
          <t>SMEDJEBACKEN</t>
        </is>
      </c>
      <c r="G275" t="n">
        <v>0.9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48964-2025</t>
        </is>
      </c>
      <c r="B276" s="1" t="n">
        <v>45937.55707175926</v>
      </c>
      <c r="C276" s="1" t="n">
        <v>46186</v>
      </c>
      <c r="D276" t="inlineStr">
        <is>
          <t>DALARNAS LÄN</t>
        </is>
      </c>
      <c r="E276" t="inlineStr">
        <is>
          <t>SMEDJEBACKEN</t>
        </is>
      </c>
      <c r="F276" t="inlineStr">
        <is>
          <t>Sveaskog</t>
        </is>
      </c>
      <c r="G276" t="n">
        <v>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355-2026</t>
        </is>
      </c>
      <c r="B277" s="1" t="n">
        <v>46027.64334490741</v>
      </c>
      <c r="C277" s="1" t="n">
        <v>46186</v>
      </c>
      <c r="D277" t="inlineStr">
        <is>
          <t>DALARNAS LÄN</t>
        </is>
      </c>
      <c r="E277" t="inlineStr">
        <is>
          <t>SMEDJEBACKEN</t>
        </is>
      </c>
      <c r="G277" t="n">
        <v>7.5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31206-2024</t>
        </is>
      </c>
      <c r="B278" s="1" t="n">
        <v>45503</v>
      </c>
      <c r="C278" s="1" t="n">
        <v>46186</v>
      </c>
      <c r="D278" t="inlineStr">
        <is>
          <t>DALARNAS LÄN</t>
        </is>
      </c>
      <c r="E278" t="inlineStr">
        <is>
          <t>SMEDJEBACKEN</t>
        </is>
      </c>
      <c r="G278" t="n">
        <v>3.9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34923-2024</t>
        </is>
      </c>
      <c r="B279" s="1" t="n">
        <v>45527.44208333334</v>
      </c>
      <c r="C279" s="1" t="n">
        <v>46186</v>
      </c>
      <c r="D279" t="inlineStr">
        <is>
          <t>DALARNAS LÄN</t>
        </is>
      </c>
      <c r="E279" t="inlineStr">
        <is>
          <t>SMEDJEBACKEN</t>
        </is>
      </c>
      <c r="F279" t="inlineStr">
        <is>
          <t>Övriga Aktiebolag</t>
        </is>
      </c>
      <c r="G279" t="n">
        <v>3.2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49144-2024</t>
        </is>
      </c>
      <c r="B280" s="1" t="n">
        <v>45594</v>
      </c>
      <c r="C280" s="1" t="n">
        <v>46186</v>
      </c>
      <c r="D280" t="inlineStr">
        <is>
          <t>DALARNAS LÄN</t>
        </is>
      </c>
      <c r="E280" t="inlineStr">
        <is>
          <t>SMEDJEBACKEN</t>
        </is>
      </c>
      <c r="F280" t="inlineStr">
        <is>
          <t>Bergvik skog väst AB</t>
        </is>
      </c>
      <c r="G280" t="n">
        <v>16.9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24164-2025</t>
        </is>
      </c>
      <c r="B281" s="1" t="n">
        <v>45796.67230324074</v>
      </c>
      <c r="C281" s="1" t="n">
        <v>46186</v>
      </c>
      <c r="D281" t="inlineStr">
        <is>
          <t>DALARNAS LÄN</t>
        </is>
      </c>
      <c r="E281" t="inlineStr">
        <is>
          <t>SMEDJEBACKEN</t>
        </is>
      </c>
      <c r="F281" t="inlineStr">
        <is>
          <t>Övriga Aktiebolag</t>
        </is>
      </c>
      <c r="G281" t="n">
        <v>0.9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658-2025</t>
        </is>
      </c>
      <c r="B282" s="1" t="n">
        <v>45664.67826388889</v>
      </c>
      <c r="C282" s="1" t="n">
        <v>46186</v>
      </c>
      <c r="D282" t="inlineStr">
        <is>
          <t>DALARNAS LÄN</t>
        </is>
      </c>
      <c r="E282" t="inlineStr">
        <is>
          <t>SMEDJEBACKEN</t>
        </is>
      </c>
      <c r="G282" t="n">
        <v>2.2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24372-2025</t>
        </is>
      </c>
      <c r="B283" s="1" t="n">
        <v>45797.61049768519</v>
      </c>
      <c r="C283" s="1" t="n">
        <v>46186</v>
      </c>
      <c r="D283" t="inlineStr">
        <is>
          <t>DALARNAS LÄN</t>
        </is>
      </c>
      <c r="E283" t="inlineStr">
        <is>
          <t>SMEDJEBACKEN</t>
        </is>
      </c>
      <c r="G283" t="n">
        <v>0.5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19470-2024</t>
        </is>
      </c>
      <c r="B284" s="1" t="n">
        <v>45429.53177083333</v>
      </c>
      <c r="C284" s="1" t="n">
        <v>46186</v>
      </c>
      <c r="D284" t="inlineStr">
        <is>
          <t>DALARNAS LÄN</t>
        </is>
      </c>
      <c r="E284" t="inlineStr">
        <is>
          <t>SMEDJEBACKEN</t>
        </is>
      </c>
      <c r="F284" t="inlineStr">
        <is>
          <t>Sveaskog</t>
        </is>
      </c>
      <c r="G284" t="n">
        <v>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33171-2024</t>
        </is>
      </c>
      <c r="B285" s="1" t="n">
        <v>45518.42835648148</v>
      </c>
      <c r="C285" s="1" t="n">
        <v>46186</v>
      </c>
      <c r="D285" t="inlineStr">
        <is>
          <t>DALARNAS LÄN</t>
        </is>
      </c>
      <c r="E285" t="inlineStr">
        <is>
          <t>SMEDJEBACKEN</t>
        </is>
      </c>
      <c r="G285" t="n">
        <v>5.7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24262-2024</t>
        </is>
      </c>
      <c r="B286" s="1" t="n">
        <v>45457.4087037037</v>
      </c>
      <c r="C286" s="1" t="n">
        <v>46186</v>
      </c>
      <c r="D286" t="inlineStr">
        <is>
          <t>DALARNAS LÄN</t>
        </is>
      </c>
      <c r="E286" t="inlineStr">
        <is>
          <t>SMEDJEBACKEN</t>
        </is>
      </c>
      <c r="F286" t="inlineStr">
        <is>
          <t>Sveaskog</t>
        </is>
      </c>
      <c r="G286" t="n">
        <v>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37046-2023</t>
        </is>
      </c>
      <c r="B287" s="1" t="n">
        <v>45154</v>
      </c>
      <c r="C287" s="1" t="n">
        <v>46186</v>
      </c>
      <c r="D287" t="inlineStr">
        <is>
          <t>DALARNAS LÄN</t>
        </is>
      </c>
      <c r="E287" t="inlineStr">
        <is>
          <t>SMEDJEBACKEN</t>
        </is>
      </c>
      <c r="G287" t="n">
        <v>21.9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45568-2024</t>
        </is>
      </c>
      <c r="B288" s="1" t="n">
        <v>45578</v>
      </c>
      <c r="C288" s="1" t="n">
        <v>46186</v>
      </c>
      <c r="D288" t="inlineStr">
        <is>
          <t>DALARNAS LÄN</t>
        </is>
      </c>
      <c r="E288" t="inlineStr">
        <is>
          <t>SMEDJEBACKEN</t>
        </is>
      </c>
      <c r="F288" t="inlineStr">
        <is>
          <t>Bergvik skog väst AB</t>
        </is>
      </c>
      <c r="G288" t="n">
        <v>9.1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17687-2025</t>
        </is>
      </c>
      <c r="B289" s="1" t="n">
        <v>45758.39491898148</v>
      </c>
      <c r="C289" s="1" t="n">
        <v>46186</v>
      </c>
      <c r="D289" t="inlineStr">
        <is>
          <t>DALARNAS LÄN</t>
        </is>
      </c>
      <c r="E289" t="inlineStr">
        <is>
          <t>SMEDJEBACKEN</t>
        </is>
      </c>
      <c r="G289" t="n">
        <v>2.9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58234-2023</t>
        </is>
      </c>
      <c r="B290" s="1" t="n">
        <v>45250.46398148148</v>
      </c>
      <c r="C290" s="1" t="n">
        <v>46186</v>
      </c>
      <c r="D290" t="inlineStr">
        <is>
          <t>DALARNAS LÄN</t>
        </is>
      </c>
      <c r="E290" t="inlineStr">
        <is>
          <t>SMEDJEBACKEN</t>
        </is>
      </c>
      <c r="G290" t="n">
        <v>2.3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48527-2023</t>
        </is>
      </c>
      <c r="B291" s="1" t="n">
        <v>45208</v>
      </c>
      <c r="C291" s="1" t="n">
        <v>46186</v>
      </c>
      <c r="D291" t="inlineStr">
        <is>
          <t>DALARNAS LÄN</t>
        </is>
      </c>
      <c r="E291" t="inlineStr">
        <is>
          <t>SMEDJEBACKEN</t>
        </is>
      </c>
      <c r="G291" t="n">
        <v>1.9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53139-2023</t>
        </is>
      </c>
      <c r="B292" s="1" t="n">
        <v>45229.34539351852</v>
      </c>
      <c r="C292" s="1" t="n">
        <v>46186</v>
      </c>
      <c r="D292" t="inlineStr">
        <is>
          <t>DALARNAS LÄN</t>
        </is>
      </c>
      <c r="E292" t="inlineStr">
        <is>
          <t>SMEDJEBACKEN</t>
        </is>
      </c>
      <c r="F292" t="inlineStr">
        <is>
          <t>Övriga Aktiebolag</t>
        </is>
      </c>
      <c r="G292" t="n">
        <v>13.8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25160-2025</t>
        </is>
      </c>
      <c r="B293" s="1" t="n">
        <v>45800</v>
      </c>
      <c r="C293" s="1" t="n">
        <v>46186</v>
      </c>
      <c r="D293" t="inlineStr">
        <is>
          <t>DALARNAS LÄN</t>
        </is>
      </c>
      <c r="E293" t="inlineStr">
        <is>
          <t>SMEDJEBACKEN</t>
        </is>
      </c>
      <c r="G293" t="n">
        <v>1.2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26000-2025</t>
        </is>
      </c>
      <c r="B294" s="1" t="n">
        <v>45804.66270833334</v>
      </c>
      <c r="C294" s="1" t="n">
        <v>46186</v>
      </c>
      <c r="D294" t="inlineStr">
        <is>
          <t>DALARNAS LÄN</t>
        </is>
      </c>
      <c r="E294" t="inlineStr">
        <is>
          <t>SMEDJEBACKEN</t>
        </is>
      </c>
      <c r="F294" t="inlineStr">
        <is>
          <t>Bergvik skog väst AB</t>
        </is>
      </c>
      <c r="G294" t="n">
        <v>2.4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2765-2026</t>
        </is>
      </c>
      <c r="B295" s="1" t="n">
        <v>46038</v>
      </c>
      <c r="C295" s="1" t="n">
        <v>46186</v>
      </c>
      <c r="D295" t="inlineStr">
        <is>
          <t>DALARNAS LÄN</t>
        </is>
      </c>
      <c r="E295" t="inlineStr">
        <is>
          <t>SMEDJEBACKEN</t>
        </is>
      </c>
      <c r="G295" t="n">
        <v>3.9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4466-2026</t>
        </is>
      </c>
      <c r="B296" s="1" t="n">
        <v>46045.65584490741</v>
      </c>
      <c r="C296" s="1" t="n">
        <v>46186</v>
      </c>
      <c r="D296" t="inlineStr">
        <is>
          <t>DALARNAS LÄN</t>
        </is>
      </c>
      <c r="E296" t="inlineStr">
        <is>
          <t>SMEDJEBACKEN</t>
        </is>
      </c>
      <c r="G296" t="n">
        <v>2.5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11100-2024</t>
        </is>
      </c>
      <c r="B297" s="1" t="n">
        <v>45371.30335648148</v>
      </c>
      <c r="C297" s="1" t="n">
        <v>46186</v>
      </c>
      <c r="D297" t="inlineStr">
        <is>
          <t>DALARNAS LÄN</t>
        </is>
      </c>
      <c r="E297" t="inlineStr">
        <is>
          <t>SMEDJEBACKEN</t>
        </is>
      </c>
      <c r="G297" t="n">
        <v>5.7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9790-2022</t>
        </is>
      </c>
      <c r="B298" s="1" t="n">
        <v>44617</v>
      </c>
      <c r="C298" s="1" t="n">
        <v>46186</v>
      </c>
      <c r="D298" t="inlineStr">
        <is>
          <t>DALARNAS LÄN</t>
        </is>
      </c>
      <c r="E298" t="inlineStr">
        <is>
          <t>SMEDJEBACKEN</t>
        </is>
      </c>
      <c r="G298" t="n">
        <v>1.7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5701-2026</t>
        </is>
      </c>
      <c r="B299" s="1" t="n">
        <v>46051.50493055556</v>
      </c>
      <c r="C299" s="1" t="n">
        <v>46186</v>
      </c>
      <c r="D299" t="inlineStr">
        <is>
          <t>DALARNAS LÄN</t>
        </is>
      </c>
      <c r="E299" t="inlineStr">
        <is>
          <t>SMEDJEBACKEN</t>
        </is>
      </c>
      <c r="G299" t="n">
        <v>1.4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46396-2024</t>
        </is>
      </c>
      <c r="B300" s="1" t="n">
        <v>45582.40759259259</v>
      </c>
      <c r="C300" s="1" t="n">
        <v>46186</v>
      </c>
      <c r="D300" t="inlineStr">
        <is>
          <t>DALARNAS LÄN</t>
        </is>
      </c>
      <c r="E300" t="inlineStr">
        <is>
          <t>SMEDJEBACKEN</t>
        </is>
      </c>
      <c r="F300" t="inlineStr">
        <is>
          <t>Bergvik skog väst AB</t>
        </is>
      </c>
      <c r="G300" t="n">
        <v>10.2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17951-2022</t>
        </is>
      </c>
      <c r="B301" s="1" t="n">
        <v>44683.63802083334</v>
      </c>
      <c r="C301" s="1" t="n">
        <v>46186</v>
      </c>
      <c r="D301" t="inlineStr">
        <is>
          <t>DALARNAS LÄN</t>
        </is>
      </c>
      <c r="E301" t="inlineStr">
        <is>
          <t>SMEDJEBACKEN</t>
        </is>
      </c>
      <c r="G301" t="n">
        <v>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17956-2022</t>
        </is>
      </c>
      <c r="B302" s="1" t="n">
        <v>44683.64659722222</v>
      </c>
      <c r="C302" s="1" t="n">
        <v>46186</v>
      </c>
      <c r="D302" t="inlineStr">
        <is>
          <t>DALARNAS LÄN</t>
        </is>
      </c>
      <c r="E302" t="inlineStr">
        <is>
          <t>SMEDJEBACKEN</t>
        </is>
      </c>
      <c r="G302" t="n">
        <v>2.6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60086-2021</t>
        </is>
      </c>
      <c r="B303" s="1" t="n">
        <v>44494</v>
      </c>
      <c r="C303" s="1" t="n">
        <v>46186</v>
      </c>
      <c r="D303" t="inlineStr">
        <is>
          <t>DALARNAS LÄN</t>
        </is>
      </c>
      <c r="E303" t="inlineStr">
        <is>
          <t>SMEDJEBACKEN</t>
        </is>
      </c>
      <c r="F303" t="inlineStr">
        <is>
          <t>Bergvik skog väst AB</t>
        </is>
      </c>
      <c r="G303" t="n">
        <v>2.3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12218-2024</t>
        </is>
      </c>
      <c r="B304" s="1" t="n">
        <v>45378.32930555556</v>
      </c>
      <c r="C304" s="1" t="n">
        <v>46186</v>
      </c>
      <c r="D304" t="inlineStr">
        <is>
          <t>DALARNAS LÄN</t>
        </is>
      </c>
      <c r="E304" t="inlineStr">
        <is>
          <t>SMEDJEBACKEN</t>
        </is>
      </c>
      <c r="G304" t="n">
        <v>3.3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56315-2022</t>
        </is>
      </c>
      <c r="B305" s="1" t="n">
        <v>44890</v>
      </c>
      <c r="C305" s="1" t="n">
        <v>46186</v>
      </c>
      <c r="D305" t="inlineStr">
        <is>
          <t>DALARNAS LÄN</t>
        </is>
      </c>
      <c r="E305" t="inlineStr">
        <is>
          <t>SMEDJEBACKEN</t>
        </is>
      </c>
      <c r="F305" t="inlineStr">
        <is>
          <t>Kyrkan</t>
        </is>
      </c>
      <c r="G305" t="n">
        <v>0.8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3423-2024</t>
        </is>
      </c>
      <c r="B306" s="1" t="n">
        <v>45319.83835648148</v>
      </c>
      <c r="C306" s="1" t="n">
        <v>46186</v>
      </c>
      <c r="D306" t="inlineStr">
        <is>
          <t>DALARNAS LÄN</t>
        </is>
      </c>
      <c r="E306" t="inlineStr">
        <is>
          <t>SMEDJEBACKEN</t>
        </is>
      </c>
      <c r="G306" t="n">
        <v>4.3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54382-2021</t>
        </is>
      </c>
      <c r="B307" s="1" t="n">
        <v>44473</v>
      </c>
      <c r="C307" s="1" t="n">
        <v>46186</v>
      </c>
      <c r="D307" t="inlineStr">
        <is>
          <t>DALARNAS LÄN</t>
        </is>
      </c>
      <c r="E307" t="inlineStr">
        <is>
          <t>SMEDJEBACKEN</t>
        </is>
      </c>
      <c r="G307" t="n">
        <v>0.5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7020-2026</t>
        </is>
      </c>
      <c r="B308" s="1" t="n">
        <v>46057.6528587963</v>
      </c>
      <c r="C308" s="1" t="n">
        <v>46186</v>
      </c>
      <c r="D308" t="inlineStr">
        <is>
          <t>DALARNAS LÄN</t>
        </is>
      </c>
      <c r="E308" t="inlineStr">
        <is>
          <t>SMEDJEBACKEN</t>
        </is>
      </c>
      <c r="G308" t="n">
        <v>3.1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18830-2025</t>
        </is>
      </c>
      <c r="B309" s="1" t="n">
        <v>45764.39090277778</v>
      </c>
      <c r="C309" s="1" t="n">
        <v>46186</v>
      </c>
      <c r="D309" t="inlineStr">
        <is>
          <t>DALARNAS LÄN</t>
        </is>
      </c>
      <c r="E309" t="inlineStr">
        <is>
          <t>SMEDJEBACKEN</t>
        </is>
      </c>
      <c r="G309" t="n">
        <v>2.3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26009-2022</t>
        </is>
      </c>
      <c r="B310" s="1" t="n">
        <v>44734.54503472222</v>
      </c>
      <c r="C310" s="1" t="n">
        <v>46186</v>
      </c>
      <c r="D310" t="inlineStr">
        <is>
          <t>DALARNAS LÄN</t>
        </is>
      </c>
      <c r="E310" t="inlineStr">
        <is>
          <t>SMEDJEBACKEN</t>
        </is>
      </c>
      <c r="F310" t="inlineStr">
        <is>
          <t>Sveaskog</t>
        </is>
      </c>
      <c r="G310" t="n">
        <v>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38803-2021</t>
        </is>
      </c>
      <c r="B311" s="1" t="n">
        <v>44410</v>
      </c>
      <c r="C311" s="1" t="n">
        <v>46186</v>
      </c>
      <c r="D311" t="inlineStr">
        <is>
          <t>DALARNAS LÄN</t>
        </is>
      </c>
      <c r="E311" t="inlineStr">
        <is>
          <t>SMEDJEBACKEN</t>
        </is>
      </c>
      <c r="G311" t="n">
        <v>0.8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25396-2024</t>
        </is>
      </c>
      <c r="B312" s="1" t="n">
        <v>45463.32849537037</v>
      </c>
      <c r="C312" s="1" t="n">
        <v>46186</v>
      </c>
      <c r="D312" t="inlineStr">
        <is>
          <t>DALARNAS LÄN</t>
        </is>
      </c>
      <c r="E312" t="inlineStr">
        <is>
          <t>SMEDJEBACKEN</t>
        </is>
      </c>
      <c r="G312" t="n">
        <v>0.5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42202-2024</t>
        </is>
      </c>
      <c r="B313" s="1" t="n">
        <v>45562.5187037037</v>
      </c>
      <c r="C313" s="1" t="n">
        <v>46186</v>
      </c>
      <c r="D313" t="inlineStr">
        <is>
          <t>DALARNAS LÄN</t>
        </is>
      </c>
      <c r="E313" t="inlineStr">
        <is>
          <t>SMEDJEBACKEN</t>
        </is>
      </c>
      <c r="F313" t="inlineStr">
        <is>
          <t>Sveaskog</t>
        </is>
      </c>
      <c r="G313" t="n">
        <v>5.4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16445-2024</t>
        </is>
      </c>
      <c r="B314" s="1" t="n">
        <v>45407.85847222222</v>
      </c>
      <c r="C314" s="1" t="n">
        <v>46186</v>
      </c>
      <c r="D314" t="inlineStr">
        <is>
          <t>DALARNAS LÄN</t>
        </is>
      </c>
      <c r="E314" t="inlineStr">
        <is>
          <t>SMEDJEBACKEN</t>
        </is>
      </c>
      <c r="G314" t="n">
        <v>4.2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21626-2023</t>
        </is>
      </c>
      <c r="B315" s="1" t="n">
        <v>45063.66127314815</v>
      </c>
      <c r="C315" s="1" t="n">
        <v>46186</v>
      </c>
      <c r="D315" t="inlineStr">
        <is>
          <t>DALARNAS LÄN</t>
        </is>
      </c>
      <c r="E315" t="inlineStr">
        <is>
          <t>SMEDJEBACKEN</t>
        </is>
      </c>
      <c r="F315" t="inlineStr">
        <is>
          <t>Övriga Aktiebolag</t>
        </is>
      </c>
      <c r="G315" t="n">
        <v>1.7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28775-2025</t>
        </is>
      </c>
      <c r="B316" s="1" t="n">
        <v>45819</v>
      </c>
      <c r="C316" s="1" t="n">
        <v>46186</v>
      </c>
      <c r="D316" t="inlineStr">
        <is>
          <t>DALARNAS LÄN</t>
        </is>
      </c>
      <c r="E316" t="inlineStr">
        <is>
          <t>SMEDJEBACKEN</t>
        </is>
      </c>
      <c r="F316" t="inlineStr">
        <is>
          <t>Bergvik skog väst AB</t>
        </is>
      </c>
      <c r="G316" t="n">
        <v>22.8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6604-2025</t>
        </is>
      </c>
      <c r="B317" s="1" t="n">
        <v>45700.33427083334</v>
      </c>
      <c r="C317" s="1" t="n">
        <v>46186</v>
      </c>
      <c r="D317" t="inlineStr">
        <is>
          <t>DALARNAS LÄN</t>
        </is>
      </c>
      <c r="E317" t="inlineStr">
        <is>
          <t>SMEDJEBACKEN</t>
        </is>
      </c>
      <c r="G317" t="n">
        <v>0.6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1898-2023</t>
        </is>
      </c>
      <c r="B318" s="1" t="n">
        <v>44937</v>
      </c>
      <c r="C318" s="1" t="n">
        <v>46186</v>
      </c>
      <c r="D318" t="inlineStr">
        <is>
          <t>DALARNAS LÄN</t>
        </is>
      </c>
      <c r="E318" t="inlineStr">
        <is>
          <t>SMEDJEBACKEN</t>
        </is>
      </c>
      <c r="G318" t="n">
        <v>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30592-2025</t>
        </is>
      </c>
      <c r="B319" s="1" t="n">
        <v>45831.438125</v>
      </c>
      <c r="C319" s="1" t="n">
        <v>46186</v>
      </c>
      <c r="D319" t="inlineStr">
        <is>
          <t>DALARNAS LÄN</t>
        </is>
      </c>
      <c r="E319" t="inlineStr">
        <is>
          <t>SMEDJEBACKEN</t>
        </is>
      </c>
      <c r="G319" t="n">
        <v>2.7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21443-2023</t>
        </is>
      </c>
      <c r="B320" s="1" t="n">
        <v>45063</v>
      </c>
      <c r="C320" s="1" t="n">
        <v>46186</v>
      </c>
      <c r="D320" t="inlineStr">
        <is>
          <t>DALARNAS LÄN</t>
        </is>
      </c>
      <c r="E320" t="inlineStr">
        <is>
          <t>SMEDJEBACKEN</t>
        </is>
      </c>
      <c r="F320" t="inlineStr">
        <is>
          <t>Bergvik skog väst AB</t>
        </is>
      </c>
      <c r="G320" t="n">
        <v>0.5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32130-2021</t>
        </is>
      </c>
      <c r="B321" s="1" t="n">
        <v>44371.32910879629</v>
      </c>
      <c r="C321" s="1" t="n">
        <v>46186</v>
      </c>
      <c r="D321" t="inlineStr">
        <is>
          <t>DALARNAS LÄN</t>
        </is>
      </c>
      <c r="E321" t="inlineStr">
        <is>
          <t>SMEDJEBACKEN</t>
        </is>
      </c>
      <c r="F321" t="inlineStr">
        <is>
          <t>Sveaskog</t>
        </is>
      </c>
      <c r="G321" t="n">
        <v>0.8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30903-2025</t>
        </is>
      </c>
      <c r="B322" s="1" t="n">
        <v>45832.36197916666</v>
      </c>
      <c r="C322" s="1" t="n">
        <v>46186</v>
      </c>
      <c r="D322" t="inlineStr">
        <is>
          <t>DALARNAS LÄN</t>
        </is>
      </c>
      <c r="E322" t="inlineStr">
        <is>
          <t>SMEDJEBACKEN</t>
        </is>
      </c>
      <c r="F322" t="inlineStr">
        <is>
          <t>Sveaskog</t>
        </is>
      </c>
      <c r="G322" t="n">
        <v>1.4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25809-2024</t>
        </is>
      </c>
      <c r="B323" s="1" t="n">
        <v>45467.37267361111</v>
      </c>
      <c r="C323" s="1" t="n">
        <v>46186</v>
      </c>
      <c r="D323" t="inlineStr">
        <is>
          <t>DALARNAS LÄN</t>
        </is>
      </c>
      <c r="E323" t="inlineStr">
        <is>
          <t>SMEDJEBACKEN</t>
        </is>
      </c>
      <c r="F323" t="inlineStr">
        <is>
          <t>Sveaskog</t>
        </is>
      </c>
      <c r="G323" t="n">
        <v>1.1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18909-2024</t>
        </is>
      </c>
      <c r="B324" s="1" t="n">
        <v>45427.36826388889</v>
      </c>
      <c r="C324" s="1" t="n">
        <v>46186</v>
      </c>
      <c r="D324" t="inlineStr">
        <is>
          <t>DALARNAS LÄN</t>
        </is>
      </c>
      <c r="E324" t="inlineStr">
        <is>
          <t>SMEDJEBACKEN</t>
        </is>
      </c>
      <c r="F324" t="inlineStr">
        <is>
          <t>Sveaskog</t>
        </is>
      </c>
      <c r="G324" t="n">
        <v>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31470-2025</t>
        </is>
      </c>
      <c r="B325" s="1" t="n">
        <v>45833.56387731482</v>
      </c>
      <c r="C325" s="1" t="n">
        <v>46186</v>
      </c>
      <c r="D325" t="inlineStr">
        <is>
          <t>DALARNAS LÄN</t>
        </is>
      </c>
      <c r="E325" t="inlineStr">
        <is>
          <t>SMEDJEBACKEN</t>
        </is>
      </c>
      <c r="G325" t="n">
        <v>1.9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56012-2021</t>
        </is>
      </c>
      <c r="B326" s="1" t="n">
        <v>44477</v>
      </c>
      <c r="C326" s="1" t="n">
        <v>46186</v>
      </c>
      <c r="D326" t="inlineStr">
        <is>
          <t>DALARNAS LÄN</t>
        </is>
      </c>
      <c r="E326" t="inlineStr">
        <is>
          <t>SMEDJEBACKEN</t>
        </is>
      </c>
      <c r="F326" t="inlineStr">
        <is>
          <t>Bergvik skog väst AB</t>
        </is>
      </c>
      <c r="G326" t="n">
        <v>3.1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9251-2026</t>
        </is>
      </c>
      <c r="B327" s="1" t="n">
        <v>46070.50584490741</v>
      </c>
      <c r="C327" s="1" t="n">
        <v>46186</v>
      </c>
      <c r="D327" t="inlineStr">
        <is>
          <t>DALARNAS LÄN</t>
        </is>
      </c>
      <c r="E327" t="inlineStr">
        <is>
          <t>SMEDJEBACKEN</t>
        </is>
      </c>
      <c r="G327" t="n">
        <v>1.7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9847-2026</t>
        </is>
      </c>
      <c r="B328" s="1" t="n">
        <v>46072.79143518519</v>
      </c>
      <c r="C328" s="1" t="n">
        <v>46186</v>
      </c>
      <c r="D328" t="inlineStr">
        <is>
          <t>DALARNAS LÄN</t>
        </is>
      </c>
      <c r="E328" t="inlineStr">
        <is>
          <t>SMEDJEBACKEN</t>
        </is>
      </c>
      <c r="F328" t="inlineStr">
        <is>
          <t>Övriga Aktiebolag</t>
        </is>
      </c>
      <c r="G328" t="n">
        <v>3.4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33960-2023</t>
        </is>
      </c>
      <c r="B329" s="1" t="n">
        <v>45124</v>
      </c>
      <c r="C329" s="1" t="n">
        <v>46186</v>
      </c>
      <c r="D329" t="inlineStr">
        <is>
          <t>DALARNAS LÄN</t>
        </is>
      </c>
      <c r="E329" t="inlineStr">
        <is>
          <t>SMEDJEBACKEN</t>
        </is>
      </c>
      <c r="G329" t="n">
        <v>2.6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60025-2024</t>
        </is>
      </c>
      <c r="B330" s="1" t="n">
        <v>45642.44887731481</v>
      </c>
      <c r="C330" s="1" t="n">
        <v>46186</v>
      </c>
      <c r="D330" t="inlineStr">
        <is>
          <t>DALARNAS LÄN</t>
        </is>
      </c>
      <c r="E330" t="inlineStr">
        <is>
          <t>SMEDJEBACKEN</t>
        </is>
      </c>
      <c r="G330" t="n">
        <v>1.2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31473-2025</t>
        </is>
      </c>
      <c r="B331" s="1" t="n">
        <v>45833</v>
      </c>
      <c r="C331" s="1" t="n">
        <v>46186</v>
      </c>
      <c r="D331" t="inlineStr">
        <is>
          <t>DALARNAS LÄN</t>
        </is>
      </c>
      <c r="E331" t="inlineStr">
        <is>
          <t>SMEDJEBACKEN</t>
        </is>
      </c>
      <c r="G331" t="n">
        <v>1.4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38440-2023</t>
        </is>
      </c>
      <c r="B332" s="1" t="n">
        <v>45162.39041666667</v>
      </c>
      <c r="C332" s="1" t="n">
        <v>46186</v>
      </c>
      <c r="D332" t="inlineStr">
        <is>
          <t>DALARNAS LÄN</t>
        </is>
      </c>
      <c r="E332" t="inlineStr">
        <is>
          <t>SMEDJEBACKEN</t>
        </is>
      </c>
      <c r="G332" t="n">
        <v>7.3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10438-2026</t>
        </is>
      </c>
      <c r="B333" s="1" t="n">
        <v>46077.40596064815</v>
      </c>
      <c r="C333" s="1" t="n">
        <v>46186</v>
      </c>
      <c r="D333" t="inlineStr">
        <is>
          <t>DALARNAS LÄN</t>
        </is>
      </c>
      <c r="E333" t="inlineStr">
        <is>
          <t>SMEDJEBACKEN</t>
        </is>
      </c>
      <c r="G333" t="n">
        <v>3.4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24426-2023</t>
        </is>
      </c>
      <c r="B334" s="1" t="n">
        <v>45082.4859375</v>
      </c>
      <c r="C334" s="1" t="n">
        <v>46186</v>
      </c>
      <c r="D334" t="inlineStr">
        <is>
          <t>DALARNAS LÄN</t>
        </is>
      </c>
      <c r="E334" t="inlineStr">
        <is>
          <t>SMEDJEBACKEN</t>
        </is>
      </c>
      <c r="G334" t="n">
        <v>2.7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11740-2026</t>
        </is>
      </c>
      <c r="B335" s="1" t="n">
        <v>46084</v>
      </c>
      <c r="C335" s="1" t="n">
        <v>46186</v>
      </c>
      <c r="D335" t="inlineStr">
        <is>
          <t>DALARNAS LÄN</t>
        </is>
      </c>
      <c r="E335" t="inlineStr">
        <is>
          <t>SMEDJEBACKEN</t>
        </is>
      </c>
      <c r="F335" t="inlineStr">
        <is>
          <t>Övriga Aktiebolag</t>
        </is>
      </c>
      <c r="G335" t="n">
        <v>5.2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23645-2024</t>
        </is>
      </c>
      <c r="B336" s="1" t="n">
        <v>45454</v>
      </c>
      <c r="C336" s="1" t="n">
        <v>46186</v>
      </c>
      <c r="D336" t="inlineStr">
        <is>
          <t>DALARNAS LÄN</t>
        </is>
      </c>
      <c r="E336" t="inlineStr">
        <is>
          <t>SMEDJEBACKEN</t>
        </is>
      </c>
      <c r="F336" t="inlineStr">
        <is>
          <t>Bergvik skog väst AB</t>
        </is>
      </c>
      <c r="G336" t="n">
        <v>8.6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32996-2025</t>
        </is>
      </c>
      <c r="B337" s="1" t="n">
        <v>45840</v>
      </c>
      <c r="C337" s="1" t="n">
        <v>46186</v>
      </c>
      <c r="D337" t="inlineStr">
        <is>
          <t>DALARNAS LÄN</t>
        </is>
      </c>
      <c r="E337" t="inlineStr">
        <is>
          <t>SMEDJEBACKEN</t>
        </is>
      </c>
      <c r="F337" t="inlineStr">
        <is>
          <t>Övriga Aktiebolag</t>
        </is>
      </c>
      <c r="G337" t="n">
        <v>3.9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12441-2026</t>
        </is>
      </c>
      <c r="B338" s="1" t="n">
        <v>46090.47815972222</v>
      </c>
      <c r="C338" s="1" t="n">
        <v>46186</v>
      </c>
      <c r="D338" t="inlineStr">
        <is>
          <t>DALARNAS LÄN</t>
        </is>
      </c>
      <c r="E338" t="inlineStr">
        <is>
          <t>SMEDJEBACKEN</t>
        </is>
      </c>
      <c r="G338" t="n">
        <v>5.4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33912-2025</t>
        </is>
      </c>
      <c r="B339" s="1" t="n">
        <v>45842.60398148148</v>
      </c>
      <c r="C339" s="1" t="n">
        <v>46186</v>
      </c>
      <c r="D339" t="inlineStr">
        <is>
          <t>DALARNAS LÄN</t>
        </is>
      </c>
      <c r="E339" t="inlineStr">
        <is>
          <t>SMEDJEBACKEN</t>
        </is>
      </c>
      <c r="G339" t="n">
        <v>1.6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12447-2026</t>
        </is>
      </c>
      <c r="B340" s="1" t="n">
        <v>46090.49002314815</v>
      </c>
      <c r="C340" s="1" t="n">
        <v>46186</v>
      </c>
      <c r="D340" t="inlineStr">
        <is>
          <t>DALARNAS LÄN</t>
        </is>
      </c>
      <c r="E340" t="inlineStr">
        <is>
          <t>SMEDJEBACKEN</t>
        </is>
      </c>
      <c r="G340" t="n">
        <v>21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34523-2025</t>
        </is>
      </c>
      <c r="B341" s="1" t="n">
        <v>45846</v>
      </c>
      <c r="C341" s="1" t="n">
        <v>46186</v>
      </c>
      <c r="D341" t="inlineStr">
        <is>
          <t>DALARNAS LÄN</t>
        </is>
      </c>
      <c r="E341" t="inlineStr">
        <is>
          <t>SMEDJEBACKEN</t>
        </is>
      </c>
      <c r="F341" t="inlineStr">
        <is>
          <t>Bergvik skog väst AB</t>
        </is>
      </c>
      <c r="G341" t="n">
        <v>0.6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34510-2025</t>
        </is>
      </c>
      <c r="B342" s="1" t="n">
        <v>45846</v>
      </c>
      <c r="C342" s="1" t="n">
        <v>46186</v>
      </c>
      <c r="D342" t="inlineStr">
        <is>
          <t>DALARNAS LÄN</t>
        </is>
      </c>
      <c r="E342" t="inlineStr">
        <is>
          <t>SMEDJEBACKEN</t>
        </is>
      </c>
      <c r="F342" t="inlineStr">
        <is>
          <t>Bergvik skog väst AB</t>
        </is>
      </c>
      <c r="G342" t="n">
        <v>1.8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34511-2025</t>
        </is>
      </c>
      <c r="B343" s="1" t="n">
        <v>45846</v>
      </c>
      <c r="C343" s="1" t="n">
        <v>46186</v>
      </c>
      <c r="D343" t="inlineStr">
        <is>
          <t>DALARNAS LÄN</t>
        </is>
      </c>
      <c r="E343" t="inlineStr">
        <is>
          <t>SMEDJEBACKEN</t>
        </is>
      </c>
      <c r="F343" t="inlineStr">
        <is>
          <t>Bergvik skog väst AB</t>
        </is>
      </c>
      <c r="G343" t="n">
        <v>1.9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34444-2025</t>
        </is>
      </c>
      <c r="B344" s="1" t="n">
        <v>45846.71516203704</v>
      </c>
      <c r="C344" s="1" t="n">
        <v>46186</v>
      </c>
      <c r="D344" t="inlineStr">
        <is>
          <t>DALARNAS LÄN</t>
        </is>
      </c>
      <c r="E344" t="inlineStr">
        <is>
          <t>SMEDJEBACKEN</t>
        </is>
      </c>
      <c r="G344" t="n">
        <v>4.7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16351-2025</t>
        </is>
      </c>
      <c r="B345" s="1" t="n">
        <v>45751.38546296296</v>
      </c>
      <c r="C345" s="1" t="n">
        <v>46186</v>
      </c>
      <c r="D345" t="inlineStr">
        <is>
          <t>DALARNAS LÄN</t>
        </is>
      </c>
      <c r="E345" t="inlineStr">
        <is>
          <t>SMEDJEBACKEN</t>
        </is>
      </c>
      <c r="G345" t="n">
        <v>1.3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13535-2026</t>
        </is>
      </c>
      <c r="B346" s="1" t="n">
        <v>46094.66163194444</v>
      </c>
      <c r="C346" s="1" t="n">
        <v>46186</v>
      </c>
      <c r="D346" t="inlineStr">
        <is>
          <t>DALARNAS LÄN</t>
        </is>
      </c>
      <c r="E346" t="inlineStr">
        <is>
          <t>SMEDJEBACKEN</t>
        </is>
      </c>
      <c r="F346" t="inlineStr">
        <is>
          <t>Övriga Aktiebolag</t>
        </is>
      </c>
      <c r="G346" t="n">
        <v>1.5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29420-2023</t>
        </is>
      </c>
      <c r="B347" s="1" t="n">
        <v>45106.47424768518</v>
      </c>
      <c r="C347" s="1" t="n">
        <v>46186</v>
      </c>
      <c r="D347" t="inlineStr">
        <is>
          <t>DALARNAS LÄN</t>
        </is>
      </c>
      <c r="E347" t="inlineStr">
        <is>
          <t>SMEDJEBACKEN</t>
        </is>
      </c>
      <c r="G347" t="n">
        <v>1.6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13493-2026</t>
        </is>
      </c>
      <c r="B348" s="1" t="n">
        <v>46094</v>
      </c>
      <c r="C348" s="1" t="n">
        <v>46186</v>
      </c>
      <c r="D348" t="inlineStr">
        <is>
          <t>DALARNAS LÄN</t>
        </is>
      </c>
      <c r="E348" t="inlineStr">
        <is>
          <t>SMEDJEBACKEN</t>
        </is>
      </c>
      <c r="G348" t="n">
        <v>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13851-2026</t>
        </is>
      </c>
      <c r="B349" s="1" t="n">
        <v>46098.38871527778</v>
      </c>
      <c r="C349" s="1" t="n">
        <v>46186</v>
      </c>
      <c r="D349" t="inlineStr">
        <is>
          <t>DALARNAS LÄN</t>
        </is>
      </c>
      <c r="E349" t="inlineStr">
        <is>
          <t>SMEDJEBACKEN</t>
        </is>
      </c>
      <c r="G349" t="n">
        <v>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13869-2026</t>
        </is>
      </c>
      <c r="B350" s="1" t="n">
        <v>46098.42197916667</v>
      </c>
      <c r="C350" s="1" t="n">
        <v>46186</v>
      </c>
      <c r="D350" t="inlineStr">
        <is>
          <t>DALARNAS LÄN</t>
        </is>
      </c>
      <c r="E350" t="inlineStr">
        <is>
          <t>SMEDJEBACKEN</t>
        </is>
      </c>
      <c r="G350" t="n">
        <v>2.7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14011-2026</t>
        </is>
      </c>
      <c r="B351" s="1" t="n">
        <v>46098</v>
      </c>
      <c r="C351" s="1" t="n">
        <v>46186</v>
      </c>
      <c r="D351" t="inlineStr">
        <is>
          <t>DALARNAS LÄN</t>
        </is>
      </c>
      <c r="E351" t="inlineStr">
        <is>
          <t>SMEDJEBACKEN</t>
        </is>
      </c>
      <c r="F351" t="inlineStr">
        <is>
          <t>Bergvik skog väst AB</t>
        </is>
      </c>
      <c r="G351" t="n">
        <v>1.2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13956-2026</t>
        </is>
      </c>
      <c r="B352" s="1" t="n">
        <v>46098.5559375</v>
      </c>
      <c r="C352" s="1" t="n">
        <v>46186</v>
      </c>
      <c r="D352" t="inlineStr">
        <is>
          <t>DALARNAS LÄN</t>
        </is>
      </c>
      <c r="E352" t="inlineStr">
        <is>
          <t>SMEDJEBACKEN</t>
        </is>
      </c>
      <c r="F352" t="inlineStr">
        <is>
          <t>Övriga Aktiebolag</t>
        </is>
      </c>
      <c r="G352" t="n">
        <v>28.8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19469-2024</t>
        </is>
      </c>
      <c r="B353" s="1" t="n">
        <v>45429</v>
      </c>
      <c r="C353" s="1" t="n">
        <v>46186</v>
      </c>
      <c r="D353" t="inlineStr">
        <is>
          <t>DALARNAS LÄN</t>
        </is>
      </c>
      <c r="E353" t="inlineStr">
        <is>
          <t>SMEDJEBACKEN</t>
        </is>
      </c>
      <c r="F353" t="inlineStr">
        <is>
          <t>Sveaskog</t>
        </is>
      </c>
      <c r="G353" t="n">
        <v>2.4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15557-2024</t>
        </is>
      </c>
      <c r="B354" s="1" t="n">
        <v>45401.64273148148</v>
      </c>
      <c r="C354" s="1" t="n">
        <v>46186</v>
      </c>
      <c r="D354" t="inlineStr">
        <is>
          <t>DALARNAS LÄN</t>
        </is>
      </c>
      <c r="E354" t="inlineStr">
        <is>
          <t>SMEDJEBACKEN</t>
        </is>
      </c>
      <c r="G354" t="n">
        <v>2.4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14415-2026</t>
        </is>
      </c>
      <c r="B355" s="1" t="n">
        <v>46100.45163194444</v>
      </c>
      <c r="C355" s="1" t="n">
        <v>46186</v>
      </c>
      <c r="D355" t="inlineStr">
        <is>
          <t>DALARNAS LÄN</t>
        </is>
      </c>
      <c r="E355" t="inlineStr">
        <is>
          <t>SMEDJEBACKEN</t>
        </is>
      </c>
      <c r="F355" t="inlineStr">
        <is>
          <t>Övriga Aktiebolag</t>
        </is>
      </c>
      <c r="G355" t="n">
        <v>3.5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34711-2025</t>
        </is>
      </c>
      <c r="B356" s="1" t="n">
        <v>45848.49875</v>
      </c>
      <c r="C356" s="1" t="n">
        <v>46186</v>
      </c>
      <c r="D356" t="inlineStr">
        <is>
          <t>DALARNAS LÄN</t>
        </is>
      </c>
      <c r="E356" t="inlineStr">
        <is>
          <t>SMEDJEBACKEN</t>
        </is>
      </c>
      <c r="G356" t="n">
        <v>1.2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14430-2026</t>
        </is>
      </c>
      <c r="B357" s="1" t="n">
        <v>46100.47486111111</v>
      </c>
      <c r="C357" s="1" t="n">
        <v>46186</v>
      </c>
      <c r="D357" t="inlineStr">
        <is>
          <t>DALARNAS LÄN</t>
        </is>
      </c>
      <c r="E357" t="inlineStr">
        <is>
          <t>SMEDJEBACKEN</t>
        </is>
      </c>
      <c r="F357" t="inlineStr">
        <is>
          <t>Övriga Aktiebolag</t>
        </is>
      </c>
      <c r="G357" t="n">
        <v>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48057-2024</t>
        </is>
      </c>
      <c r="B358" s="1" t="n">
        <v>45589.541875</v>
      </c>
      <c r="C358" s="1" t="n">
        <v>46186</v>
      </c>
      <c r="D358" t="inlineStr">
        <is>
          <t>DALARNAS LÄN</t>
        </is>
      </c>
      <c r="E358" t="inlineStr">
        <is>
          <t>SMEDJEBACKEN</t>
        </is>
      </c>
      <c r="G358" t="n">
        <v>1.3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14276-2026</t>
        </is>
      </c>
      <c r="B359" s="1" t="n">
        <v>46099.66206018518</v>
      </c>
      <c r="C359" s="1" t="n">
        <v>46186</v>
      </c>
      <c r="D359" t="inlineStr">
        <is>
          <t>DALARNAS LÄN</t>
        </is>
      </c>
      <c r="E359" t="inlineStr">
        <is>
          <t>SMEDJEBACKEN</t>
        </is>
      </c>
      <c r="G359" t="n">
        <v>5.1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23687-2023</t>
        </is>
      </c>
      <c r="B360" s="1" t="n">
        <v>45077</v>
      </c>
      <c r="C360" s="1" t="n">
        <v>46186</v>
      </c>
      <c r="D360" t="inlineStr">
        <is>
          <t>DALARNAS LÄN</t>
        </is>
      </c>
      <c r="E360" t="inlineStr">
        <is>
          <t>SMEDJEBACKEN</t>
        </is>
      </c>
      <c r="G360" t="n">
        <v>0.7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14605-2026</t>
        </is>
      </c>
      <c r="B361" s="1" t="n">
        <v>46101.36063657407</v>
      </c>
      <c r="C361" s="1" t="n">
        <v>46186</v>
      </c>
      <c r="D361" t="inlineStr">
        <is>
          <t>DALARNAS LÄN</t>
        </is>
      </c>
      <c r="E361" t="inlineStr">
        <is>
          <t>SMEDJEBACKEN</t>
        </is>
      </c>
      <c r="F361" t="inlineStr">
        <is>
          <t>Sveaskog</t>
        </is>
      </c>
      <c r="G361" t="n">
        <v>3.3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14606-2026</t>
        </is>
      </c>
      <c r="B362" s="1" t="n">
        <v>46101.3622800926</v>
      </c>
      <c r="C362" s="1" t="n">
        <v>46186</v>
      </c>
      <c r="D362" t="inlineStr">
        <is>
          <t>DALARNAS LÄN</t>
        </is>
      </c>
      <c r="E362" t="inlineStr">
        <is>
          <t>SMEDJEBACKEN</t>
        </is>
      </c>
      <c r="F362" t="inlineStr">
        <is>
          <t>Sveaskog</t>
        </is>
      </c>
      <c r="G362" t="n">
        <v>2.2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14601-2026</t>
        </is>
      </c>
      <c r="B363" s="1" t="n">
        <v>46101.35722222222</v>
      </c>
      <c r="C363" s="1" t="n">
        <v>46186</v>
      </c>
      <c r="D363" t="inlineStr">
        <is>
          <t>DALARNAS LÄN</t>
        </is>
      </c>
      <c r="E363" t="inlineStr">
        <is>
          <t>SMEDJEBACKEN</t>
        </is>
      </c>
      <c r="F363" t="inlineStr">
        <is>
          <t>Sveaskog</t>
        </is>
      </c>
      <c r="G363" t="n">
        <v>4.9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14609-2026</t>
        </is>
      </c>
      <c r="B364" s="1" t="n">
        <v>46101.36509259259</v>
      </c>
      <c r="C364" s="1" t="n">
        <v>46186</v>
      </c>
      <c r="D364" t="inlineStr">
        <is>
          <t>DALARNAS LÄN</t>
        </is>
      </c>
      <c r="E364" t="inlineStr">
        <is>
          <t>SMEDJEBACKEN</t>
        </is>
      </c>
      <c r="F364" t="inlineStr">
        <is>
          <t>Sveaskog</t>
        </is>
      </c>
      <c r="G364" t="n">
        <v>2.4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15047-2026</t>
        </is>
      </c>
      <c r="B365" s="1" t="n">
        <v>46104.66553240741</v>
      </c>
      <c r="C365" s="1" t="n">
        <v>46186</v>
      </c>
      <c r="D365" t="inlineStr">
        <is>
          <t>DALARNAS LÄN</t>
        </is>
      </c>
      <c r="E365" t="inlineStr">
        <is>
          <t>SMEDJEBACKEN</t>
        </is>
      </c>
      <c r="F365" t="inlineStr">
        <is>
          <t>Sveaskog</t>
        </is>
      </c>
      <c r="G365" t="n">
        <v>1.3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14613-2026</t>
        </is>
      </c>
      <c r="B366" s="1" t="n">
        <v>46101.36916666666</v>
      </c>
      <c r="C366" s="1" t="n">
        <v>46186</v>
      </c>
      <c r="D366" t="inlineStr">
        <is>
          <t>DALARNAS LÄN</t>
        </is>
      </c>
      <c r="E366" t="inlineStr">
        <is>
          <t>SMEDJEBACKEN</t>
        </is>
      </c>
      <c r="F366" t="inlineStr">
        <is>
          <t>Sveaskog</t>
        </is>
      </c>
      <c r="G366" t="n">
        <v>2.8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21969-2025</t>
        </is>
      </c>
      <c r="B367" s="1" t="n">
        <v>45784.63262731482</v>
      </c>
      <c r="C367" s="1" t="n">
        <v>46186</v>
      </c>
      <c r="D367" t="inlineStr">
        <is>
          <t>DALARNAS LÄN</t>
        </is>
      </c>
      <c r="E367" t="inlineStr">
        <is>
          <t>SMEDJEBACKEN</t>
        </is>
      </c>
      <c r="G367" t="n">
        <v>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26998-2024</t>
        </is>
      </c>
      <c r="B368" s="1" t="n">
        <v>45471.38782407407</v>
      </c>
      <c r="C368" s="1" t="n">
        <v>46186</v>
      </c>
      <c r="D368" t="inlineStr">
        <is>
          <t>DALARNAS LÄN</t>
        </is>
      </c>
      <c r="E368" t="inlineStr">
        <is>
          <t>SMEDJEBACKEN</t>
        </is>
      </c>
      <c r="G368" t="n">
        <v>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46754-2023</t>
        </is>
      </c>
      <c r="B369" s="1" t="n">
        <v>45198</v>
      </c>
      <c r="C369" s="1" t="n">
        <v>46186</v>
      </c>
      <c r="D369" t="inlineStr">
        <is>
          <t>DALARNAS LÄN</t>
        </is>
      </c>
      <c r="E369" t="inlineStr">
        <is>
          <t>SMEDJEBACKEN</t>
        </is>
      </c>
      <c r="F369" t="inlineStr">
        <is>
          <t>Sveaskog</t>
        </is>
      </c>
      <c r="G369" t="n">
        <v>0.4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21135-2026</t>
        </is>
      </c>
      <c r="B370" s="1" t="n">
        <v>46146.55414351852</v>
      </c>
      <c r="C370" s="1" t="n">
        <v>46186</v>
      </c>
      <c r="D370" t="inlineStr">
        <is>
          <t>DALARNAS LÄN</t>
        </is>
      </c>
      <c r="E370" t="inlineStr">
        <is>
          <t>SMEDJEBACKEN</t>
        </is>
      </c>
      <c r="G370" t="n">
        <v>0.7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21215-2026</t>
        </is>
      </c>
      <c r="B371" s="1" t="n">
        <v>46146.69412037037</v>
      </c>
      <c r="C371" s="1" t="n">
        <v>46186</v>
      </c>
      <c r="D371" t="inlineStr">
        <is>
          <t>DALARNAS LÄN</t>
        </is>
      </c>
      <c r="E371" t="inlineStr">
        <is>
          <t>SMEDJEBACKEN</t>
        </is>
      </c>
      <c r="F371" t="inlineStr">
        <is>
          <t>Bergvik skog väst AB</t>
        </is>
      </c>
      <c r="G371" t="n">
        <v>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21216-2026</t>
        </is>
      </c>
      <c r="B372" s="1" t="n">
        <v>46146.69629629629</v>
      </c>
      <c r="C372" s="1" t="n">
        <v>46186</v>
      </c>
      <c r="D372" t="inlineStr">
        <is>
          <t>DALARNAS LÄN</t>
        </is>
      </c>
      <c r="E372" t="inlineStr">
        <is>
          <t>SMEDJEBACKEN</t>
        </is>
      </c>
      <c r="F372" t="inlineStr">
        <is>
          <t>Bergvik skog väst AB</t>
        </is>
      </c>
      <c r="G372" t="n">
        <v>1.6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15049-2026</t>
        </is>
      </c>
      <c r="B373" s="1" t="n">
        <v>46104.66828703704</v>
      </c>
      <c r="C373" s="1" t="n">
        <v>46186</v>
      </c>
      <c r="D373" t="inlineStr">
        <is>
          <t>DALARNAS LÄN</t>
        </is>
      </c>
      <c r="E373" t="inlineStr">
        <is>
          <t>SMEDJEBACKEN</t>
        </is>
      </c>
      <c r="F373" t="inlineStr">
        <is>
          <t>Sveaskog</t>
        </is>
      </c>
      <c r="G373" t="n">
        <v>2.3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44117-2021</t>
        </is>
      </c>
      <c r="B374" s="1" t="n">
        <v>44434.61344907407</v>
      </c>
      <c r="C374" s="1" t="n">
        <v>46186</v>
      </c>
      <c r="D374" t="inlineStr">
        <is>
          <t>DALARNAS LÄN</t>
        </is>
      </c>
      <c r="E374" t="inlineStr">
        <is>
          <t>SMEDJEBACKEN</t>
        </is>
      </c>
      <c r="G374" t="n">
        <v>1.2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14602-2026</t>
        </is>
      </c>
      <c r="B375" s="1" t="n">
        <v>46101.35896990741</v>
      </c>
      <c r="C375" s="1" t="n">
        <v>46186</v>
      </c>
      <c r="D375" t="inlineStr">
        <is>
          <t>DALARNAS LÄN</t>
        </is>
      </c>
      <c r="E375" t="inlineStr">
        <is>
          <t>SMEDJEBACKEN</t>
        </is>
      </c>
      <c r="F375" t="inlineStr">
        <is>
          <t>Sveaskog</t>
        </is>
      </c>
      <c r="G375" t="n">
        <v>1.3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15530-2026</t>
        </is>
      </c>
      <c r="B376" s="1" t="n">
        <v>46106.48829861111</v>
      </c>
      <c r="C376" s="1" t="n">
        <v>46186</v>
      </c>
      <c r="D376" t="inlineStr">
        <is>
          <t>DALARNAS LÄN</t>
        </is>
      </c>
      <c r="E376" t="inlineStr">
        <is>
          <t>SMEDJEBACKEN</t>
        </is>
      </c>
      <c r="G376" t="n">
        <v>0.8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34039-2023</t>
        </is>
      </c>
      <c r="B377" s="1" t="n">
        <v>45125</v>
      </c>
      <c r="C377" s="1" t="n">
        <v>46186</v>
      </c>
      <c r="D377" t="inlineStr">
        <is>
          <t>DALARNAS LÄN</t>
        </is>
      </c>
      <c r="E377" t="inlineStr">
        <is>
          <t>SMEDJEBACKEN</t>
        </is>
      </c>
      <c r="G377" t="n">
        <v>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15526-2026</t>
        </is>
      </c>
      <c r="B378" s="1" t="n">
        <v>46106.48422453704</v>
      </c>
      <c r="C378" s="1" t="n">
        <v>46186</v>
      </c>
      <c r="D378" t="inlineStr">
        <is>
          <t>DALARNAS LÄN</t>
        </is>
      </c>
      <c r="E378" t="inlineStr">
        <is>
          <t>SMEDJEBACKEN</t>
        </is>
      </c>
      <c r="G378" t="n">
        <v>0.7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15350-2022</t>
        </is>
      </c>
      <c r="B379" s="1" t="n">
        <v>44659.54976851852</v>
      </c>
      <c r="C379" s="1" t="n">
        <v>46186</v>
      </c>
      <c r="D379" t="inlineStr">
        <is>
          <t>DALARNAS LÄN</t>
        </is>
      </c>
      <c r="E379" t="inlineStr">
        <is>
          <t>SMEDJEBACKEN</t>
        </is>
      </c>
      <c r="G379" t="n">
        <v>1.5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17134-2024</t>
        </is>
      </c>
      <c r="B380" s="1" t="n">
        <v>45412</v>
      </c>
      <c r="C380" s="1" t="n">
        <v>46186</v>
      </c>
      <c r="D380" t="inlineStr">
        <is>
          <t>DALARNAS LÄN</t>
        </is>
      </c>
      <c r="E380" t="inlineStr">
        <is>
          <t>SMEDJEBACKEN</t>
        </is>
      </c>
      <c r="G380" t="n">
        <v>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55680-2022</t>
        </is>
      </c>
      <c r="B381" s="1" t="n">
        <v>44883</v>
      </c>
      <c r="C381" s="1" t="n">
        <v>46186</v>
      </c>
      <c r="D381" t="inlineStr">
        <is>
          <t>DALARNAS LÄN</t>
        </is>
      </c>
      <c r="E381" t="inlineStr">
        <is>
          <t>SMEDJEBACKEN</t>
        </is>
      </c>
      <c r="G381" t="n">
        <v>1.2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42200-2024</t>
        </is>
      </c>
      <c r="B382" s="1" t="n">
        <v>45562.51660879629</v>
      </c>
      <c r="C382" s="1" t="n">
        <v>46186</v>
      </c>
      <c r="D382" t="inlineStr">
        <is>
          <t>DALARNAS LÄN</t>
        </is>
      </c>
      <c r="E382" t="inlineStr">
        <is>
          <t>SMEDJEBACKEN</t>
        </is>
      </c>
      <c r="F382" t="inlineStr">
        <is>
          <t>Sveaskog</t>
        </is>
      </c>
      <c r="G382" t="n">
        <v>1.7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15622-2026</t>
        </is>
      </c>
      <c r="B383" s="1" t="n">
        <v>46106.61216435185</v>
      </c>
      <c r="C383" s="1" t="n">
        <v>46186</v>
      </c>
      <c r="D383" t="inlineStr">
        <is>
          <t>DALARNAS LÄN</t>
        </is>
      </c>
      <c r="E383" t="inlineStr">
        <is>
          <t>SMEDJEBACKEN</t>
        </is>
      </c>
      <c r="G383" t="n">
        <v>0.6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5706-2026</t>
        </is>
      </c>
      <c r="B384" s="1" t="n">
        <v>46051.50975694445</v>
      </c>
      <c r="C384" s="1" t="n">
        <v>46186</v>
      </c>
      <c r="D384" t="inlineStr">
        <is>
          <t>DALARNAS LÄN</t>
        </is>
      </c>
      <c r="E384" t="inlineStr">
        <is>
          <t>SMEDJEBACKEN</t>
        </is>
      </c>
      <c r="G384" t="n">
        <v>1.2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32600-2023</t>
        </is>
      </c>
      <c r="B385" s="1" t="n">
        <v>45121</v>
      </c>
      <c r="C385" s="1" t="n">
        <v>46186</v>
      </c>
      <c r="D385" t="inlineStr">
        <is>
          <t>DALARNAS LÄN</t>
        </is>
      </c>
      <c r="E385" t="inlineStr">
        <is>
          <t>SMEDJEBACKEN</t>
        </is>
      </c>
      <c r="F385" t="inlineStr">
        <is>
          <t>Bergvik skog väst AB</t>
        </is>
      </c>
      <c r="G385" t="n">
        <v>1.9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58422-2023</t>
        </is>
      </c>
      <c r="B386" s="1" t="n">
        <v>45246</v>
      </c>
      <c r="C386" s="1" t="n">
        <v>46186</v>
      </c>
      <c r="D386" t="inlineStr">
        <is>
          <t>DALARNAS LÄN</t>
        </is>
      </c>
      <c r="E386" t="inlineStr">
        <is>
          <t>SMEDJEBACKEN</t>
        </is>
      </c>
      <c r="F386" t="inlineStr">
        <is>
          <t>Bergvik skog väst AB</t>
        </is>
      </c>
      <c r="G386" t="n">
        <v>0.8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21631-2026</t>
        </is>
      </c>
      <c r="B387" s="1" t="n">
        <v>46149.42137731481</v>
      </c>
      <c r="C387" s="1" t="n">
        <v>46186</v>
      </c>
      <c r="D387" t="inlineStr">
        <is>
          <t>DALARNAS LÄN</t>
        </is>
      </c>
      <c r="E387" t="inlineStr">
        <is>
          <t>SMEDJEBACKEN</t>
        </is>
      </c>
      <c r="F387" t="inlineStr">
        <is>
          <t>Sveaskog</t>
        </is>
      </c>
      <c r="G387" t="n">
        <v>4.9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21806-2026</t>
        </is>
      </c>
      <c r="B388" s="1" t="n">
        <v>46150.45085648148</v>
      </c>
      <c r="C388" s="1" t="n">
        <v>46186</v>
      </c>
      <c r="D388" t="inlineStr">
        <is>
          <t>DALARNAS LÄN</t>
        </is>
      </c>
      <c r="E388" t="inlineStr">
        <is>
          <t>SMEDJEBACKEN</t>
        </is>
      </c>
      <c r="G388" t="n">
        <v>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21838-2026</t>
        </is>
      </c>
      <c r="B389" s="1" t="n">
        <v>46150.49825231481</v>
      </c>
      <c r="C389" s="1" t="n">
        <v>46186</v>
      </c>
      <c r="D389" t="inlineStr">
        <is>
          <t>DALARNAS LÄN</t>
        </is>
      </c>
      <c r="E389" t="inlineStr">
        <is>
          <t>SMEDJEBACKEN</t>
        </is>
      </c>
      <c r="F389" t="inlineStr">
        <is>
          <t>Sveaskog</t>
        </is>
      </c>
      <c r="G389" t="n">
        <v>3.7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35814-2025</t>
        </is>
      </c>
      <c r="B390" s="1" t="n">
        <v>45861.43575231481</v>
      </c>
      <c r="C390" s="1" t="n">
        <v>46186</v>
      </c>
      <c r="D390" t="inlineStr">
        <is>
          <t>DALARNAS LÄN</t>
        </is>
      </c>
      <c r="E390" t="inlineStr">
        <is>
          <t>SMEDJEBACKEN</t>
        </is>
      </c>
      <c r="F390" t="inlineStr">
        <is>
          <t>Övriga Aktiebolag</t>
        </is>
      </c>
      <c r="G390" t="n">
        <v>16.7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57151-2022</t>
        </is>
      </c>
      <c r="B391" s="1" t="n">
        <v>44895.57898148148</v>
      </c>
      <c r="C391" s="1" t="n">
        <v>46186</v>
      </c>
      <c r="D391" t="inlineStr">
        <is>
          <t>DALARNAS LÄN</t>
        </is>
      </c>
      <c r="E391" t="inlineStr">
        <is>
          <t>SMEDJEBACKEN</t>
        </is>
      </c>
      <c r="G391" t="n">
        <v>2.3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21840-2026</t>
        </is>
      </c>
      <c r="B392" s="1" t="n">
        <v>46150.50033564815</v>
      </c>
      <c r="C392" s="1" t="n">
        <v>46186</v>
      </c>
      <c r="D392" t="inlineStr">
        <is>
          <t>DALARNAS LÄN</t>
        </is>
      </c>
      <c r="E392" t="inlineStr">
        <is>
          <t>SMEDJEBACKEN</t>
        </is>
      </c>
      <c r="F392" t="inlineStr">
        <is>
          <t>Sveaskog</t>
        </is>
      </c>
      <c r="G392" t="n">
        <v>0.9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21841-2026</t>
        </is>
      </c>
      <c r="B393" s="1" t="n">
        <v>46150.50258101852</v>
      </c>
      <c r="C393" s="1" t="n">
        <v>46186</v>
      </c>
      <c r="D393" t="inlineStr">
        <is>
          <t>DALARNAS LÄN</t>
        </is>
      </c>
      <c r="E393" t="inlineStr">
        <is>
          <t>SMEDJEBACKEN</t>
        </is>
      </c>
      <c r="F393" t="inlineStr">
        <is>
          <t>Sveaskog</t>
        </is>
      </c>
      <c r="G393" t="n">
        <v>3.6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39085-2021</t>
        </is>
      </c>
      <c r="B394" s="1" t="n">
        <v>44412.58629629629</v>
      </c>
      <c r="C394" s="1" t="n">
        <v>46186</v>
      </c>
      <c r="D394" t="inlineStr">
        <is>
          <t>DALARNAS LÄN</t>
        </is>
      </c>
      <c r="E394" t="inlineStr">
        <is>
          <t>SMEDJEBACKEN</t>
        </is>
      </c>
      <c r="G394" t="n">
        <v>5.2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21632-2026</t>
        </is>
      </c>
      <c r="B395" s="1" t="n">
        <v>46149.42222222222</v>
      </c>
      <c r="C395" s="1" t="n">
        <v>46186</v>
      </c>
      <c r="D395" t="inlineStr">
        <is>
          <t>DALARNAS LÄN</t>
        </is>
      </c>
      <c r="E395" t="inlineStr">
        <is>
          <t>SMEDJEBACKEN</t>
        </is>
      </c>
      <c r="F395" t="inlineStr">
        <is>
          <t>Sveaskog</t>
        </is>
      </c>
      <c r="G395" t="n">
        <v>12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35890-2025</t>
        </is>
      </c>
      <c r="B396" s="1" t="n">
        <v>45862.44722222222</v>
      </c>
      <c r="C396" s="1" t="n">
        <v>46186</v>
      </c>
      <c r="D396" t="inlineStr">
        <is>
          <t>DALARNAS LÄN</t>
        </is>
      </c>
      <c r="E396" t="inlineStr">
        <is>
          <t>SMEDJEBACKEN</t>
        </is>
      </c>
      <c r="G396" t="n">
        <v>0.7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28760-2024</t>
        </is>
      </c>
      <c r="B397" s="1" t="n">
        <v>45478</v>
      </c>
      <c r="C397" s="1" t="n">
        <v>46186</v>
      </c>
      <c r="D397" t="inlineStr">
        <is>
          <t>DALARNAS LÄN</t>
        </is>
      </c>
      <c r="E397" t="inlineStr">
        <is>
          <t>SMEDJEBACKEN</t>
        </is>
      </c>
      <c r="F397" t="inlineStr">
        <is>
          <t>Bergvik skog väst AB</t>
        </is>
      </c>
      <c r="G397" t="n">
        <v>11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49535-2024</t>
        </is>
      </c>
      <c r="B398" s="1" t="n">
        <v>45596.42756944444</v>
      </c>
      <c r="C398" s="1" t="n">
        <v>46186</v>
      </c>
      <c r="D398" t="inlineStr">
        <is>
          <t>DALARNAS LÄN</t>
        </is>
      </c>
      <c r="E398" t="inlineStr">
        <is>
          <t>SMEDJEBACKEN</t>
        </is>
      </c>
      <c r="G398" t="n">
        <v>5.1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55650-2021</t>
        </is>
      </c>
      <c r="B399" s="1" t="n">
        <v>44475</v>
      </c>
      <c r="C399" s="1" t="n">
        <v>46186</v>
      </c>
      <c r="D399" t="inlineStr">
        <is>
          <t>DALARNAS LÄN</t>
        </is>
      </c>
      <c r="E399" t="inlineStr">
        <is>
          <t>SMEDJEBACKEN</t>
        </is>
      </c>
      <c r="F399" t="inlineStr">
        <is>
          <t>Bergvik skog väst AB</t>
        </is>
      </c>
      <c r="G399" t="n">
        <v>2.9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57629-2022</t>
        </is>
      </c>
      <c r="B400" s="1" t="n">
        <v>44897</v>
      </c>
      <c r="C400" s="1" t="n">
        <v>46186</v>
      </c>
      <c r="D400" t="inlineStr">
        <is>
          <t>DALARNAS LÄN</t>
        </is>
      </c>
      <c r="E400" t="inlineStr">
        <is>
          <t>SMEDJEBACKEN</t>
        </is>
      </c>
      <c r="F400" t="inlineStr">
        <is>
          <t>Kyrkan</t>
        </is>
      </c>
      <c r="G400" t="n">
        <v>1.6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57390-2022</t>
        </is>
      </c>
      <c r="B401" s="1" t="n">
        <v>44896</v>
      </c>
      <c r="C401" s="1" t="n">
        <v>46186</v>
      </c>
      <c r="D401" t="inlineStr">
        <is>
          <t>DALARNAS LÄN</t>
        </is>
      </c>
      <c r="E401" t="inlineStr">
        <is>
          <t>SMEDJEBACKEN</t>
        </is>
      </c>
      <c r="G401" t="n">
        <v>1.7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25118-2024</t>
        </is>
      </c>
      <c r="B402" s="1" t="n">
        <v>45462</v>
      </c>
      <c r="C402" s="1" t="n">
        <v>46186</v>
      </c>
      <c r="D402" t="inlineStr">
        <is>
          <t>DALARNAS LÄN</t>
        </is>
      </c>
      <c r="E402" t="inlineStr">
        <is>
          <t>SMEDJEBACKEN</t>
        </is>
      </c>
      <c r="G402" t="n">
        <v>1.6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25126-2024</t>
        </is>
      </c>
      <c r="B403" s="1" t="n">
        <v>45462</v>
      </c>
      <c r="C403" s="1" t="n">
        <v>46186</v>
      </c>
      <c r="D403" t="inlineStr">
        <is>
          <t>DALARNAS LÄN</t>
        </is>
      </c>
      <c r="E403" t="inlineStr">
        <is>
          <t>SMEDJEBACKEN</t>
        </is>
      </c>
      <c r="G403" t="n">
        <v>2.6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21996-2026</t>
        </is>
      </c>
      <c r="B404" s="1" t="n">
        <v>46153.34778935185</v>
      </c>
      <c r="C404" s="1" t="n">
        <v>46186</v>
      </c>
      <c r="D404" t="inlineStr">
        <is>
          <t>DALARNAS LÄN</t>
        </is>
      </c>
      <c r="E404" t="inlineStr">
        <is>
          <t>SMEDJEBACKEN</t>
        </is>
      </c>
      <c r="G404" t="n">
        <v>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16881-2026</t>
        </is>
      </c>
      <c r="B405" s="1" t="n">
        <v>46113.60310185186</v>
      </c>
      <c r="C405" s="1" t="n">
        <v>46186</v>
      </c>
      <c r="D405" t="inlineStr">
        <is>
          <t>DALARNAS LÄN</t>
        </is>
      </c>
      <c r="E405" t="inlineStr">
        <is>
          <t>SMEDJEBACKEN</t>
        </is>
      </c>
      <c r="G405" t="n">
        <v>1.9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15321-2025</t>
        </is>
      </c>
      <c r="B406" s="1" t="n">
        <v>45747.32092592592</v>
      </c>
      <c r="C406" s="1" t="n">
        <v>46186</v>
      </c>
      <c r="D406" t="inlineStr">
        <is>
          <t>DALARNAS LÄN</t>
        </is>
      </c>
      <c r="E406" t="inlineStr">
        <is>
          <t>SMEDJEBACKEN</t>
        </is>
      </c>
      <c r="G406" t="n">
        <v>4.2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16826-2026</t>
        </is>
      </c>
      <c r="B407" s="1" t="n">
        <v>46113.51873842593</v>
      </c>
      <c r="C407" s="1" t="n">
        <v>46186</v>
      </c>
      <c r="D407" t="inlineStr">
        <is>
          <t>DALARNAS LÄN</t>
        </is>
      </c>
      <c r="E407" t="inlineStr">
        <is>
          <t>SMEDJEBACKEN</t>
        </is>
      </c>
      <c r="G407" t="n">
        <v>1.1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22627-2026</t>
        </is>
      </c>
      <c r="B408" s="1" t="n">
        <v>46155.6363425926</v>
      </c>
      <c r="C408" s="1" t="n">
        <v>46186</v>
      </c>
      <c r="D408" t="inlineStr">
        <is>
          <t>DALARNAS LÄN</t>
        </is>
      </c>
      <c r="E408" t="inlineStr">
        <is>
          <t>SMEDJEBACKEN</t>
        </is>
      </c>
      <c r="F408" t="inlineStr">
        <is>
          <t>Sveaskog</t>
        </is>
      </c>
      <c r="G408" t="n">
        <v>7.1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36171-2025</t>
        </is>
      </c>
      <c r="B409" s="1" t="n">
        <v>45867.38967592592</v>
      </c>
      <c r="C409" s="1" t="n">
        <v>46186</v>
      </c>
      <c r="D409" t="inlineStr">
        <is>
          <t>DALARNAS LÄN</t>
        </is>
      </c>
      <c r="E409" t="inlineStr">
        <is>
          <t>SMEDJEBACKEN</t>
        </is>
      </c>
      <c r="G409" t="n">
        <v>3.7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31809-2022</t>
        </is>
      </c>
      <c r="B410" s="1" t="n">
        <v>44776</v>
      </c>
      <c r="C410" s="1" t="n">
        <v>46186</v>
      </c>
      <c r="D410" t="inlineStr">
        <is>
          <t>DALARNAS LÄN</t>
        </is>
      </c>
      <c r="E410" t="inlineStr">
        <is>
          <t>SMEDJEBACKEN</t>
        </is>
      </c>
      <c r="F410" t="inlineStr">
        <is>
          <t>Bergvik skog väst AB</t>
        </is>
      </c>
      <c r="G410" t="n">
        <v>5.5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22775-2026</t>
        </is>
      </c>
      <c r="B411" s="1" t="n">
        <v>46157.5634375</v>
      </c>
      <c r="C411" s="1" t="n">
        <v>46186</v>
      </c>
      <c r="D411" t="inlineStr">
        <is>
          <t>DALARNAS LÄN</t>
        </is>
      </c>
      <c r="E411" t="inlineStr">
        <is>
          <t>SMEDJEBACKEN</t>
        </is>
      </c>
      <c r="F411" t="inlineStr">
        <is>
          <t>Sveaskog</t>
        </is>
      </c>
      <c r="G411" t="n">
        <v>0.3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32016-2022</t>
        </is>
      </c>
      <c r="B412" s="1" t="n">
        <v>44778</v>
      </c>
      <c r="C412" s="1" t="n">
        <v>46186</v>
      </c>
      <c r="D412" t="inlineStr">
        <is>
          <t>DALARNAS LÄN</t>
        </is>
      </c>
      <c r="E412" t="inlineStr">
        <is>
          <t>SMEDJEBACKEN</t>
        </is>
      </c>
      <c r="G412" t="n">
        <v>1.1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56393-2024</t>
        </is>
      </c>
      <c r="B413" s="1" t="n">
        <v>45625</v>
      </c>
      <c r="C413" s="1" t="n">
        <v>46186</v>
      </c>
      <c r="D413" t="inlineStr">
        <is>
          <t>DALARNAS LÄN</t>
        </is>
      </c>
      <c r="E413" t="inlineStr">
        <is>
          <t>SMEDJEBACKEN</t>
        </is>
      </c>
      <c r="F413" t="inlineStr">
        <is>
          <t>Sveaskog</t>
        </is>
      </c>
      <c r="G413" t="n">
        <v>1.1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34374-2022</t>
        </is>
      </c>
      <c r="B414" s="1" t="n">
        <v>44792.48170138889</v>
      </c>
      <c r="C414" s="1" t="n">
        <v>46186</v>
      </c>
      <c r="D414" t="inlineStr">
        <is>
          <t>DALARNAS LÄN</t>
        </is>
      </c>
      <c r="E414" t="inlineStr">
        <is>
          <t>SMEDJEBACKEN</t>
        </is>
      </c>
      <c r="F414" t="inlineStr">
        <is>
          <t>Sveaskog</t>
        </is>
      </c>
      <c r="G414" t="n">
        <v>4.9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33936-2024</t>
        </is>
      </c>
      <c r="B415" s="1" t="n">
        <v>45522</v>
      </c>
      <c r="C415" s="1" t="n">
        <v>46186</v>
      </c>
      <c r="D415" t="inlineStr">
        <is>
          <t>DALARNAS LÄN</t>
        </is>
      </c>
      <c r="E415" t="inlineStr">
        <is>
          <t>SMEDJEBACKEN</t>
        </is>
      </c>
      <c r="F415" t="inlineStr">
        <is>
          <t>Bergvik skog väst AB</t>
        </is>
      </c>
      <c r="G415" t="n">
        <v>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22763-2026</t>
        </is>
      </c>
      <c r="B416" s="1" t="n">
        <v>46157.48548611111</v>
      </c>
      <c r="C416" s="1" t="n">
        <v>46186</v>
      </c>
      <c r="D416" t="inlineStr">
        <is>
          <t>DALARNAS LÄN</t>
        </is>
      </c>
      <c r="E416" t="inlineStr">
        <is>
          <t>SMEDJEBACKEN</t>
        </is>
      </c>
      <c r="G416" t="n">
        <v>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55811-2022</t>
        </is>
      </c>
      <c r="B417" s="1" t="n">
        <v>44888</v>
      </c>
      <c r="C417" s="1" t="n">
        <v>46186</v>
      </c>
      <c r="D417" t="inlineStr">
        <is>
          <t>DALARNAS LÄN</t>
        </is>
      </c>
      <c r="E417" t="inlineStr">
        <is>
          <t>SMEDJEBACKEN</t>
        </is>
      </c>
      <c r="G417" t="n">
        <v>1.3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17335-2026</t>
        </is>
      </c>
      <c r="B418" s="1" t="n">
        <v>46119.63032407407</v>
      </c>
      <c r="C418" s="1" t="n">
        <v>46186</v>
      </c>
      <c r="D418" t="inlineStr">
        <is>
          <t>DALARNAS LÄN</t>
        </is>
      </c>
      <c r="E418" t="inlineStr">
        <is>
          <t>SMEDJEBACKEN</t>
        </is>
      </c>
      <c r="F418" t="inlineStr">
        <is>
          <t>Sveaskog</t>
        </is>
      </c>
      <c r="G418" t="n">
        <v>7.7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17236-2026</t>
        </is>
      </c>
      <c r="B419" s="1" t="n">
        <v>46119</v>
      </c>
      <c r="C419" s="1" t="n">
        <v>46186</v>
      </c>
      <c r="D419" t="inlineStr">
        <is>
          <t>DALARNAS LÄN</t>
        </is>
      </c>
      <c r="E419" t="inlineStr">
        <is>
          <t>SMEDJEBACKEN</t>
        </is>
      </c>
      <c r="G419" t="n">
        <v>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17337-2026</t>
        </is>
      </c>
      <c r="B420" s="1" t="n">
        <v>46119.6316087963</v>
      </c>
      <c r="C420" s="1" t="n">
        <v>46186</v>
      </c>
      <c r="D420" t="inlineStr">
        <is>
          <t>DALARNAS LÄN</t>
        </is>
      </c>
      <c r="E420" t="inlineStr">
        <is>
          <t>SMEDJEBACKEN</t>
        </is>
      </c>
      <c r="F420" t="inlineStr">
        <is>
          <t>Sveaskog</t>
        </is>
      </c>
      <c r="G420" t="n">
        <v>7.4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23374-2026</t>
        </is>
      </c>
      <c r="B421" s="1" t="n">
        <v>46162.64108796296</v>
      </c>
      <c r="C421" s="1" t="n">
        <v>46186</v>
      </c>
      <c r="D421" t="inlineStr">
        <is>
          <t>DALARNAS LÄN</t>
        </is>
      </c>
      <c r="E421" t="inlineStr">
        <is>
          <t>SMEDJEBACKEN</t>
        </is>
      </c>
      <c r="F421" t="inlineStr">
        <is>
          <t>Sveaskog</t>
        </is>
      </c>
      <c r="G421" t="n">
        <v>1.4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16155-2022</t>
        </is>
      </c>
      <c r="B422" s="1" t="n">
        <v>44666</v>
      </c>
      <c r="C422" s="1" t="n">
        <v>46186</v>
      </c>
      <c r="D422" t="inlineStr">
        <is>
          <t>DALARNAS LÄN</t>
        </is>
      </c>
      <c r="E422" t="inlineStr">
        <is>
          <t>SMEDJEBACKEN</t>
        </is>
      </c>
      <c r="G422" t="n">
        <v>0.9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23370-2026</t>
        </is>
      </c>
      <c r="B423" s="1" t="n">
        <v>46162.6374537037</v>
      </c>
      <c r="C423" s="1" t="n">
        <v>46186</v>
      </c>
      <c r="D423" t="inlineStr">
        <is>
          <t>DALARNAS LÄN</t>
        </is>
      </c>
      <c r="E423" t="inlineStr">
        <is>
          <t>SMEDJEBACKEN</t>
        </is>
      </c>
      <c r="F423" t="inlineStr">
        <is>
          <t>Sveaskog</t>
        </is>
      </c>
      <c r="G423" t="n">
        <v>2.3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43421-2024</t>
        </is>
      </c>
      <c r="B424" s="1" t="n">
        <v>45568.63071759259</v>
      </c>
      <c r="C424" s="1" t="n">
        <v>46186</v>
      </c>
      <c r="D424" t="inlineStr">
        <is>
          <t>DALARNAS LÄN</t>
        </is>
      </c>
      <c r="E424" t="inlineStr">
        <is>
          <t>SMEDJEBACKEN</t>
        </is>
      </c>
      <c r="F424" t="inlineStr">
        <is>
          <t>Sveaskog</t>
        </is>
      </c>
      <c r="G424" t="n">
        <v>5.2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23372-2026</t>
        </is>
      </c>
      <c r="B425" s="1" t="n">
        <v>46162.63802083334</v>
      </c>
      <c r="C425" s="1" t="n">
        <v>46186</v>
      </c>
      <c r="D425" t="inlineStr">
        <is>
          <t>DALARNAS LÄN</t>
        </is>
      </c>
      <c r="E425" t="inlineStr">
        <is>
          <t>SMEDJEBACKEN</t>
        </is>
      </c>
      <c r="F425" t="inlineStr">
        <is>
          <t>Sveaskog</t>
        </is>
      </c>
      <c r="G425" t="n">
        <v>1.9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45152-2024</t>
        </is>
      </c>
      <c r="B426" s="1" t="n">
        <v>45575</v>
      </c>
      <c r="C426" s="1" t="n">
        <v>46186</v>
      </c>
      <c r="D426" t="inlineStr">
        <is>
          <t>DALARNAS LÄN</t>
        </is>
      </c>
      <c r="E426" t="inlineStr">
        <is>
          <t>SMEDJEBACKEN</t>
        </is>
      </c>
      <c r="F426" t="inlineStr">
        <is>
          <t>Sveaskog</t>
        </is>
      </c>
      <c r="G426" t="n">
        <v>2.7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29449-2023</t>
        </is>
      </c>
      <c r="B427" s="1" t="n">
        <v>45106.50915509259</v>
      </c>
      <c r="C427" s="1" t="n">
        <v>46186</v>
      </c>
      <c r="D427" t="inlineStr">
        <is>
          <t>DALARNAS LÄN</t>
        </is>
      </c>
      <c r="E427" t="inlineStr">
        <is>
          <t>SMEDJEBACKEN</t>
        </is>
      </c>
      <c r="F427" t="inlineStr">
        <is>
          <t>Sveaskog</t>
        </is>
      </c>
      <c r="G427" t="n">
        <v>1.1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17831-2026</t>
        </is>
      </c>
      <c r="B428" s="1" t="n">
        <v>46122.4503587963</v>
      </c>
      <c r="C428" s="1" t="n">
        <v>46186</v>
      </c>
      <c r="D428" t="inlineStr">
        <is>
          <t>DALARNAS LÄN</t>
        </is>
      </c>
      <c r="E428" t="inlineStr">
        <is>
          <t>SMEDJEBACKEN</t>
        </is>
      </c>
      <c r="F428" t="inlineStr">
        <is>
          <t>Sveaskog</t>
        </is>
      </c>
      <c r="G428" t="n">
        <v>3.4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17832-2026</t>
        </is>
      </c>
      <c r="B429" s="1" t="n">
        <v>46122.45150462963</v>
      </c>
      <c r="C429" s="1" t="n">
        <v>46186</v>
      </c>
      <c r="D429" t="inlineStr">
        <is>
          <t>DALARNAS LÄN</t>
        </is>
      </c>
      <c r="E429" t="inlineStr">
        <is>
          <t>SMEDJEBACKEN</t>
        </is>
      </c>
      <c r="F429" t="inlineStr">
        <is>
          <t>Sveaskog</t>
        </is>
      </c>
      <c r="G429" t="n">
        <v>5.8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18906-2025</t>
        </is>
      </c>
      <c r="B430" s="1" t="n">
        <v>45764.46260416666</v>
      </c>
      <c r="C430" s="1" t="n">
        <v>46186</v>
      </c>
      <c r="D430" t="inlineStr">
        <is>
          <t>DALARNAS LÄN</t>
        </is>
      </c>
      <c r="E430" t="inlineStr">
        <is>
          <t>SMEDJEBACKEN</t>
        </is>
      </c>
      <c r="G430" t="n">
        <v>6.4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19179-2024</t>
        </is>
      </c>
      <c r="B431" s="1" t="n">
        <v>45428.47834490741</v>
      </c>
      <c r="C431" s="1" t="n">
        <v>46186</v>
      </c>
      <c r="D431" t="inlineStr">
        <is>
          <t>DALARNAS LÄN</t>
        </is>
      </c>
      <c r="E431" t="inlineStr">
        <is>
          <t>SMEDJEBACKEN</t>
        </is>
      </c>
      <c r="G431" t="n">
        <v>3.3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23676-2026</t>
        </is>
      </c>
      <c r="B432" s="1" t="n">
        <v>46163</v>
      </c>
      <c r="C432" s="1" t="n">
        <v>46186</v>
      </c>
      <c r="D432" t="inlineStr">
        <is>
          <t>DALARNAS LÄN</t>
        </is>
      </c>
      <c r="E432" t="inlineStr">
        <is>
          <t>SMEDJEBACKEN</t>
        </is>
      </c>
      <c r="G432" t="n">
        <v>1.6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17869-2026</t>
        </is>
      </c>
      <c r="B433" s="1" t="n">
        <v>46122.52039351852</v>
      </c>
      <c r="C433" s="1" t="n">
        <v>46186</v>
      </c>
      <c r="D433" t="inlineStr">
        <is>
          <t>DALARNAS LÄN</t>
        </is>
      </c>
      <c r="E433" t="inlineStr">
        <is>
          <t>SMEDJEBACKEN</t>
        </is>
      </c>
      <c r="F433" t="inlineStr">
        <is>
          <t>Sveaskog</t>
        </is>
      </c>
      <c r="G433" t="n">
        <v>5.2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17846-2026</t>
        </is>
      </c>
      <c r="B434" s="1" t="n">
        <v>46122.47203703703</v>
      </c>
      <c r="C434" s="1" t="n">
        <v>46186</v>
      </c>
      <c r="D434" t="inlineStr">
        <is>
          <t>DALARNAS LÄN</t>
        </is>
      </c>
      <c r="E434" t="inlineStr">
        <is>
          <t>SMEDJEBACKEN</t>
        </is>
      </c>
      <c r="F434" t="inlineStr">
        <is>
          <t>Sveaskog</t>
        </is>
      </c>
      <c r="G434" t="n">
        <v>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45478-2022</t>
        </is>
      </c>
      <c r="B435" s="1" t="n">
        <v>44845</v>
      </c>
      <c r="C435" s="1" t="n">
        <v>46186</v>
      </c>
      <c r="D435" t="inlineStr">
        <is>
          <t>DALARNAS LÄN</t>
        </is>
      </c>
      <c r="E435" t="inlineStr">
        <is>
          <t>SMEDJEBACKEN</t>
        </is>
      </c>
      <c r="G435" t="n">
        <v>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18908-2024</t>
        </is>
      </c>
      <c r="B436" s="1" t="n">
        <v>45427.36732638889</v>
      </c>
      <c r="C436" s="1" t="n">
        <v>46186</v>
      </c>
      <c r="D436" t="inlineStr">
        <is>
          <t>DALARNAS LÄN</t>
        </is>
      </c>
      <c r="E436" t="inlineStr">
        <is>
          <t>SMEDJEBACKEN</t>
        </is>
      </c>
      <c r="F436" t="inlineStr">
        <is>
          <t>Sveaskog</t>
        </is>
      </c>
      <c r="G436" t="n">
        <v>1.4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23672-2026</t>
        </is>
      </c>
      <c r="B437" s="1" t="n">
        <v>46163</v>
      </c>
      <c r="C437" s="1" t="n">
        <v>46186</v>
      </c>
      <c r="D437" t="inlineStr">
        <is>
          <t>DALARNAS LÄN</t>
        </is>
      </c>
      <c r="E437" t="inlineStr">
        <is>
          <t>SMEDJEBACKEN</t>
        </is>
      </c>
      <c r="G437" t="n">
        <v>10.6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17868-2026</t>
        </is>
      </c>
      <c r="B438" s="1" t="n">
        <v>46122.51931712963</v>
      </c>
      <c r="C438" s="1" t="n">
        <v>46186</v>
      </c>
      <c r="D438" t="inlineStr">
        <is>
          <t>DALARNAS LÄN</t>
        </is>
      </c>
      <c r="E438" t="inlineStr">
        <is>
          <t>SMEDJEBACKEN</t>
        </is>
      </c>
      <c r="F438" t="inlineStr">
        <is>
          <t>Sveaskog</t>
        </is>
      </c>
      <c r="G438" t="n">
        <v>1.3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18419-2022</t>
        </is>
      </c>
      <c r="B439" s="1" t="n">
        <v>44686</v>
      </c>
      <c r="C439" s="1" t="n">
        <v>46186</v>
      </c>
      <c r="D439" t="inlineStr">
        <is>
          <t>DALARNAS LÄN</t>
        </is>
      </c>
      <c r="E439" t="inlineStr">
        <is>
          <t>SMEDJEBACKEN</t>
        </is>
      </c>
      <c r="G439" t="n">
        <v>0.7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18093-2026</t>
        </is>
      </c>
      <c r="B440" s="1" t="n">
        <v>46125.55652777778</v>
      </c>
      <c r="C440" s="1" t="n">
        <v>46186</v>
      </c>
      <c r="D440" t="inlineStr">
        <is>
          <t>DALARNAS LÄN</t>
        </is>
      </c>
      <c r="E440" t="inlineStr">
        <is>
          <t>SMEDJEBACKEN</t>
        </is>
      </c>
      <c r="G440" t="n">
        <v>3.7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62380-2021</t>
        </is>
      </c>
      <c r="B441" s="1" t="n">
        <v>44503</v>
      </c>
      <c r="C441" s="1" t="n">
        <v>46186</v>
      </c>
      <c r="D441" t="inlineStr">
        <is>
          <t>DALARNAS LÄN</t>
        </is>
      </c>
      <c r="E441" t="inlineStr">
        <is>
          <t>SMEDJEBACKEN</t>
        </is>
      </c>
      <c r="G441" t="n">
        <v>10.4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18003-2026</t>
        </is>
      </c>
      <c r="B442" s="1" t="n">
        <v>46125.28209490741</v>
      </c>
      <c r="C442" s="1" t="n">
        <v>46186</v>
      </c>
      <c r="D442" t="inlineStr">
        <is>
          <t>DALARNAS LÄN</t>
        </is>
      </c>
      <c r="E442" t="inlineStr">
        <is>
          <t>SMEDJEBACKEN</t>
        </is>
      </c>
      <c r="G442" t="n">
        <v>0.8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24206-2026</t>
        </is>
      </c>
      <c r="B443" s="1" t="n">
        <v>46168.62393518518</v>
      </c>
      <c r="C443" s="1" t="n">
        <v>46186</v>
      </c>
      <c r="D443" t="inlineStr">
        <is>
          <t>DALARNAS LÄN</t>
        </is>
      </c>
      <c r="E443" t="inlineStr">
        <is>
          <t>SMEDJEBACKEN</t>
        </is>
      </c>
      <c r="F443" t="inlineStr">
        <is>
          <t>Övriga Aktiebolag</t>
        </is>
      </c>
      <c r="G443" t="n">
        <v>1.1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24208-2026</t>
        </is>
      </c>
      <c r="B444" s="1" t="n">
        <v>46168.62836805556</v>
      </c>
      <c r="C444" s="1" t="n">
        <v>46186</v>
      </c>
      <c r="D444" t="inlineStr">
        <is>
          <t>DALARNAS LÄN</t>
        </is>
      </c>
      <c r="E444" t="inlineStr">
        <is>
          <t>SMEDJEBACKEN</t>
        </is>
      </c>
      <c r="F444" t="inlineStr">
        <is>
          <t>Övriga Aktiebolag</t>
        </is>
      </c>
      <c r="G444" t="n">
        <v>0.9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48530-2023</t>
        </is>
      </c>
      <c r="B445" s="1" t="n">
        <v>45208.3728587963</v>
      </c>
      <c r="C445" s="1" t="n">
        <v>46186</v>
      </c>
      <c r="D445" t="inlineStr">
        <is>
          <t>DALARNAS LÄN</t>
        </is>
      </c>
      <c r="E445" t="inlineStr">
        <is>
          <t>SMEDJEBACKEN</t>
        </is>
      </c>
      <c r="G445" t="n">
        <v>2.2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6722-2023</t>
        </is>
      </c>
      <c r="B446" s="1" t="n">
        <v>44966.71741898148</v>
      </c>
      <c r="C446" s="1" t="n">
        <v>46186</v>
      </c>
      <c r="D446" t="inlineStr">
        <is>
          <t>DALARNAS LÄN</t>
        </is>
      </c>
      <c r="E446" t="inlineStr">
        <is>
          <t>SMEDJEBACKEN</t>
        </is>
      </c>
      <c r="G446" t="n">
        <v>2.3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52780-2023</t>
        </is>
      </c>
      <c r="B447" s="1" t="n">
        <v>45226.34015046297</v>
      </c>
      <c r="C447" s="1" t="n">
        <v>46186</v>
      </c>
      <c r="D447" t="inlineStr">
        <is>
          <t>DALARNAS LÄN</t>
        </is>
      </c>
      <c r="E447" t="inlineStr">
        <is>
          <t>SMEDJEBACKEN</t>
        </is>
      </c>
      <c r="F447" t="inlineStr">
        <is>
          <t>Sveaskog</t>
        </is>
      </c>
      <c r="G447" t="n">
        <v>1.2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18265-2026</t>
        </is>
      </c>
      <c r="B448" s="1" t="n">
        <v>46126.37623842592</v>
      </c>
      <c r="C448" s="1" t="n">
        <v>46186</v>
      </c>
      <c r="D448" t="inlineStr">
        <is>
          <t>DALARNAS LÄN</t>
        </is>
      </c>
      <c r="E448" t="inlineStr">
        <is>
          <t>SMEDJEBACKEN</t>
        </is>
      </c>
      <c r="G448" t="n">
        <v>2.5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23677-2026</t>
        </is>
      </c>
      <c r="B449" s="1" t="n">
        <v>46163</v>
      </c>
      <c r="C449" s="1" t="n">
        <v>46186</v>
      </c>
      <c r="D449" t="inlineStr">
        <is>
          <t>DALARNAS LÄN</t>
        </is>
      </c>
      <c r="E449" t="inlineStr">
        <is>
          <t>SMEDJEBACKEN</t>
        </is>
      </c>
      <c r="G449" t="n">
        <v>2.7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60421-2021</t>
        </is>
      </c>
      <c r="B450" s="1" t="n">
        <v>44496.40722222222</v>
      </c>
      <c r="C450" s="1" t="n">
        <v>46186</v>
      </c>
      <c r="D450" t="inlineStr">
        <is>
          <t>DALARNAS LÄN</t>
        </is>
      </c>
      <c r="E450" t="inlineStr">
        <is>
          <t>SMEDJEBACKEN</t>
        </is>
      </c>
      <c r="F450" t="inlineStr">
        <is>
          <t>Sveaskog</t>
        </is>
      </c>
      <c r="G450" t="n">
        <v>1.3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18119-2026</t>
        </is>
      </c>
      <c r="B451" s="1" t="n">
        <v>46125.57739583333</v>
      </c>
      <c r="C451" s="1" t="n">
        <v>46186</v>
      </c>
      <c r="D451" t="inlineStr">
        <is>
          <t>DALARNAS LÄN</t>
        </is>
      </c>
      <c r="E451" t="inlineStr">
        <is>
          <t>SMEDJEBACKEN</t>
        </is>
      </c>
      <c r="G451" t="n">
        <v>2.9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34673-2023</t>
        </is>
      </c>
      <c r="B452" s="1" t="n">
        <v>45140.84627314815</v>
      </c>
      <c r="C452" s="1" t="n">
        <v>46186</v>
      </c>
      <c r="D452" t="inlineStr">
        <is>
          <t>DALARNAS LÄN</t>
        </is>
      </c>
      <c r="E452" t="inlineStr">
        <is>
          <t>SMEDJEBACKEN</t>
        </is>
      </c>
      <c r="G452" t="n">
        <v>10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24229-2026</t>
        </is>
      </c>
      <c r="B453" s="1" t="n">
        <v>46168.65678240741</v>
      </c>
      <c r="C453" s="1" t="n">
        <v>46186</v>
      </c>
      <c r="D453" t="inlineStr">
        <is>
          <t>DALARNAS LÄN</t>
        </is>
      </c>
      <c r="E453" t="inlineStr">
        <is>
          <t>SMEDJEBACKEN</t>
        </is>
      </c>
      <c r="F453" t="inlineStr">
        <is>
          <t>Sveaskog</t>
        </is>
      </c>
      <c r="G453" t="n">
        <v>6.5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16395-2025</t>
        </is>
      </c>
      <c r="B454" s="1" t="n">
        <v>45751.44054398148</v>
      </c>
      <c r="C454" s="1" t="n">
        <v>46186</v>
      </c>
      <c r="D454" t="inlineStr">
        <is>
          <t>DALARNAS LÄN</t>
        </is>
      </c>
      <c r="E454" t="inlineStr">
        <is>
          <t>SMEDJEBACKEN</t>
        </is>
      </c>
      <c r="G454" t="n">
        <v>1.1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6464-2024</t>
        </is>
      </c>
      <c r="B455" s="1" t="n">
        <v>45338</v>
      </c>
      <c r="C455" s="1" t="n">
        <v>46186</v>
      </c>
      <c r="D455" t="inlineStr">
        <is>
          <t>DALARNAS LÄN</t>
        </is>
      </c>
      <c r="E455" t="inlineStr">
        <is>
          <t>SMEDJEBACKEN</t>
        </is>
      </c>
      <c r="G455" t="n">
        <v>2.9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18877-2026</t>
        </is>
      </c>
      <c r="B456" s="1" t="n">
        <v>46129.42269675926</v>
      </c>
      <c r="C456" s="1" t="n">
        <v>46186</v>
      </c>
      <c r="D456" t="inlineStr">
        <is>
          <t>DALARNAS LÄN</t>
        </is>
      </c>
      <c r="E456" t="inlineStr">
        <is>
          <t>SMEDJEBACKEN</t>
        </is>
      </c>
      <c r="F456" t="inlineStr">
        <is>
          <t>Sveaskog</t>
        </is>
      </c>
      <c r="G456" t="n">
        <v>3.2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18590-2026</t>
        </is>
      </c>
      <c r="B457" s="1" t="n">
        <v>46127.64072916667</v>
      </c>
      <c r="C457" s="1" t="n">
        <v>46186</v>
      </c>
      <c r="D457" t="inlineStr">
        <is>
          <t>DALARNAS LÄN</t>
        </is>
      </c>
      <c r="E457" t="inlineStr">
        <is>
          <t>SMEDJEBACKEN</t>
        </is>
      </c>
      <c r="F457" t="inlineStr">
        <is>
          <t>Sveaskog</t>
        </is>
      </c>
      <c r="G457" t="n">
        <v>4.3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18591-2026</t>
        </is>
      </c>
      <c r="B458" s="1" t="n">
        <v>46127.64181712963</v>
      </c>
      <c r="C458" s="1" t="n">
        <v>46186</v>
      </c>
      <c r="D458" t="inlineStr">
        <is>
          <t>DALARNAS LÄN</t>
        </is>
      </c>
      <c r="E458" t="inlineStr">
        <is>
          <t>SMEDJEBACKEN</t>
        </is>
      </c>
      <c r="F458" t="inlineStr">
        <is>
          <t>Sveaskog</t>
        </is>
      </c>
      <c r="G458" t="n">
        <v>2.1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18294-2023</t>
        </is>
      </c>
      <c r="B459" s="1" t="n">
        <v>45041</v>
      </c>
      <c r="C459" s="1" t="n">
        <v>46186</v>
      </c>
      <c r="D459" t="inlineStr">
        <is>
          <t>DALARNAS LÄN</t>
        </is>
      </c>
      <c r="E459" t="inlineStr">
        <is>
          <t>SMEDJEBACKEN</t>
        </is>
      </c>
      <c r="G459" t="n">
        <v>0.7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18878-2026</t>
        </is>
      </c>
      <c r="B460" s="1" t="n">
        <v>46129.42427083333</v>
      </c>
      <c r="C460" s="1" t="n">
        <v>46186</v>
      </c>
      <c r="D460" t="inlineStr">
        <is>
          <t>DALARNAS LÄN</t>
        </is>
      </c>
      <c r="E460" t="inlineStr">
        <is>
          <t>SMEDJEBACKEN</t>
        </is>
      </c>
      <c r="F460" t="inlineStr">
        <is>
          <t>Sveaskog</t>
        </is>
      </c>
      <c r="G460" t="n">
        <v>8.6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42418-2021</t>
        </is>
      </c>
      <c r="B461" s="1" t="n">
        <v>44427</v>
      </c>
      <c r="C461" s="1" t="n">
        <v>46186</v>
      </c>
      <c r="D461" t="inlineStr">
        <is>
          <t>DALARNAS LÄN</t>
        </is>
      </c>
      <c r="E461" t="inlineStr">
        <is>
          <t>SMEDJEBACKEN</t>
        </is>
      </c>
      <c r="F461" t="inlineStr">
        <is>
          <t>Bergvik skog väst AB</t>
        </is>
      </c>
      <c r="G461" t="n">
        <v>2.8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24902-2026</t>
        </is>
      </c>
      <c r="B462" s="1" t="n">
        <v>46174.48002314815</v>
      </c>
      <c r="C462" s="1" t="n">
        <v>46186</v>
      </c>
      <c r="D462" t="inlineStr">
        <is>
          <t>DALARNAS LÄN</t>
        </is>
      </c>
      <c r="E462" t="inlineStr">
        <is>
          <t>SMEDJEBACKEN</t>
        </is>
      </c>
      <c r="F462" t="inlineStr">
        <is>
          <t>Sveaskog</t>
        </is>
      </c>
      <c r="G462" t="n">
        <v>7.5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24946-2026</t>
        </is>
      </c>
      <c r="B463" s="1" t="n">
        <v>46174.55328703704</v>
      </c>
      <c r="C463" s="1" t="n">
        <v>46186</v>
      </c>
      <c r="D463" t="inlineStr">
        <is>
          <t>DALARNAS LÄN</t>
        </is>
      </c>
      <c r="E463" t="inlineStr">
        <is>
          <t>SMEDJEBACKEN</t>
        </is>
      </c>
      <c r="F463" t="inlineStr">
        <is>
          <t>Sveaskog</t>
        </is>
      </c>
      <c r="G463" t="n">
        <v>3.7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47664-2024</t>
        </is>
      </c>
      <c r="B464" s="1" t="n">
        <v>45588.38876157408</v>
      </c>
      <c r="C464" s="1" t="n">
        <v>46186</v>
      </c>
      <c r="D464" t="inlineStr">
        <is>
          <t>DALARNAS LÄN</t>
        </is>
      </c>
      <c r="E464" t="inlineStr">
        <is>
          <t>SMEDJEBACKEN</t>
        </is>
      </c>
      <c r="F464" t="inlineStr">
        <is>
          <t>Sveaskog</t>
        </is>
      </c>
      <c r="G464" t="n">
        <v>0.6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40644-2022</t>
        </is>
      </c>
      <c r="B465" s="1" t="n">
        <v>44824</v>
      </c>
      <c r="C465" s="1" t="n">
        <v>46186</v>
      </c>
      <c r="D465" t="inlineStr">
        <is>
          <t>DALARNAS LÄN</t>
        </is>
      </c>
      <c r="E465" t="inlineStr">
        <is>
          <t>SMEDJEBACKEN</t>
        </is>
      </c>
      <c r="F465" t="inlineStr">
        <is>
          <t>Sveaskog</t>
        </is>
      </c>
      <c r="G465" t="n">
        <v>18.7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31326-2022</t>
        </is>
      </c>
      <c r="B466" s="1" t="n">
        <v>44774</v>
      </c>
      <c r="C466" s="1" t="n">
        <v>46186</v>
      </c>
      <c r="D466" t="inlineStr">
        <is>
          <t>DALARNAS LÄN</t>
        </is>
      </c>
      <c r="E466" t="inlineStr">
        <is>
          <t>SMEDJEBACKEN</t>
        </is>
      </c>
      <c r="G466" t="n">
        <v>1.1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17472-2023</t>
        </is>
      </c>
      <c r="B467" s="1" t="n">
        <v>45034</v>
      </c>
      <c r="C467" s="1" t="n">
        <v>46186</v>
      </c>
      <c r="D467" t="inlineStr">
        <is>
          <t>DALARNAS LÄN</t>
        </is>
      </c>
      <c r="E467" t="inlineStr">
        <is>
          <t>SMEDJEBACKEN</t>
        </is>
      </c>
      <c r="G467" t="n">
        <v>1.1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10340-2022</t>
        </is>
      </c>
      <c r="B468" s="1" t="n">
        <v>44623</v>
      </c>
      <c r="C468" s="1" t="n">
        <v>46186</v>
      </c>
      <c r="D468" t="inlineStr">
        <is>
          <t>DALARNAS LÄN</t>
        </is>
      </c>
      <c r="E468" t="inlineStr">
        <is>
          <t>SMEDJEBACKEN</t>
        </is>
      </c>
      <c r="G468" t="n">
        <v>2.5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19469-2026</t>
        </is>
      </c>
      <c r="B469" s="1" t="n">
        <v>46130</v>
      </c>
      <c r="C469" s="1" t="n">
        <v>46186</v>
      </c>
      <c r="D469" t="inlineStr">
        <is>
          <t>DALARNAS LÄN</t>
        </is>
      </c>
      <c r="E469" t="inlineStr">
        <is>
          <t>SMEDJEBACKEN</t>
        </is>
      </c>
      <c r="F469" t="inlineStr">
        <is>
          <t>Bergvik skog väst AB</t>
        </is>
      </c>
      <c r="G469" t="n">
        <v>3.6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26439-2024</t>
        </is>
      </c>
      <c r="B470" s="1" t="n">
        <v>45469.49113425926</v>
      </c>
      <c r="C470" s="1" t="n">
        <v>46186</v>
      </c>
      <c r="D470" t="inlineStr">
        <is>
          <t>DALARNAS LÄN</t>
        </is>
      </c>
      <c r="E470" t="inlineStr">
        <is>
          <t>SMEDJEBACKEN</t>
        </is>
      </c>
      <c r="F470" t="inlineStr">
        <is>
          <t>Bergvik skog väst AB</t>
        </is>
      </c>
      <c r="G470" t="n">
        <v>3.5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24908-2026</t>
        </is>
      </c>
      <c r="B471" s="1" t="n">
        <v>46174.48575231482</v>
      </c>
      <c r="C471" s="1" t="n">
        <v>46186</v>
      </c>
      <c r="D471" t="inlineStr">
        <is>
          <t>DALARNAS LÄN</t>
        </is>
      </c>
      <c r="E471" t="inlineStr">
        <is>
          <t>SMEDJEBACKEN</t>
        </is>
      </c>
      <c r="F471" t="inlineStr">
        <is>
          <t>Sveaskog</t>
        </is>
      </c>
      <c r="G471" t="n">
        <v>5.3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24905-2026</t>
        </is>
      </c>
      <c r="B472" s="1" t="n">
        <v>46174.48328703704</v>
      </c>
      <c r="C472" s="1" t="n">
        <v>46186</v>
      </c>
      <c r="D472" t="inlineStr">
        <is>
          <t>DALARNAS LÄN</t>
        </is>
      </c>
      <c r="E472" t="inlineStr">
        <is>
          <t>SMEDJEBACKEN</t>
        </is>
      </c>
      <c r="F472" t="inlineStr">
        <is>
          <t>Sveaskog</t>
        </is>
      </c>
      <c r="G472" t="n">
        <v>2.2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25065-2026</t>
        </is>
      </c>
      <c r="B473" s="1" t="n">
        <v>46171</v>
      </c>
      <c r="C473" s="1" t="n">
        <v>46186</v>
      </c>
      <c r="D473" t="inlineStr">
        <is>
          <t>DALARNAS LÄN</t>
        </is>
      </c>
      <c r="E473" t="inlineStr">
        <is>
          <t>SMEDJEBACKEN</t>
        </is>
      </c>
      <c r="F473" t="inlineStr">
        <is>
          <t>Bergvik skog väst AB</t>
        </is>
      </c>
      <c r="G473" t="n">
        <v>0.5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24872-2026</t>
        </is>
      </c>
      <c r="B474" s="1" t="n">
        <v>46174.42881944445</v>
      </c>
      <c r="C474" s="1" t="n">
        <v>46186</v>
      </c>
      <c r="D474" t="inlineStr">
        <is>
          <t>DALARNAS LÄN</t>
        </is>
      </c>
      <c r="E474" t="inlineStr">
        <is>
          <t>SMEDJEBACKEN</t>
        </is>
      </c>
      <c r="F474" t="inlineStr">
        <is>
          <t>Sveaskog</t>
        </is>
      </c>
      <c r="G474" t="n">
        <v>7.4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20019-2024</t>
        </is>
      </c>
      <c r="B475" s="1" t="n">
        <v>45433.99373842592</v>
      </c>
      <c r="C475" s="1" t="n">
        <v>46186</v>
      </c>
      <c r="D475" t="inlineStr">
        <is>
          <t>DALARNAS LÄN</t>
        </is>
      </c>
      <c r="E475" t="inlineStr">
        <is>
          <t>SMEDJEBACKEN</t>
        </is>
      </c>
      <c r="F475" t="inlineStr">
        <is>
          <t>Övriga Aktiebolag</t>
        </is>
      </c>
      <c r="G475" t="n">
        <v>3.3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24906-2026</t>
        </is>
      </c>
      <c r="B476" s="1" t="n">
        <v>46174.48458333333</v>
      </c>
      <c r="C476" s="1" t="n">
        <v>46186</v>
      </c>
      <c r="D476" t="inlineStr">
        <is>
          <t>DALARNAS LÄN</t>
        </is>
      </c>
      <c r="E476" t="inlineStr">
        <is>
          <t>SMEDJEBACKEN</t>
        </is>
      </c>
      <c r="F476" t="inlineStr">
        <is>
          <t>Sveaskog</t>
        </is>
      </c>
      <c r="G476" t="n">
        <v>6.8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16598-2024</t>
        </is>
      </c>
      <c r="B477" s="1" t="n">
        <v>45408.52369212963</v>
      </c>
      <c r="C477" s="1" t="n">
        <v>46186</v>
      </c>
      <c r="D477" t="inlineStr">
        <is>
          <t>DALARNAS LÄN</t>
        </is>
      </c>
      <c r="E477" t="inlineStr">
        <is>
          <t>SMEDJEBACKEN</t>
        </is>
      </c>
      <c r="F477" t="inlineStr">
        <is>
          <t>Sveaskog</t>
        </is>
      </c>
      <c r="G477" t="n">
        <v>1.3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43351-2022</t>
        </is>
      </c>
      <c r="B478" s="1" t="n">
        <v>44834.62738425926</v>
      </c>
      <c r="C478" s="1" t="n">
        <v>46186</v>
      </c>
      <c r="D478" t="inlineStr">
        <is>
          <t>DALARNAS LÄN</t>
        </is>
      </c>
      <c r="E478" t="inlineStr">
        <is>
          <t>SMEDJEBACKEN</t>
        </is>
      </c>
      <c r="F478" t="inlineStr">
        <is>
          <t>Sveaskog</t>
        </is>
      </c>
      <c r="G478" t="n">
        <v>1.2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4721-2025</t>
        </is>
      </c>
      <c r="B479" s="1" t="n">
        <v>45688.41621527778</v>
      </c>
      <c r="C479" s="1" t="n">
        <v>46186</v>
      </c>
      <c r="D479" t="inlineStr">
        <is>
          <t>DALARNAS LÄN</t>
        </is>
      </c>
      <c r="E479" t="inlineStr">
        <is>
          <t>SMEDJEBACKEN</t>
        </is>
      </c>
      <c r="G479" t="n">
        <v>2.1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25296-2026</t>
        </is>
      </c>
      <c r="B480" s="1" t="n">
        <v>46176.42439814815</v>
      </c>
      <c r="C480" s="1" t="n">
        <v>46186</v>
      </c>
      <c r="D480" t="inlineStr">
        <is>
          <t>DALARNAS LÄN</t>
        </is>
      </c>
      <c r="E480" t="inlineStr">
        <is>
          <t>SMEDJEBACKEN</t>
        </is>
      </c>
      <c r="F480" t="inlineStr">
        <is>
          <t>Sveaskog</t>
        </is>
      </c>
      <c r="G480" t="n">
        <v>8.199999999999999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36231-2022</t>
        </is>
      </c>
      <c r="B481" s="1" t="n">
        <v>44803.5662962963</v>
      </c>
      <c r="C481" s="1" t="n">
        <v>46186</v>
      </c>
      <c r="D481" t="inlineStr">
        <is>
          <t>DALARNAS LÄN</t>
        </is>
      </c>
      <c r="E481" t="inlineStr">
        <is>
          <t>SMEDJEBACKEN</t>
        </is>
      </c>
      <c r="G481" t="n">
        <v>5.7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15762-2026</t>
        </is>
      </c>
      <c r="B482" s="1" t="n">
        <v>46107</v>
      </c>
      <c r="C482" s="1" t="n">
        <v>46186</v>
      </c>
      <c r="D482" t="inlineStr">
        <is>
          <t>DALARNAS LÄN</t>
        </is>
      </c>
      <c r="E482" t="inlineStr">
        <is>
          <t>SMEDJEBACKEN</t>
        </is>
      </c>
      <c r="G482" t="n">
        <v>2.1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48634-2024</t>
        </is>
      </c>
      <c r="B483" s="1" t="n">
        <v>45593</v>
      </c>
      <c r="C483" s="1" t="n">
        <v>46186</v>
      </c>
      <c r="D483" t="inlineStr">
        <is>
          <t>DALARNAS LÄN</t>
        </is>
      </c>
      <c r="E483" t="inlineStr">
        <is>
          <t>SMEDJEBACKEN</t>
        </is>
      </c>
      <c r="F483" t="inlineStr">
        <is>
          <t>Bergvik skog väst AB</t>
        </is>
      </c>
      <c r="G483" t="n">
        <v>8.699999999999999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25322-2026</t>
        </is>
      </c>
      <c r="B484" s="1" t="n">
        <v>46176.50090277778</v>
      </c>
      <c r="C484" s="1" t="n">
        <v>46186</v>
      </c>
      <c r="D484" t="inlineStr">
        <is>
          <t>DALARNAS LÄN</t>
        </is>
      </c>
      <c r="E484" t="inlineStr">
        <is>
          <t>SMEDJEBACKEN</t>
        </is>
      </c>
      <c r="F484" t="inlineStr">
        <is>
          <t>Sveaskog</t>
        </is>
      </c>
      <c r="G484" t="n">
        <v>2.4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25291-2026</t>
        </is>
      </c>
      <c r="B485" s="1" t="n">
        <v>46176.42019675926</v>
      </c>
      <c r="C485" s="1" t="n">
        <v>46186</v>
      </c>
      <c r="D485" t="inlineStr">
        <is>
          <t>DALARNAS LÄN</t>
        </is>
      </c>
      <c r="E485" t="inlineStr">
        <is>
          <t>SMEDJEBACKEN</t>
        </is>
      </c>
      <c r="F485" t="inlineStr">
        <is>
          <t>Sveaskog</t>
        </is>
      </c>
      <c r="G485" t="n">
        <v>18.4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25294-2026</t>
        </is>
      </c>
      <c r="B486" s="1" t="n">
        <v>46176.4221875</v>
      </c>
      <c r="C486" s="1" t="n">
        <v>46186</v>
      </c>
      <c r="D486" t="inlineStr">
        <is>
          <t>DALARNAS LÄN</t>
        </is>
      </c>
      <c r="E486" t="inlineStr">
        <is>
          <t>SMEDJEBACKEN</t>
        </is>
      </c>
      <c r="F486" t="inlineStr">
        <is>
          <t>Sveaskog</t>
        </is>
      </c>
      <c r="G486" t="n">
        <v>5.9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25074-2026</t>
        </is>
      </c>
      <c r="B487" s="1" t="n">
        <v>46171</v>
      </c>
      <c r="C487" s="1" t="n">
        <v>46186</v>
      </c>
      <c r="D487" t="inlineStr">
        <is>
          <t>DALARNAS LÄN</t>
        </is>
      </c>
      <c r="E487" t="inlineStr">
        <is>
          <t>SMEDJEBACKEN</t>
        </is>
      </c>
      <c r="G487" t="n">
        <v>12.2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19524-2026</t>
        </is>
      </c>
      <c r="B488" s="1" t="n">
        <v>46134.35537037037</v>
      </c>
      <c r="C488" s="1" t="n">
        <v>46186</v>
      </c>
      <c r="D488" t="inlineStr">
        <is>
          <t>DALARNAS LÄN</t>
        </is>
      </c>
      <c r="E488" t="inlineStr">
        <is>
          <t>SMEDJEBACKEN</t>
        </is>
      </c>
      <c r="F488" t="inlineStr">
        <is>
          <t>Sveaskog</t>
        </is>
      </c>
      <c r="G488" t="n">
        <v>6.2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19529-2026</t>
        </is>
      </c>
      <c r="B489" s="1" t="n">
        <v>46134.36127314815</v>
      </c>
      <c r="C489" s="1" t="n">
        <v>46186</v>
      </c>
      <c r="D489" t="inlineStr">
        <is>
          <t>DALARNAS LÄN</t>
        </is>
      </c>
      <c r="E489" t="inlineStr">
        <is>
          <t>SMEDJEBACKEN</t>
        </is>
      </c>
      <c r="F489" t="inlineStr">
        <is>
          <t>Sveaskog</t>
        </is>
      </c>
      <c r="G489" t="n">
        <v>3.1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55717-2022</t>
        </is>
      </c>
      <c r="B490" s="1" t="n">
        <v>44888</v>
      </c>
      <c r="C490" s="1" t="n">
        <v>46186</v>
      </c>
      <c r="D490" t="inlineStr">
        <is>
          <t>DALARNAS LÄN</t>
        </is>
      </c>
      <c r="E490" t="inlineStr">
        <is>
          <t>SMEDJEBACKEN</t>
        </is>
      </c>
      <c r="G490" t="n">
        <v>1.2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19498-2026</t>
        </is>
      </c>
      <c r="B491" s="1" t="n">
        <v>46134</v>
      </c>
      <c r="C491" s="1" t="n">
        <v>46186</v>
      </c>
      <c r="D491" t="inlineStr">
        <is>
          <t>DALARNAS LÄN</t>
        </is>
      </c>
      <c r="E491" t="inlineStr">
        <is>
          <t>SMEDJEBACKEN</t>
        </is>
      </c>
      <c r="G491" t="n">
        <v>2.5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19527-2026</t>
        </is>
      </c>
      <c r="B492" s="1" t="n">
        <v>46134.35872685185</v>
      </c>
      <c r="C492" s="1" t="n">
        <v>46186</v>
      </c>
      <c r="D492" t="inlineStr">
        <is>
          <t>DALARNAS LÄN</t>
        </is>
      </c>
      <c r="E492" t="inlineStr">
        <is>
          <t>SMEDJEBACKEN</t>
        </is>
      </c>
      <c r="F492" t="inlineStr">
        <is>
          <t>Sveaskog</t>
        </is>
      </c>
      <c r="G492" t="n">
        <v>1.6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25289-2026</t>
        </is>
      </c>
      <c r="B493" s="1" t="n">
        <v>46176.41582175926</v>
      </c>
      <c r="C493" s="1" t="n">
        <v>46186</v>
      </c>
      <c r="D493" t="inlineStr">
        <is>
          <t>DALARNAS LÄN</t>
        </is>
      </c>
      <c r="E493" t="inlineStr">
        <is>
          <t>SMEDJEBACKEN</t>
        </is>
      </c>
      <c r="F493" t="inlineStr">
        <is>
          <t>Sveaskog</t>
        </is>
      </c>
      <c r="G493" t="n">
        <v>0.9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25290-2026</t>
        </is>
      </c>
      <c r="B494" s="1" t="n">
        <v>46176.41888888889</v>
      </c>
      <c r="C494" s="1" t="n">
        <v>46186</v>
      </c>
      <c r="D494" t="inlineStr">
        <is>
          <t>DALARNAS LÄN</t>
        </is>
      </c>
      <c r="E494" t="inlineStr">
        <is>
          <t>SMEDJEBACKEN</t>
        </is>
      </c>
      <c r="F494" t="inlineStr">
        <is>
          <t>Sveaskog</t>
        </is>
      </c>
      <c r="G494" t="n">
        <v>0.9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38746-2023</t>
        </is>
      </c>
      <c r="B495" s="1" t="n">
        <v>45163</v>
      </c>
      <c r="C495" s="1" t="n">
        <v>46186</v>
      </c>
      <c r="D495" t="inlineStr">
        <is>
          <t>DALARNAS LÄN</t>
        </is>
      </c>
      <c r="E495" t="inlineStr">
        <is>
          <t>SMEDJEBACKEN</t>
        </is>
      </c>
      <c r="F495" t="inlineStr">
        <is>
          <t>Sveaskog</t>
        </is>
      </c>
      <c r="G495" t="n">
        <v>2.4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17418-2025</t>
        </is>
      </c>
      <c r="B496" s="1" t="n">
        <v>45757.37891203703</v>
      </c>
      <c r="C496" s="1" t="n">
        <v>46186</v>
      </c>
      <c r="D496" t="inlineStr">
        <is>
          <t>DALARNAS LÄN</t>
        </is>
      </c>
      <c r="E496" t="inlineStr">
        <is>
          <t>SMEDJEBACKEN</t>
        </is>
      </c>
      <c r="F496" t="inlineStr">
        <is>
          <t>Sveaskog</t>
        </is>
      </c>
      <c r="G496" t="n">
        <v>3.4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45091-2022</t>
        </is>
      </c>
      <c r="B497" s="1" t="n">
        <v>44842</v>
      </c>
      <c r="C497" s="1" t="n">
        <v>46186</v>
      </c>
      <c r="D497" t="inlineStr">
        <is>
          <t>DALARNAS LÄN</t>
        </is>
      </c>
      <c r="E497" t="inlineStr">
        <is>
          <t>SMEDJEBACKEN</t>
        </is>
      </c>
      <c r="G497" t="n">
        <v>0.9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17834-2023</t>
        </is>
      </c>
      <c r="B498" s="1" t="n">
        <v>45037</v>
      </c>
      <c r="C498" s="1" t="n">
        <v>46186</v>
      </c>
      <c r="D498" t="inlineStr">
        <is>
          <t>DALARNAS LÄN</t>
        </is>
      </c>
      <c r="E498" t="inlineStr">
        <is>
          <t>SMEDJEBACKEN</t>
        </is>
      </c>
      <c r="G498" t="n">
        <v>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37408-2024</t>
        </is>
      </c>
      <c r="B499" s="1" t="n">
        <v>45540.61754629629</v>
      </c>
      <c r="C499" s="1" t="n">
        <v>46186</v>
      </c>
      <c r="D499" t="inlineStr">
        <is>
          <t>DALARNAS LÄN</t>
        </is>
      </c>
      <c r="E499" t="inlineStr">
        <is>
          <t>SMEDJEBACKEN</t>
        </is>
      </c>
      <c r="G499" t="n">
        <v>7.6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44034-2023</t>
        </is>
      </c>
      <c r="B500" s="1" t="n">
        <v>45188</v>
      </c>
      <c r="C500" s="1" t="n">
        <v>46186</v>
      </c>
      <c r="D500" t="inlineStr">
        <is>
          <t>DALARNAS LÄN</t>
        </is>
      </c>
      <c r="E500" t="inlineStr">
        <is>
          <t>SMEDJEBACKEN</t>
        </is>
      </c>
      <c r="F500" t="inlineStr">
        <is>
          <t>Sveaskog</t>
        </is>
      </c>
      <c r="G500" t="n">
        <v>0.4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26899-2024</t>
        </is>
      </c>
      <c r="B501" s="1" t="n">
        <v>45470.68664351852</v>
      </c>
      <c r="C501" s="1" t="n">
        <v>46186</v>
      </c>
      <c r="D501" t="inlineStr">
        <is>
          <t>DALARNAS LÄN</t>
        </is>
      </c>
      <c r="E501" t="inlineStr">
        <is>
          <t>SMEDJEBACKEN</t>
        </is>
      </c>
      <c r="G501" t="n">
        <v>2.2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11154-2025</t>
        </is>
      </c>
      <c r="B502" s="1" t="n">
        <v>45723</v>
      </c>
      <c r="C502" s="1" t="n">
        <v>46186</v>
      </c>
      <c r="D502" t="inlineStr">
        <is>
          <t>DALARNAS LÄN</t>
        </is>
      </c>
      <c r="E502" t="inlineStr">
        <is>
          <t>SMEDJEBACKEN</t>
        </is>
      </c>
      <c r="F502" t="inlineStr">
        <is>
          <t>Bergvik skog väst AB</t>
        </is>
      </c>
      <c r="G502" t="n">
        <v>0.7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15786-2023</t>
        </is>
      </c>
      <c r="B503" s="1" t="n">
        <v>45021</v>
      </c>
      <c r="C503" s="1" t="n">
        <v>46186</v>
      </c>
      <c r="D503" t="inlineStr">
        <is>
          <t>DALARNAS LÄN</t>
        </is>
      </c>
      <c r="E503" t="inlineStr">
        <is>
          <t>SMEDJEBACKEN</t>
        </is>
      </c>
      <c r="F503" t="inlineStr">
        <is>
          <t>Kommuner</t>
        </is>
      </c>
      <c r="G503" t="n">
        <v>1.5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25728-2026</t>
        </is>
      </c>
      <c r="B504" s="1" t="n">
        <v>46178.39739583333</v>
      </c>
      <c r="C504" s="1" t="n">
        <v>46186</v>
      </c>
      <c r="D504" t="inlineStr">
        <is>
          <t>DALARNAS LÄN</t>
        </is>
      </c>
      <c r="E504" t="inlineStr">
        <is>
          <t>SMEDJEBACKEN</t>
        </is>
      </c>
      <c r="G504" t="n">
        <v>5.5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19258-2024</t>
        </is>
      </c>
      <c r="B505" s="1" t="n">
        <v>45428.60715277777</v>
      </c>
      <c r="C505" s="1" t="n">
        <v>46186</v>
      </c>
      <c r="D505" t="inlineStr">
        <is>
          <t>DALARNAS LÄN</t>
        </is>
      </c>
      <c r="E505" t="inlineStr">
        <is>
          <t>SMEDJEBACKEN</t>
        </is>
      </c>
      <c r="G505" t="n">
        <v>3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29530-2024</t>
        </is>
      </c>
      <c r="B506" s="1" t="n">
        <v>45484.47273148148</v>
      </c>
      <c r="C506" s="1" t="n">
        <v>46186</v>
      </c>
      <c r="D506" t="inlineStr">
        <is>
          <t>DALARNAS LÄN</t>
        </is>
      </c>
      <c r="E506" t="inlineStr">
        <is>
          <t>SMEDJEBACKEN</t>
        </is>
      </c>
      <c r="G506" t="n">
        <v>4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14462-2023</t>
        </is>
      </c>
      <c r="B507" s="1" t="n">
        <v>45012</v>
      </c>
      <c r="C507" s="1" t="n">
        <v>46186</v>
      </c>
      <c r="D507" t="inlineStr">
        <is>
          <t>DALARNAS LÄN</t>
        </is>
      </c>
      <c r="E507" t="inlineStr">
        <is>
          <t>SMEDJEBACKEN</t>
        </is>
      </c>
      <c r="G507" t="n">
        <v>1.4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28283-2025</t>
        </is>
      </c>
      <c r="B508" s="1" t="n">
        <v>45818.58821759259</v>
      </c>
      <c r="C508" s="1" t="n">
        <v>46186</v>
      </c>
      <c r="D508" t="inlineStr">
        <is>
          <t>DALARNAS LÄN</t>
        </is>
      </c>
      <c r="E508" t="inlineStr">
        <is>
          <t>SMEDJEBACKEN</t>
        </is>
      </c>
      <c r="G508" t="n">
        <v>2.1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18538-2026</t>
        </is>
      </c>
      <c r="B509" s="1" t="n">
        <v>46127</v>
      </c>
      <c r="C509" s="1" t="n">
        <v>46186</v>
      </c>
      <c r="D509" t="inlineStr">
        <is>
          <t>DALARNAS LÄN</t>
        </is>
      </c>
      <c r="E509" t="inlineStr">
        <is>
          <t>SMEDJEBACKEN</t>
        </is>
      </c>
      <c r="G509" t="n">
        <v>13.4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45683-2024</t>
        </is>
      </c>
      <c r="B510" s="1" t="n">
        <v>45579</v>
      </c>
      <c r="C510" s="1" t="n">
        <v>46186</v>
      </c>
      <c r="D510" t="inlineStr">
        <is>
          <t>DALARNAS LÄN</t>
        </is>
      </c>
      <c r="E510" t="inlineStr">
        <is>
          <t>SMEDJEBACKEN</t>
        </is>
      </c>
      <c r="F510" t="inlineStr">
        <is>
          <t>Bergvik skog väst AB</t>
        </is>
      </c>
      <c r="G510" t="n">
        <v>7.5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12027-2023</t>
        </is>
      </c>
      <c r="B511" s="1" t="n">
        <v>44995</v>
      </c>
      <c r="C511" s="1" t="n">
        <v>46186</v>
      </c>
      <c r="D511" t="inlineStr">
        <is>
          <t>DALARNAS LÄN</t>
        </is>
      </c>
      <c r="E511" t="inlineStr">
        <is>
          <t>SMEDJEBACKEN</t>
        </is>
      </c>
      <c r="G511" t="n">
        <v>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16597-2024</t>
        </is>
      </c>
      <c r="B512" s="1" t="n">
        <v>45408.52283564815</v>
      </c>
      <c r="C512" s="1" t="n">
        <v>46186</v>
      </c>
      <c r="D512" t="inlineStr">
        <is>
          <t>DALARNAS LÄN</t>
        </is>
      </c>
      <c r="E512" t="inlineStr">
        <is>
          <t>SMEDJEBACKEN</t>
        </is>
      </c>
      <c r="F512" t="inlineStr">
        <is>
          <t>Sveaskog</t>
        </is>
      </c>
      <c r="G512" t="n">
        <v>0.4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19955-2026</t>
        </is>
      </c>
      <c r="B513" s="1" t="n">
        <v>46136.40958333333</v>
      </c>
      <c r="C513" s="1" t="n">
        <v>46186</v>
      </c>
      <c r="D513" t="inlineStr">
        <is>
          <t>DALARNAS LÄN</t>
        </is>
      </c>
      <c r="E513" t="inlineStr">
        <is>
          <t>SMEDJEBACKEN</t>
        </is>
      </c>
      <c r="G513" t="n">
        <v>1.9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4155-2023</t>
        </is>
      </c>
      <c r="B514" s="1" t="n">
        <v>44950</v>
      </c>
      <c r="C514" s="1" t="n">
        <v>46186</v>
      </c>
      <c r="D514" t="inlineStr">
        <is>
          <t>DALARNAS LÄN</t>
        </is>
      </c>
      <c r="E514" t="inlineStr">
        <is>
          <t>SMEDJEBACKEN</t>
        </is>
      </c>
      <c r="G514" t="n">
        <v>1.9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25858-2026</t>
        </is>
      </c>
      <c r="B515" s="1" t="n">
        <v>46176</v>
      </c>
      <c r="C515" s="1" t="n">
        <v>46186</v>
      </c>
      <c r="D515" t="inlineStr">
        <is>
          <t>DALARNAS LÄN</t>
        </is>
      </c>
      <c r="E515" t="inlineStr">
        <is>
          <t>SMEDJEBACKEN</t>
        </is>
      </c>
      <c r="F515" t="inlineStr">
        <is>
          <t>Övriga Aktiebolag</t>
        </is>
      </c>
      <c r="G515" t="n">
        <v>6.9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29120-2024</t>
        </is>
      </c>
      <c r="B516" s="1" t="n">
        <v>45481.97899305556</v>
      </c>
      <c r="C516" s="1" t="n">
        <v>46186</v>
      </c>
      <c r="D516" t="inlineStr">
        <is>
          <t>DALARNAS LÄN</t>
        </is>
      </c>
      <c r="E516" t="inlineStr">
        <is>
          <t>SMEDJEBACKEN</t>
        </is>
      </c>
      <c r="G516" t="n">
        <v>4.1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40870-2023</t>
        </is>
      </c>
      <c r="B517" s="1" t="n">
        <v>45173</v>
      </c>
      <c r="C517" s="1" t="n">
        <v>46186</v>
      </c>
      <c r="D517" t="inlineStr">
        <is>
          <t>DALARNAS LÄN</t>
        </is>
      </c>
      <c r="E517" t="inlineStr">
        <is>
          <t>SMEDJEBACKEN</t>
        </is>
      </c>
      <c r="G517" t="n">
        <v>1.5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58731-2025</t>
        </is>
      </c>
      <c r="B518" s="1" t="n">
        <v>45986</v>
      </c>
      <c r="C518" s="1" t="n">
        <v>46186</v>
      </c>
      <c r="D518" t="inlineStr">
        <is>
          <t>DALARNAS LÄN</t>
        </is>
      </c>
      <c r="E518" t="inlineStr">
        <is>
          <t>SMEDJEBACKEN</t>
        </is>
      </c>
      <c r="G518" t="n">
        <v>2.1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27070-2022</t>
        </is>
      </c>
      <c r="B519" s="1" t="n">
        <v>44741.39358796296</v>
      </c>
      <c r="C519" s="1" t="n">
        <v>46186</v>
      </c>
      <c r="D519" t="inlineStr">
        <is>
          <t>DALARNAS LÄN</t>
        </is>
      </c>
      <c r="E519" t="inlineStr">
        <is>
          <t>SMEDJEBACKEN</t>
        </is>
      </c>
      <c r="F519" t="inlineStr">
        <is>
          <t>Sveaskog</t>
        </is>
      </c>
      <c r="G519" t="n">
        <v>3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20707-2026</t>
        </is>
      </c>
      <c r="B520" s="1" t="n">
        <v>46141.48895833334</v>
      </c>
      <c r="C520" s="1" t="n">
        <v>46186</v>
      </c>
      <c r="D520" t="inlineStr">
        <is>
          <t>DALARNAS LÄN</t>
        </is>
      </c>
      <c r="E520" t="inlineStr">
        <is>
          <t>SMEDJEBACKEN</t>
        </is>
      </c>
      <c r="G520" t="n">
        <v>0.9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20718-2026</t>
        </is>
      </c>
      <c r="B521" s="1" t="n">
        <v>46141.52636574074</v>
      </c>
      <c r="C521" s="1" t="n">
        <v>46186</v>
      </c>
      <c r="D521" t="inlineStr">
        <is>
          <t>DALARNAS LÄN</t>
        </is>
      </c>
      <c r="E521" t="inlineStr">
        <is>
          <t>SMEDJEBACKEN</t>
        </is>
      </c>
      <c r="G521" t="n">
        <v>0.6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20610-2026</t>
        </is>
      </c>
      <c r="B522" s="1" t="n">
        <v>46140</v>
      </c>
      <c r="C522" s="1" t="n">
        <v>46186</v>
      </c>
      <c r="D522" t="inlineStr">
        <is>
          <t>DALARNAS LÄN</t>
        </is>
      </c>
      <c r="E522" t="inlineStr">
        <is>
          <t>SMEDJEBACKEN</t>
        </is>
      </c>
      <c r="G522" t="n">
        <v>5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26347-2026</t>
        </is>
      </c>
      <c r="B523" s="1" t="n">
        <v>46182.65944444444</v>
      </c>
      <c r="C523" s="1" t="n">
        <v>46186</v>
      </c>
      <c r="D523" t="inlineStr">
        <is>
          <t>DALARNAS LÄN</t>
        </is>
      </c>
      <c r="E523" t="inlineStr">
        <is>
          <t>SMEDJEBACKEN</t>
        </is>
      </c>
      <c r="F523" t="inlineStr">
        <is>
          <t>Sveaskog</t>
        </is>
      </c>
      <c r="G523" t="n">
        <v>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28613-2022</t>
        </is>
      </c>
      <c r="B524" s="1" t="n">
        <v>44748.57469907407</v>
      </c>
      <c r="C524" s="1" t="n">
        <v>46186</v>
      </c>
      <c r="D524" t="inlineStr">
        <is>
          <t>DALARNAS LÄN</t>
        </is>
      </c>
      <c r="E524" t="inlineStr">
        <is>
          <t>SMEDJEBACKEN</t>
        </is>
      </c>
      <c r="G524" t="n">
        <v>0.9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38356-2024</t>
        </is>
      </c>
      <c r="B525" s="1" t="n">
        <v>45545.75784722222</v>
      </c>
      <c r="C525" s="1" t="n">
        <v>46186</v>
      </c>
      <c r="D525" t="inlineStr">
        <is>
          <t>DALARNAS LÄN</t>
        </is>
      </c>
      <c r="E525" t="inlineStr">
        <is>
          <t>SMEDJEBACKEN</t>
        </is>
      </c>
      <c r="G525" t="n">
        <v>0.7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14843-2023</t>
        </is>
      </c>
      <c r="B526" s="1" t="n">
        <v>45014.76135416667</v>
      </c>
      <c r="C526" s="1" t="n">
        <v>46186</v>
      </c>
      <c r="D526" t="inlineStr">
        <is>
          <t>DALARNAS LÄN</t>
        </is>
      </c>
      <c r="E526" t="inlineStr">
        <is>
          <t>SMEDJEBACKEN</t>
        </is>
      </c>
      <c r="G526" t="n">
        <v>1.6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42523-2024</t>
        </is>
      </c>
      <c r="B527" s="1" t="n">
        <v>45565</v>
      </c>
      <c r="C527" s="1" t="n">
        <v>46186</v>
      </c>
      <c r="D527" t="inlineStr">
        <is>
          <t>DALARNAS LÄN</t>
        </is>
      </c>
      <c r="E527" t="inlineStr">
        <is>
          <t>SMEDJEBACKEN</t>
        </is>
      </c>
      <c r="G527" t="n">
        <v>3.5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53474-2024</t>
        </is>
      </c>
      <c r="B528" s="1" t="n">
        <v>45611</v>
      </c>
      <c r="C528" s="1" t="n">
        <v>46186</v>
      </c>
      <c r="D528" t="inlineStr">
        <is>
          <t>DALARNAS LÄN</t>
        </is>
      </c>
      <c r="E528" t="inlineStr">
        <is>
          <t>SMEDJEBACKEN</t>
        </is>
      </c>
      <c r="G528" t="n">
        <v>4.9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3418-2024</t>
        </is>
      </c>
      <c r="B529" s="1" t="n">
        <v>45319.81171296296</v>
      </c>
      <c r="C529" s="1" t="n">
        <v>46186</v>
      </c>
      <c r="D529" t="inlineStr">
        <is>
          <t>DALARNAS LÄN</t>
        </is>
      </c>
      <c r="E529" t="inlineStr">
        <is>
          <t>SMEDJEBACKEN</t>
        </is>
      </c>
      <c r="G529" t="n">
        <v>4.3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26367-2026</t>
        </is>
      </c>
      <c r="B530" s="1" t="n">
        <v>46182.92731481481</v>
      </c>
      <c r="C530" s="1" t="n">
        <v>46186</v>
      </c>
      <c r="D530" t="inlineStr">
        <is>
          <t>DALARNAS LÄN</t>
        </is>
      </c>
      <c r="E530" t="inlineStr">
        <is>
          <t>SMEDJEBACKEN</t>
        </is>
      </c>
      <c r="F530" t="inlineStr">
        <is>
          <t>Övriga Aktiebolag</t>
        </is>
      </c>
      <c r="G530" t="n">
        <v>2.9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52354-2023</t>
        </is>
      </c>
      <c r="B531" s="1" t="n">
        <v>45224.68380787037</v>
      </c>
      <c r="C531" s="1" t="n">
        <v>46186</v>
      </c>
      <c r="D531" t="inlineStr">
        <is>
          <t>DALARNAS LÄN</t>
        </is>
      </c>
      <c r="E531" t="inlineStr">
        <is>
          <t>SMEDJEBACKEN</t>
        </is>
      </c>
      <c r="G531" t="n">
        <v>14.9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51115-2024</t>
        </is>
      </c>
      <c r="B532" s="1" t="n">
        <v>45603.49738425926</v>
      </c>
      <c r="C532" s="1" t="n">
        <v>46186</v>
      </c>
      <c r="D532" t="inlineStr">
        <is>
          <t>DALARNAS LÄN</t>
        </is>
      </c>
      <c r="E532" t="inlineStr">
        <is>
          <t>SMEDJEBACKEN</t>
        </is>
      </c>
      <c r="F532" t="inlineStr">
        <is>
          <t>Sveaskog</t>
        </is>
      </c>
      <c r="G532" t="n">
        <v>1.8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15322-2025</t>
        </is>
      </c>
      <c r="B533" s="1" t="n">
        <v>45747.32240740741</v>
      </c>
      <c r="C533" s="1" t="n">
        <v>46186</v>
      </c>
      <c r="D533" t="inlineStr">
        <is>
          <t>DALARNAS LÄN</t>
        </is>
      </c>
      <c r="E533" t="inlineStr">
        <is>
          <t>SMEDJEBACKEN</t>
        </is>
      </c>
      <c r="G533" t="n">
        <v>1.6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54260-2022</t>
        </is>
      </c>
      <c r="B534" s="1" t="n">
        <v>44882.25943287037</v>
      </c>
      <c r="C534" s="1" t="n">
        <v>46186</v>
      </c>
      <c r="D534" t="inlineStr">
        <is>
          <t>DALARNAS LÄN</t>
        </is>
      </c>
      <c r="E534" t="inlineStr">
        <is>
          <t>SMEDJEBACKEN</t>
        </is>
      </c>
      <c r="F534" t="inlineStr">
        <is>
          <t>Kyrkan</t>
        </is>
      </c>
      <c r="G534" t="n">
        <v>2.9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18133-2024</t>
        </is>
      </c>
      <c r="B535" s="1" t="n">
        <v>45420.56997685185</v>
      </c>
      <c r="C535" s="1" t="n">
        <v>46186</v>
      </c>
      <c r="D535" t="inlineStr">
        <is>
          <t>DALARNAS LÄN</t>
        </is>
      </c>
      <c r="E535" t="inlineStr">
        <is>
          <t>SMEDJEBACKEN</t>
        </is>
      </c>
      <c r="F535" t="inlineStr">
        <is>
          <t>Sveaskog</t>
        </is>
      </c>
      <c r="G535" t="n">
        <v>8.5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56510-2024</t>
        </is>
      </c>
      <c r="B536" s="1" t="n">
        <v>45625.52276620371</v>
      </c>
      <c r="C536" s="1" t="n">
        <v>46186</v>
      </c>
      <c r="D536" t="inlineStr">
        <is>
          <t>DALARNAS LÄN</t>
        </is>
      </c>
      <c r="E536" t="inlineStr">
        <is>
          <t>SMEDJEBACKEN</t>
        </is>
      </c>
      <c r="F536" t="inlineStr">
        <is>
          <t>Sveaskog</t>
        </is>
      </c>
      <c r="G536" t="n">
        <v>2.4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12125-2024</t>
        </is>
      </c>
      <c r="B537" s="1" t="n">
        <v>45377</v>
      </c>
      <c r="C537" s="1" t="n">
        <v>46186</v>
      </c>
      <c r="D537" t="inlineStr">
        <is>
          <t>DALARNAS LÄN</t>
        </is>
      </c>
      <c r="E537" t="inlineStr">
        <is>
          <t>SMEDJEBACKEN</t>
        </is>
      </c>
      <c r="G537" t="n">
        <v>0.6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2243-2026</t>
        </is>
      </c>
      <c r="B538" s="1" t="n">
        <v>46036</v>
      </c>
      <c r="C538" s="1" t="n">
        <v>46186</v>
      </c>
      <c r="D538" t="inlineStr">
        <is>
          <t>DALARNAS LÄN</t>
        </is>
      </c>
      <c r="E538" t="inlineStr">
        <is>
          <t>SMEDJEBACKEN</t>
        </is>
      </c>
      <c r="G538" t="n">
        <v>4.1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38767-2023</t>
        </is>
      </c>
      <c r="B539" s="1" t="n">
        <v>45163.42113425926</v>
      </c>
      <c r="C539" s="1" t="n">
        <v>46186</v>
      </c>
      <c r="D539" t="inlineStr">
        <is>
          <t>DALARNAS LÄN</t>
        </is>
      </c>
      <c r="E539" t="inlineStr">
        <is>
          <t>SMEDJEBACKEN</t>
        </is>
      </c>
      <c r="F539" t="inlineStr">
        <is>
          <t>Sveaskog</t>
        </is>
      </c>
      <c r="G539" t="n">
        <v>6.5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48459-2023</t>
        </is>
      </c>
      <c r="B540" s="1" t="n">
        <v>45206.81862268518</v>
      </c>
      <c r="C540" s="1" t="n">
        <v>46186</v>
      </c>
      <c r="D540" t="inlineStr">
        <is>
          <t>DALARNAS LÄN</t>
        </is>
      </c>
      <c r="E540" t="inlineStr">
        <is>
          <t>SMEDJEBACKEN</t>
        </is>
      </c>
      <c r="F540" t="inlineStr">
        <is>
          <t>Sveaskog</t>
        </is>
      </c>
      <c r="G540" t="n">
        <v>5.2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45373-2023</t>
        </is>
      </c>
      <c r="B541" s="1" t="n">
        <v>45193.76826388889</v>
      </c>
      <c r="C541" s="1" t="n">
        <v>46186</v>
      </c>
      <c r="D541" t="inlineStr">
        <is>
          <t>DALARNAS LÄN</t>
        </is>
      </c>
      <c r="E541" t="inlineStr">
        <is>
          <t>SMEDJEBACKEN</t>
        </is>
      </c>
      <c r="F541" t="inlineStr">
        <is>
          <t>Sveaskog</t>
        </is>
      </c>
      <c r="G541" t="n">
        <v>1.3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32384-2022</t>
        </is>
      </c>
      <c r="B542" s="1" t="n">
        <v>44782</v>
      </c>
      <c r="C542" s="1" t="n">
        <v>46186</v>
      </c>
      <c r="D542" t="inlineStr">
        <is>
          <t>DALARNAS LÄN</t>
        </is>
      </c>
      <c r="E542" t="inlineStr">
        <is>
          <t>SMEDJEBACKEN</t>
        </is>
      </c>
      <c r="G542" t="n">
        <v>2.9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26661-2026</t>
        </is>
      </c>
      <c r="B543" s="1" t="n">
        <v>46184.41292824074</v>
      </c>
      <c r="C543" s="1" t="n">
        <v>46186</v>
      </c>
      <c r="D543" t="inlineStr">
        <is>
          <t>DALARNAS LÄN</t>
        </is>
      </c>
      <c r="E543" t="inlineStr">
        <is>
          <t>SMEDJEBACKEN</t>
        </is>
      </c>
      <c r="F543" t="inlineStr">
        <is>
          <t>Sveaskog</t>
        </is>
      </c>
      <c r="G543" t="n">
        <v>6.7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18022-2024</t>
        </is>
      </c>
      <c r="B544" s="1" t="n">
        <v>45420.30623842592</v>
      </c>
      <c r="C544" s="1" t="n">
        <v>46186</v>
      </c>
      <c r="D544" t="inlineStr">
        <is>
          <t>DALARNAS LÄN</t>
        </is>
      </c>
      <c r="E544" t="inlineStr">
        <is>
          <t>SMEDJEBACKEN</t>
        </is>
      </c>
      <c r="F544" t="inlineStr">
        <is>
          <t>Sveaskog</t>
        </is>
      </c>
      <c r="G544" t="n">
        <v>0.3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26659-2026</t>
        </is>
      </c>
      <c r="B545" s="1" t="n">
        <v>46184.41166666667</v>
      </c>
      <c r="C545" s="1" t="n">
        <v>46186</v>
      </c>
      <c r="D545" t="inlineStr">
        <is>
          <t>DALARNAS LÄN</t>
        </is>
      </c>
      <c r="E545" t="inlineStr">
        <is>
          <t>SMEDJEBACKEN</t>
        </is>
      </c>
      <c r="F545" t="inlineStr">
        <is>
          <t>Sveaskog</t>
        </is>
      </c>
      <c r="G545" t="n">
        <v>4.2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11514-2024</t>
        </is>
      </c>
      <c r="B546" s="1" t="n">
        <v>45372</v>
      </c>
      <c r="C546" s="1" t="n">
        <v>46186</v>
      </c>
      <c r="D546" t="inlineStr">
        <is>
          <t>DALARNAS LÄN</t>
        </is>
      </c>
      <c r="E546" t="inlineStr">
        <is>
          <t>SMEDJEBACKEN</t>
        </is>
      </c>
      <c r="G546" t="n">
        <v>1.4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26657-2026</t>
        </is>
      </c>
      <c r="B547" s="1" t="n">
        <v>46184.40869212963</v>
      </c>
      <c r="C547" s="1" t="n">
        <v>46186</v>
      </c>
      <c r="D547" t="inlineStr">
        <is>
          <t>DALARNAS LÄN</t>
        </is>
      </c>
      <c r="E547" t="inlineStr">
        <is>
          <t>SMEDJEBACKEN</t>
        </is>
      </c>
      <c r="F547" t="inlineStr">
        <is>
          <t>Sveaskog</t>
        </is>
      </c>
      <c r="G547" t="n">
        <v>3.8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26655-2026</t>
        </is>
      </c>
      <c r="B548" s="1" t="n">
        <v>46184.40685185185</v>
      </c>
      <c r="C548" s="1" t="n">
        <v>46186</v>
      </c>
      <c r="D548" t="inlineStr">
        <is>
          <t>DALARNAS LÄN</t>
        </is>
      </c>
      <c r="E548" t="inlineStr">
        <is>
          <t>SMEDJEBACKEN</t>
        </is>
      </c>
      <c r="F548" t="inlineStr">
        <is>
          <t>Sveaskog</t>
        </is>
      </c>
      <c r="G548" t="n">
        <v>2.4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13354-2025</t>
        </is>
      </c>
      <c r="B549" s="1" t="n">
        <v>45735.64283564815</v>
      </c>
      <c r="C549" s="1" t="n">
        <v>46186</v>
      </c>
      <c r="D549" t="inlineStr">
        <is>
          <t>DALARNAS LÄN</t>
        </is>
      </c>
      <c r="E549" t="inlineStr">
        <is>
          <t>SMEDJEBACKEN</t>
        </is>
      </c>
      <c r="G549" t="n">
        <v>4.4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34822-2021</t>
        </is>
      </c>
      <c r="B550" s="1" t="n">
        <v>44383.35997685185</v>
      </c>
      <c r="C550" s="1" t="n">
        <v>46186</v>
      </c>
      <c r="D550" t="inlineStr">
        <is>
          <t>DALARNAS LÄN</t>
        </is>
      </c>
      <c r="E550" t="inlineStr">
        <is>
          <t>SMEDJEBACKEN</t>
        </is>
      </c>
      <c r="F550" t="inlineStr">
        <is>
          <t>Sveaskog</t>
        </is>
      </c>
      <c r="G550" t="n">
        <v>3.5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33846-2022</t>
        </is>
      </c>
      <c r="B551" s="1" t="n">
        <v>44790.51493055555</v>
      </c>
      <c r="C551" s="1" t="n">
        <v>46186</v>
      </c>
      <c r="D551" t="inlineStr">
        <is>
          <t>DALARNAS LÄN</t>
        </is>
      </c>
      <c r="E551" t="inlineStr">
        <is>
          <t>SMEDJEBACKEN</t>
        </is>
      </c>
      <c r="F551" t="inlineStr">
        <is>
          <t>Bergvik skog väst AB</t>
        </is>
      </c>
      <c r="G551" t="n">
        <v>2.7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29991-2023</t>
        </is>
      </c>
      <c r="B552" s="1" t="n">
        <v>45109.49123842592</v>
      </c>
      <c r="C552" s="1" t="n">
        <v>46186</v>
      </c>
      <c r="D552" t="inlineStr">
        <is>
          <t>DALARNAS LÄN</t>
        </is>
      </c>
      <c r="E552" t="inlineStr">
        <is>
          <t>SMEDJEBACKEN</t>
        </is>
      </c>
      <c r="G552" t="n">
        <v>3.3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30384-2024</t>
        </is>
      </c>
      <c r="B553" s="1" t="n">
        <v>45490</v>
      </c>
      <c r="C553" s="1" t="n">
        <v>46186</v>
      </c>
      <c r="D553" t="inlineStr">
        <is>
          <t>DALARNAS LÄN</t>
        </is>
      </c>
      <c r="E553" t="inlineStr">
        <is>
          <t>SMEDJEBACKEN</t>
        </is>
      </c>
      <c r="G553" t="n">
        <v>8.4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16601-2024</t>
        </is>
      </c>
      <c r="B554" s="1" t="n">
        <v>45408.52519675926</v>
      </c>
      <c r="C554" s="1" t="n">
        <v>46186</v>
      </c>
      <c r="D554" t="inlineStr">
        <is>
          <t>DALARNAS LÄN</t>
        </is>
      </c>
      <c r="E554" t="inlineStr">
        <is>
          <t>SMEDJEBACKEN</t>
        </is>
      </c>
      <c r="F554" t="inlineStr">
        <is>
          <t>Sveaskog</t>
        </is>
      </c>
      <c r="G554" t="n">
        <v>7.5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50524-2024</t>
        </is>
      </c>
      <c r="B555" s="1" t="n">
        <v>45600</v>
      </c>
      <c r="C555" s="1" t="n">
        <v>46186</v>
      </c>
      <c r="D555" t="inlineStr">
        <is>
          <t>DALARNAS LÄN</t>
        </is>
      </c>
      <c r="E555" t="inlineStr">
        <is>
          <t>SMEDJEBACKEN</t>
        </is>
      </c>
      <c r="G555" t="n">
        <v>0.7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6712-2023</t>
        </is>
      </c>
      <c r="B556" s="1" t="n">
        <v>44966.69384259259</v>
      </c>
      <c r="C556" s="1" t="n">
        <v>46186</v>
      </c>
      <c r="D556" t="inlineStr">
        <is>
          <t>DALARNAS LÄN</t>
        </is>
      </c>
      <c r="E556" t="inlineStr">
        <is>
          <t>SMEDJEBACKEN</t>
        </is>
      </c>
      <c r="G556" t="n">
        <v>14.7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6716-2023</t>
        </is>
      </c>
      <c r="B557" s="1" t="n">
        <v>44966.70430555556</v>
      </c>
      <c r="C557" s="1" t="n">
        <v>46186</v>
      </c>
      <c r="D557" t="inlineStr">
        <is>
          <t>DALARNAS LÄN</t>
        </is>
      </c>
      <c r="E557" t="inlineStr">
        <is>
          <t>SMEDJEBACKEN</t>
        </is>
      </c>
      <c r="G557" t="n">
        <v>0.6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57217-2023</t>
        </is>
      </c>
      <c r="B558" s="1" t="n">
        <v>45239</v>
      </c>
      <c r="C558" s="1" t="n">
        <v>46186</v>
      </c>
      <c r="D558" t="inlineStr">
        <is>
          <t>DALARNAS LÄN</t>
        </is>
      </c>
      <c r="E558" t="inlineStr">
        <is>
          <t>SMEDJEBACKEN</t>
        </is>
      </c>
      <c r="F558" t="inlineStr">
        <is>
          <t>Bergvik skog väst AB</t>
        </is>
      </c>
      <c r="G558" t="n">
        <v>4.2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16870-2023</t>
        </is>
      </c>
      <c r="B559" s="1" t="n">
        <v>45033.48502314815</v>
      </c>
      <c r="C559" s="1" t="n">
        <v>46186</v>
      </c>
      <c r="D559" t="inlineStr">
        <is>
          <t>DALARNAS LÄN</t>
        </is>
      </c>
      <c r="E559" t="inlineStr">
        <is>
          <t>SMEDJEBACKEN</t>
        </is>
      </c>
      <c r="G559" t="n">
        <v>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38440-2022</t>
        </is>
      </c>
      <c r="B560" s="1" t="n">
        <v>44813</v>
      </c>
      <c r="C560" s="1" t="n">
        <v>46186</v>
      </c>
      <c r="D560" t="inlineStr">
        <is>
          <t>DALARNAS LÄN</t>
        </is>
      </c>
      <c r="E560" t="inlineStr">
        <is>
          <t>SMEDJEBACKEN</t>
        </is>
      </c>
      <c r="F560" t="inlineStr">
        <is>
          <t>Bergvik skog väst AB</t>
        </is>
      </c>
      <c r="G560" t="n">
        <v>2.4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37024-2023</t>
        </is>
      </c>
      <c r="B561" s="1" t="n">
        <v>45154</v>
      </c>
      <c r="C561" s="1" t="n">
        <v>46186</v>
      </c>
      <c r="D561" t="inlineStr">
        <is>
          <t>DALARNAS LÄN</t>
        </is>
      </c>
      <c r="E561" t="inlineStr">
        <is>
          <t>SMEDJEBACKEN</t>
        </is>
      </c>
      <c r="G561" t="n">
        <v>3.2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28251-2024</t>
        </is>
      </c>
      <c r="B562" s="1" t="n">
        <v>45477.41841435185</v>
      </c>
      <c r="C562" s="1" t="n">
        <v>46186</v>
      </c>
      <c r="D562" t="inlineStr">
        <is>
          <t>DALARNAS LÄN</t>
        </is>
      </c>
      <c r="E562" t="inlineStr">
        <is>
          <t>SMEDJEBACKEN</t>
        </is>
      </c>
      <c r="F562" t="inlineStr">
        <is>
          <t>Sveaskog</t>
        </is>
      </c>
      <c r="G562" t="n">
        <v>1.3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29438-2023</t>
        </is>
      </c>
      <c r="B563" s="1" t="n">
        <v>45106.49553240741</v>
      </c>
      <c r="C563" s="1" t="n">
        <v>46186</v>
      </c>
      <c r="D563" t="inlineStr">
        <is>
          <t>DALARNAS LÄN</t>
        </is>
      </c>
      <c r="E563" t="inlineStr">
        <is>
          <t>SMEDJEBACKEN</t>
        </is>
      </c>
      <c r="F563" t="inlineStr">
        <is>
          <t>Sveaskog</t>
        </is>
      </c>
      <c r="G563" t="n">
        <v>1.5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56480-2022</t>
        </is>
      </c>
      <c r="B564" s="1" t="n">
        <v>44893</v>
      </c>
      <c r="C564" s="1" t="n">
        <v>46186</v>
      </c>
      <c r="D564" t="inlineStr">
        <is>
          <t>DALARNAS LÄN</t>
        </is>
      </c>
      <c r="E564" t="inlineStr">
        <is>
          <t>SMEDJEBACKEN</t>
        </is>
      </c>
      <c r="F564" t="inlineStr">
        <is>
          <t>Sveaskog</t>
        </is>
      </c>
      <c r="G564" t="n">
        <v>0.6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17681-2025</t>
        </is>
      </c>
      <c r="B565" s="1" t="n">
        <v>45758.37951388889</v>
      </c>
      <c r="C565" s="1" t="n">
        <v>46186</v>
      </c>
      <c r="D565" t="inlineStr">
        <is>
          <t>DALARNAS LÄN</t>
        </is>
      </c>
      <c r="E565" t="inlineStr">
        <is>
          <t>SMEDJEBACKEN</t>
        </is>
      </c>
      <c r="G565" t="n">
        <v>1.7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15211-2023</t>
        </is>
      </c>
      <c r="B566" s="1" t="n">
        <v>45018</v>
      </c>
      <c r="C566" s="1" t="n">
        <v>46186</v>
      </c>
      <c r="D566" t="inlineStr">
        <is>
          <t>DALARNAS LÄN</t>
        </is>
      </c>
      <c r="E566" t="inlineStr">
        <is>
          <t>SMEDJEBACKEN</t>
        </is>
      </c>
      <c r="G566" t="n">
        <v>1.6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2046-2024</t>
        </is>
      </c>
      <c r="B567" s="1" t="n">
        <v>45308.8669212963</v>
      </c>
      <c r="C567" s="1" t="n">
        <v>46186</v>
      </c>
      <c r="D567" t="inlineStr">
        <is>
          <t>DALARNAS LÄN</t>
        </is>
      </c>
      <c r="E567" t="inlineStr">
        <is>
          <t>SMEDJEBACKEN</t>
        </is>
      </c>
      <c r="G567" t="n">
        <v>1.9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36614-2023</t>
        </is>
      </c>
      <c r="B568" s="1" t="n">
        <v>45153</v>
      </c>
      <c r="C568" s="1" t="n">
        <v>46186</v>
      </c>
      <c r="D568" t="inlineStr">
        <is>
          <t>DALARNAS LÄN</t>
        </is>
      </c>
      <c r="E568" t="inlineStr">
        <is>
          <t>SMEDJEBACKEN</t>
        </is>
      </c>
      <c r="G568" t="n">
        <v>8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  <c r="U568">
        <f>HYPERLINK("https://klasma.github.io/Logging_2061/knärot/A 36614-2023 karta knärot.png", "A 36614-2023")</f>
        <v/>
      </c>
      <c r="V568">
        <f>HYPERLINK("https://klasma.github.io/Logging_2061/klagomål/A 36614-2023 FSC-klagomål.docx", "A 36614-2023")</f>
        <v/>
      </c>
      <c r="W568">
        <f>HYPERLINK("https://klasma.github.io/Logging_2061/klagomålsmail/A 36614-2023 FSC-klagomål mail.docx", "A 36614-2023")</f>
        <v/>
      </c>
      <c r="X568">
        <f>HYPERLINK("https://klasma.github.io/Logging_2061/tillsyn/A 36614-2023 tillsynsbegäran.docx", "A 36614-2023")</f>
        <v/>
      </c>
      <c r="Y568">
        <f>HYPERLINK("https://klasma.github.io/Logging_2061/tillsynsmail/A 36614-2023 tillsynsbegäran mail.docx", "A 36614-2023")</f>
        <v/>
      </c>
    </row>
    <row r="569" ht="15" customHeight="1">
      <c r="A569" t="inlineStr">
        <is>
          <t>A 28348-2024</t>
        </is>
      </c>
      <c r="B569" s="1" t="n">
        <v>45477</v>
      </c>
      <c r="C569" s="1" t="n">
        <v>46186</v>
      </c>
      <c r="D569" t="inlineStr">
        <is>
          <t>DALARNAS LÄN</t>
        </is>
      </c>
      <c r="E569" t="inlineStr">
        <is>
          <t>SMEDJEBACKEN</t>
        </is>
      </c>
      <c r="F569" t="inlineStr">
        <is>
          <t>Bergvik skog väst AB</t>
        </is>
      </c>
      <c r="G569" t="n">
        <v>11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  <c r="U569">
        <f>HYPERLINK("https://klasma.github.io/Logging_2061/knärot/A 28348-2024 karta knärot.png", "A 28348-2024")</f>
        <v/>
      </c>
      <c r="V569">
        <f>HYPERLINK("https://klasma.github.io/Logging_2061/klagomål/A 28348-2024 FSC-klagomål.docx", "A 28348-2024")</f>
        <v/>
      </c>
      <c r="W569">
        <f>HYPERLINK("https://klasma.github.io/Logging_2061/klagomålsmail/A 28348-2024 FSC-klagomål mail.docx", "A 28348-2024")</f>
        <v/>
      </c>
      <c r="X569">
        <f>HYPERLINK("https://klasma.github.io/Logging_2061/tillsyn/A 28348-2024 tillsynsbegäran.docx", "A 28348-2024")</f>
        <v/>
      </c>
      <c r="Y569">
        <f>HYPERLINK("https://klasma.github.io/Logging_2061/tillsynsmail/A 28348-2024 tillsynsbegäran mail.docx", "A 28348-2024")</f>
        <v/>
      </c>
    </row>
    <row r="570" ht="15" customHeight="1">
      <c r="A570" t="inlineStr">
        <is>
          <t>A 50778-2024</t>
        </is>
      </c>
      <c r="B570" s="1" t="n">
        <v>45601</v>
      </c>
      <c r="C570" s="1" t="n">
        <v>46186</v>
      </c>
      <c r="D570" t="inlineStr">
        <is>
          <t>DALARNAS LÄN</t>
        </is>
      </c>
      <c r="E570" t="inlineStr">
        <is>
          <t>SMEDJEBACKEN</t>
        </is>
      </c>
      <c r="F570" t="inlineStr">
        <is>
          <t>Bergvik skog väst AB</t>
        </is>
      </c>
      <c r="G570" t="n">
        <v>14.8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28248-2024</t>
        </is>
      </c>
      <c r="B571" s="1" t="n">
        <v>45477.41465277778</v>
      </c>
      <c r="C571" s="1" t="n">
        <v>46186</v>
      </c>
      <c r="D571" t="inlineStr">
        <is>
          <t>DALARNAS LÄN</t>
        </is>
      </c>
      <c r="E571" t="inlineStr">
        <is>
          <t>SMEDJEBACKEN</t>
        </is>
      </c>
      <c r="F571" t="inlineStr">
        <is>
          <t>Sveaskog</t>
        </is>
      </c>
      <c r="G571" t="n">
        <v>1.6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16419-2025</t>
        </is>
      </c>
      <c r="B572" s="1" t="n">
        <v>45751.46453703703</v>
      </c>
      <c r="C572" s="1" t="n">
        <v>46186</v>
      </c>
      <c r="D572" t="inlineStr">
        <is>
          <t>DALARNAS LÄN</t>
        </is>
      </c>
      <c r="E572" t="inlineStr">
        <is>
          <t>SMEDJEBACKEN</t>
        </is>
      </c>
      <c r="G572" t="n">
        <v>1.3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45114-2023</t>
        </is>
      </c>
      <c r="B573" s="1" t="n">
        <v>45191.43945601852</v>
      </c>
      <c r="C573" s="1" t="n">
        <v>46186</v>
      </c>
      <c r="D573" t="inlineStr">
        <is>
          <t>DALARNAS LÄN</t>
        </is>
      </c>
      <c r="E573" t="inlineStr">
        <is>
          <t>SMEDJEBACKEN</t>
        </is>
      </c>
      <c r="F573" t="inlineStr">
        <is>
          <t>Sveaskog</t>
        </is>
      </c>
      <c r="G573" t="n">
        <v>3.4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60678-2024</t>
        </is>
      </c>
      <c r="B574" s="1" t="n">
        <v>45644</v>
      </c>
      <c r="C574" s="1" t="n">
        <v>46186</v>
      </c>
      <c r="D574" t="inlineStr">
        <is>
          <t>DALARNAS LÄN</t>
        </is>
      </c>
      <c r="E574" t="inlineStr">
        <is>
          <t>SMEDJEBACKEN</t>
        </is>
      </c>
      <c r="G574" t="n">
        <v>1.9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60684-2024</t>
        </is>
      </c>
      <c r="B575" s="1" t="n">
        <v>45644.46756944444</v>
      </c>
      <c r="C575" s="1" t="n">
        <v>46186</v>
      </c>
      <c r="D575" t="inlineStr">
        <is>
          <t>DALARNAS LÄN</t>
        </is>
      </c>
      <c r="E575" t="inlineStr">
        <is>
          <t>SMEDJEBACKEN</t>
        </is>
      </c>
      <c r="G575" t="n">
        <v>3.3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44116-2023</t>
        </is>
      </c>
      <c r="B576" s="1" t="n">
        <v>45188</v>
      </c>
      <c r="C576" s="1" t="n">
        <v>46186</v>
      </c>
      <c r="D576" t="inlineStr">
        <is>
          <t>DALARNAS LÄN</t>
        </is>
      </c>
      <c r="E576" t="inlineStr">
        <is>
          <t>SMEDJEBACKEN</t>
        </is>
      </c>
      <c r="F576" t="inlineStr">
        <is>
          <t>Bergvik skog väst AB</t>
        </is>
      </c>
      <c r="G576" t="n">
        <v>1.6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14845-2023</t>
        </is>
      </c>
      <c r="B577" s="1" t="n">
        <v>45014</v>
      </c>
      <c r="C577" s="1" t="n">
        <v>46186</v>
      </c>
      <c r="D577" t="inlineStr">
        <is>
          <t>DALARNAS LÄN</t>
        </is>
      </c>
      <c r="E577" t="inlineStr">
        <is>
          <t>SMEDJEBACKEN</t>
        </is>
      </c>
      <c r="G577" t="n">
        <v>3.8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18105-2025</t>
        </is>
      </c>
      <c r="B578" s="1" t="n">
        <v>45761.55462962963</v>
      </c>
      <c r="C578" s="1" t="n">
        <v>46186</v>
      </c>
      <c r="D578" t="inlineStr">
        <is>
          <t>DALARNAS LÄN</t>
        </is>
      </c>
      <c r="E578" t="inlineStr">
        <is>
          <t>SMEDJEBACKEN</t>
        </is>
      </c>
      <c r="G578" t="n">
        <v>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54965-2022</t>
        </is>
      </c>
      <c r="B579" s="1" t="n">
        <v>44886</v>
      </c>
      <c r="C579" s="1" t="n">
        <v>46186</v>
      </c>
      <c r="D579" t="inlineStr">
        <is>
          <t>DALARNAS LÄN</t>
        </is>
      </c>
      <c r="E579" t="inlineStr">
        <is>
          <t>SMEDJEBACKEN</t>
        </is>
      </c>
      <c r="F579" t="inlineStr">
        <is>
          <t>Sveaskog</t>
        </is>
      </c>
      <c r="G579" t="n">
        <v>1.3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39535-2021</t>
        </is>
      </c>
      <c r="B580" s="1" t="n">
        <v>44415.96331018519</v>
      </c>
      <c r="C580" s="1" t="n">
        <v>46186</v>
      </c>
      <c r="D580" t="inlineStr">
        <is>
          <t>DALARNAS LÄN</t>
        </is>
      </c>
      <c r="E580" t="inlineStr">
        <is>
          <t>SMEDJEBACKEN</t>
        </is>
      </c>
      <c r="G580" t="n">
        <v>2.6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19085-2025</t>
        </is>
      </c>
      <c r="B581" s="1" t="n">
        <v>45766.80628472222</v>
      </c>
      <c r="C581" s="1" t="n">
        <v>46186</v>
      </c>
      <c r="D581" t="inlineStr">
        <is>
          <t>DALARNAS LÄN</t>
        </is>
      </c>
      <c r="E581" t="inlineStr">
        <is>
          <t>SMEDJEBACKEN</t>
        </is>
      </c>
      <c r="G581" t="n">
        <v>2.4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63518-2021</t>
        </is>
      </c>
      <c r="B582" s="1" t="n">
        <v>44508</v>
      </c>
      <c r="C582" s="1" t="n">
        <v>46186</v>
      </c>
      <c r="D582" t="inlineStr">
        <is>
          <t>DALARNAS LÄN</t>
        </is>
      </c>
      <c r="E582" t="inlineStr">
        <is>
          <t>SMEDJEBACKEN</t>
        </is>
      </c>
      <c r="F582" t="inlineStr">
        <is>
          <t>Sveaskog</t>
        </is>
      </c>
      <c r="G582" t="n">
        <v>0.6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26480-2023</t>
        </is>
      </c>
      <c r="B583" s="1" t="n">
        <v>45092</v>
      </c>
      <c r="C583" s="1" t="n">
        <v>46186</v>
      </c>
      <c r="D583" t="inlineStr">
        <is>
          <t>DALARNAS LÄN</t>
        </is>
      </c>
      <c r="E583" t="inlineStr">
        <is>
          <t>SMEDJEBACKEN</t>
        </is>
      </c>
      <c r="F583" t="inlineStr">
        <is>
          <t>Sveaskog</t>
        </is>
      </c>
      <c r="G583" t="n">
        <v>0.8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33487-2023</t>
        </is>
      </c>
      <c r="B584" s="1" t="n">
        <v>45131.44578703704</v>
      </c>
      <c r="C584" s="1" t="n">
        <v>46186</v>
      </c>
      <c r="D584" t="inlineStr">
        <is>
          <t>DALARNAS LÄN</t>
        </is>
      </c>
      <c r="E584" t="inlineStr">
        <is>
          <t>SMEDJEBACKEN</t>
        </is>
      </c>
      <c r="G584" t="n">
        <v>1.3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15390-2025</t>
        </is>
      </c>
      <c r="B585" s="1" t="n">
        <v>45747.42923611111</v>
      </c>
      <c r="C585" s="1" t="n">
        <v>46186</v>
      </c>
      <c r="D585" t="inlineStr">
        <is>
          <t>DALARNAS LÄN</t>
        </is>
      </c>
      <c r="E585" t="inlineStr">
        <is>
          <t>SMEDJEBACKEN</t>
        </is>
      </c>
      <c r="F585" t="inlineStr">
        <is>
          <t>Bergvik skog väst AB</t>
        </is>
      </c>
      <c r="G585" t="n">
        <v>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14677-2024</t>
        </is>
      </c>
      <c r="B586" s="1" t="n">
        <v>45397.4553125</v>
      </c>
      <c r="C586" s="1" t="n">
        <v>46186</v>
      </c>
      <c r="D586" t="inlineStr">
        <is>
          <t>DALARNAS LÄN</t>
        </is>
      </c>
      <c r="E586" t="inlineStr">
        <is>
          <t>SMEDJEBACKEN</t>
        </is>
      </c>
      <c r="G586" t="n">
        <v>2.5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6720-2023</t>
        </is>
      </c>
      <c r="B587" s="1" t="n">
        <v>44966</v>
      </c>
      <c r="C587" s="1" t="n">
        <v>46186</v>
      </c>
      <c r="D587" t="inlineStr">
        <is>
          <t>DALARNAS LÄN</t>
        </is>
      </c>
      <c r="E587" t="inlineStr">
        <is>
          <t>SMEDJEBACKEN</t>
        </is>
      </c>
      <c r="G587" t="n">
        <v>2.4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11145-2025</t>
        </is>
      </c>
      <c r="B588" s="1" t="n">
        <v>45723</v>
      </c>
      <c r="C588" s="1" t="n">
        <v>46186</v>
      </c>
      <c r="D588" t="inlineStr">
        <is>
          <t>DALARNAS LÄN</t>
        </is>
      </c>
      <c r="E588" t="inlineStr">
        <is>
          <t>SMEDJEBACKEN</t>
        </is>
      </c>
      <c r="F588" t="inlineStr">
        <is>
          <t>Bergvik skog väst AB</t>
        </is>
      </c>
      <c r="G588" t="n">
        <v>0.5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58397-2023</t>
        </is>
      </c>
      <c r="B589" s="1" t="n">
        <v>45250</v>
      </c>
      <c r="C589" s="1" t="n">
        <v>46186</v>
      </c>
      <c r="D589" t="inlineStr">
        <is>
          <t>DALARNAS LÄN</t>
        </is>
      </c>
      <c r="E589" t="inlineStr">
        <is>
          <t>SMEDJEBACKEN</t>
        </is>
      </c>
      <c r="G589" t="n">
        <v>2.8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43909-2024</t>
        </is>
      </c>
      <c r="B590" s="1" t="n">
        <v>45572.43074074074</v>
      </c>
      <c r="C590" s="1" t="n">
        <v>46186</v>
      </c>
      <c r="D590" t="inlineStr">
        <is>
          <t>DALARNAS LÄN</t>
        </is>
      </c>
      <c r="E590" t="inlineStr">
        <is>
          <t>SMEDJEBACKEN</t>
        </is>
      </c>
      <c r="G590" t="n">
        <v>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61541-2022</t>
        </is>
      </c>
      <c r="B591" s="1" t="n">
        <v>44916.55944444444</v>
      </c>
      <c r="C591" s="1" t="n">
        <v>46186</v>
      </c>
      <c r="D591" t="inlineStr">
        <is>
          <t>DALARNAS LÄN</t>
        </is>
      </c>
      <c r="E591" t="inlineStr">
        <is>
          <t>SMEDJEBACKEN</t>
        </is>
      </c>
      <c r="G591" t="n">
        <v>1.3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>
      <c r="A592" t="inlineStr">
        <is>
          <t>A 24469-2022</t>
        </is>
      </c>
      <c r="B592" s="1" t="n">
        <v>44726</v>
      </c>
      <c r="C592" s="1" t="n">
        <v>46186</v>
      </c>
      <c r="D592" t="inlineStr">
        <is>
          <t>DALARNAS LÄN</t>
        </is>
      </c>
      <c r="E592" t="inlineStr">
        <is>
          <t>SMEDJEBACKEN</t>
        </is>
      </c>
      <c r="G592" t="n">
        <v>4.3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2026-06-13T09:26:25Z</dcterms:created>
  <dcterms:modified xmlns:dcterms="http://purl.org/dc/terms/" xmlns:xsi="http://www.w3.org/2001/XMLSchema-instance" xsi:type="dcterms:W3CDTF">2026-06-13T09:26:25Z</dcterms:modified>
</cp:coreProperties>
</file>