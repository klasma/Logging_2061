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45731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45731</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45731</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45731</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45731</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45731</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45731</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45731</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45731</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45731</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45731</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45731</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45731</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45731</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45731</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45731</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45731</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45731</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45731</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45731</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45731</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HYPERLINK("https://klasma.github.io/Logging_2061/artfynd/A 10713-2025 artfynd.xlsx", "A 10713-2025")</f>
        <v/>
      </c>
      <c r="T22">
        <f>HYPERLINK("https://klasma.github.io/Logging_2061/kartor/A 10713-2025 karta.png", "A 10713-2025")</f>
        <v/>
      </c>
      <c r="V22">
        <f>HYPERLINK("https://klasma.github.io/Logging_2061/klagomål/A 10713-2025 FSC-klagomål.docx", "A 10713-2025")</f>
        <v/>
      </c>
      <c r="W22">
        <f>HYPERLINK("https://klasma.github.io/Logging_2061/klagomålsmail/A 10713-2025 FSC-klagomål mail.docx", "A 10713-2025")</f>
        <v/>
      </c>
      <c r="X22">
        <f>HYPERLINK("https://klasma.github.io/Logging_2061/tillsyn/A 10713-2025 tillsynsbegäran.docx", "A 10713-2025")</f>
        <v/>
      </c>
      <c r="Y22">
        <f>HYPERLINK("https://klasma.github.io/Logging_2061/tillsynsmail/A 10713-2025 tillsynsbegäran mail.docx", "A 10713-2025")</f>
        <v/>
      </c>
      <c r="Z22">
        <f>HYPERLINK("https://klasma.github.io/Logging_2061/fåglar/A 10713-2025 prioriterade fågelarter.docx", "A 10713-2025")</f>
        <v/>
      </c>
    </row>
    <row r="23" ht="15" customHeight="1">
      <c r="A23" t="inlineStr">
        <is>
          <t>A 21403-2021</t>
        </is>
      </c>
      <c r="B23" s="1" t="n">
        <v>44321</v>
      </c>
      <c r="C23" s="1" t="n">
        <v>45731</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45731</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45731</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45731</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45731</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45731</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45731</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45731</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45731</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45731</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45731</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45731</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45731</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45731</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45731</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45731</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45731</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45731</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45731</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45731</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45731</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45731</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45731</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45731</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45731</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45731</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45731</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45731</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45731</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45731</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45731</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45731</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45731</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45731</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45731</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45731</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45731</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45731</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45731</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45731</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45731</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45731</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45731</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45731</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45731</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45731</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45731</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45731</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45731</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45731</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45731</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45731</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45731</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45731</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45731</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45731</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45731</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45731</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45731</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45731</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45731</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45731</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45731</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45731</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45731</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45731</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45731</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45731</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45731</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45731</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45731</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45731</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45731</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45731</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45731</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45731</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45731</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45731</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45731</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45731</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45731</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45731</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45731</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45731</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45731</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45731</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45731</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45731</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45731</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45731</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45731</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45731</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45731</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45731</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45731</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45731</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45731</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45731</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45731</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45731</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45731</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45731</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45731</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45731</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45731</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45731</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45731</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45731</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45731</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45731</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45731</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45731</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45731</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45731</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45731</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45731</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45731</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45731</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45731</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45731</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45731</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45731</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45731</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45731</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45731</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45731</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45731</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45731</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45731</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45731</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45731</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45731</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45731</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45731</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45731</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45731</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45731</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45731</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45731</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45731</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45731</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45731</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45731</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45731</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45731</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45731</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45731</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45731</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45731</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45731</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45731</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45731</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45731</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45731</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45731</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45731</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45731</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45731</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45731</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45731</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45731</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45731</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45731</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45731</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45731</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45731</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45731</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45731</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45731</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45731</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45731</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45731</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45731</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45731</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45731</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45731</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45731</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45731</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45731</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45731</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45731</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45731</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45731</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45731</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45731</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45731</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45731</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45731</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45731</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45731</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45731</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45731</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45731</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45731</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45731</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45731</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45731</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45731</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45731</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45731</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45731</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45731</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45731</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45731</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45731</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45731</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45731</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45731</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45731</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45731</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45731</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45731</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45731</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45731</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45731</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45731</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45731</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45731</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45731</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45731</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45731</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45731</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45731</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45731</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45731</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45731</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45731</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45731</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45731</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45731</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45731</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45731</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45731</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45731</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45731</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45731</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45731</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45731</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45731</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45731</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45731</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45731</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45731</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45731</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45731</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45731</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45731</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45731</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45731</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45731</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45731</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45731</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45731</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45731</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45731</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45731</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45731</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45731</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45731</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45731</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45731</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45731</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45731</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45731</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45731</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45731</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45731</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45731</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45731</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45731</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45731</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45731</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45731</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45731</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45731</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45731</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45731</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45731</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45731</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45731</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45731</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45731</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45731</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45731</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45731</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45731</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45731</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45731</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45731</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45731</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45731</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45731</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45731</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45731</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45731</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45731</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45731</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45731</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45731</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45731</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45731</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45731</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45731</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45731</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45731</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45731</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45731</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45731</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45731</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45731</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45731</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45731</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45731</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45731</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45731</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45731</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45731</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45731</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45731</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45731</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45731</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45731</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45731</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45731</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45731</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45731</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45731</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45731</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45731</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45731</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45731</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45731</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45731</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45731</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45731</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45731</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45731</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45731</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45731</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45731</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45731</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45731</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45731</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45731</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45731</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45731</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45731</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45731</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45731</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45731</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45731</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45731</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45731</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45731</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45731</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45731</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45731</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45731</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45731</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45731</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45731</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45731</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45731</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45731</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45731</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45731</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45731</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45731</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45731</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45731</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45731</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45731</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45731</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45731</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45731</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45731</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45731</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45731</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45731</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45731</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45731</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45731</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45731</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45731</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45731</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45731</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45731</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45731</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45731</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45731</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45731</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45731</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45731</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45731</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45731</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45731</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45731</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45731</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45731</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45731</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45731</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45731</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45731</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45731</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45731</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45731</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45731</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45731</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45731</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45731</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45731</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45731</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45731</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45731</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45731</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45731</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45731</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45731</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45731</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45731</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45731</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45731</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45731</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45731</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45731</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45731</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45731</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45731</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45731</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45731</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45731</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45731</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45731</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45731</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45731</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45731</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45731</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45731</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45731</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45731</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45731</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45731</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45731</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45731</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45731</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45731</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45731</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45731</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45731</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45731</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45731</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45731</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45731</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45731</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45731</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45731</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45731</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45731</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45731</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45731</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45731</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45731</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45731</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45731</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45731</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45731</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45731</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45731</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45731</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45731</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45731</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45731</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45731</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45731</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45731</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45731</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45731</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45731</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45731</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45731</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45731</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45731</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45731</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45731</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45731</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45731</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45731</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45731</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45731</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45731</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45731</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45731</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45731</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45731</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45731</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45731</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45731</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45731</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45731</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45731</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45731</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45731</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45731</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45731</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45731</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45731</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45731</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45731</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45731</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45731</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45731</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45731</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45731</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45731</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45731</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45731</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45731</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45731</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45731</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45731</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45731</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45731</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45731</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45731</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45731</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45731</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45731</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45731</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45731</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45731</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45731</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45731</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45731</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45731</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45731</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45731</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45731</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45731</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45731</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45731</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45731</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45731</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45731</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45731</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45731</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45731</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45731</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45731</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45731</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45731</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45731</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45731</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45731</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45731</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45731</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45731</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45731</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45731</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45731</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45731</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45731</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45731</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45731</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45731</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45731</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45731</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45731</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45731</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45731</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45731</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45731</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45731</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45731</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45731</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45731</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45731</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45731</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45731</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45731</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45731</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45731</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45731</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45731</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45731</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45731</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45731</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45731</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45731</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45731</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45731</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45731</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45731</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45731</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45731</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45731</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45731</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45731</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45731</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45731</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45731</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45731</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45731</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45731</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45731</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45731</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45731</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45731</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45731</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45731</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45731</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45731</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45731</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45731</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45731</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45731</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45731</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45731</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45731</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45731</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45731</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45731</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45731</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45731</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45731</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45731</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45731</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45731</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45731</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45731</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45731</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45731</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45731</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45731</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45731</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45731</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45731</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45731</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45731</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45731</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45731</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45731</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45731</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45731</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45731</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45731</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45731</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45731</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45731</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45731</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45731</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45731</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45731</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45731</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45731</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45731</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45731</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45731</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45731</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45731</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45731</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45731</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45731</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45731</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45731</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45731</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45731</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45731</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45731</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45731</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45731</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45731</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45731</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45731</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45731</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45731</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45731</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45731</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45731</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45731</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45731</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45731</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45731</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45731</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45731</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45731</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45731</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45731</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45731</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45731</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45731</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45731</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45731</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45731</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45731</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45731</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45731</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45731</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45731</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45731</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45731</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45731</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45731</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45731</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45731</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45731</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45731</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45731</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45731</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45731</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45731</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45731</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45731</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45731</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45731</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45731</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45731</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45731</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45731</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45731</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45731</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45731</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45731</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45731</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45731</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45731</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45731</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45731</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45731</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45731</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45731</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45731</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45731</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45731</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45731</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45731</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45731</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45731</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45731</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45731</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45731</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45731</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45731</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45731</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45731</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45731</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45731</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45731</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45731</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45731</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45731</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45731</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45731</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45731</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45731</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45731</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45731</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45731</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45731</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45731</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45731</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45731</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45731</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45731</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45731</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45731</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45731</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45731</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45731</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45731</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45731</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45731</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45731</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45731</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45731</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45731</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45731</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45731</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45731</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45731</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45731</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45731</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45731</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45731</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45731</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45731</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45731</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45731</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45731</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45731</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45731</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45731</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45731</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45731</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45731</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45731</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45731</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45731</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45731</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45731</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45731</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45731</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45731</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45731</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45731</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45731</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45731</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45731</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45731</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45731</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45731</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45731</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45731</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45731</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45731</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45731</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45731</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45731</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45731</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45731</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45731</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45731</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45731</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45731</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45731</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45731</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45731</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45731</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45731</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45731</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45731</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45731</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45731</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45731</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45731</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45731</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45731</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45731</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45731</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45731</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45731</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45731</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45731</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45731</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45731</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45731</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45731</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45731</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45731</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45731</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45731</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45731</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45731</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45731</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45731</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45731</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45731</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45731</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45731</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45731</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45731</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45731</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45731</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45731</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45731</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45731</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45731</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45731</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45731</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45731</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45731</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45731</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45731</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45731</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45731</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45731</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45731</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45731</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45731</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45731</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45731</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45731</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45731</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45731</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45731</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45731</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45731</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45731</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45731</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45731</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45731</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45731</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45731</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45731</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45731</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45731</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45731</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45731</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45731</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45731</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45731</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45731</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45731</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45731</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45731</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45731</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45731</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45731</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45731</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45731</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45731</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45731</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45731</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45731</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45731</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45731</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45731</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45731</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45731</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45731</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45731</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45731</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45731</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45731</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45731</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45731</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45731</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45731</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45731</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45731</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45731</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45731</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45731</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45731</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45731</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45731</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45731</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45731</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45731</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45731</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45731</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45731</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45731</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45731</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45731</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45731</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45731</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45731</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45731</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45731</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45731</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45731</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45731</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45731</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45731</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45731</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45731</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45731</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45731</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45731</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45731</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45731</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45731</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45731</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45731</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45731</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45731</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45731</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45731</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45731</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45731</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45731</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45731</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45731</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45731</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45731</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45731</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45731</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45731</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45731</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45731</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45731</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45731</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45731</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45731</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45731</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45731</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45731</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45731</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45731</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45731</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45731</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45731</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45731</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45731</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45731</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45731</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45731</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45731</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45731</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45731</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45731</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45731</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45731</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45731</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45731</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45731</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45731</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45731</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45731</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45731</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45731</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45731</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45731</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45731</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45731</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45731</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45731</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45731</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45731</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45731</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45731</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45731</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45731</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45731</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45731</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45731</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45731</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45731</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45731</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45731</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45731</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45731</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45731</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45731</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45731</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45731</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45731</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45731</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45731</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45731</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45731</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45731</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45731</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45731</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45731</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45731</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45731</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45731</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45731</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45731</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45731</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45731</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45731</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45731</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45731</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45731</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45731</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45731</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45731</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45731</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45731</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45731</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45731</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45731</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45731</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45731</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45731</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45731</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45731</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45731</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45731</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45731</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45731</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45731</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45731</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45731</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45731</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45731</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45731</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45731</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45731</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45731</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45731</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45731</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45731</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45731</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45731</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45731</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45731</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45731</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45731</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45731</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45731</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45731</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45731</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45731</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45731</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8588-2025</t>
        </is>
      </c>
      <c r="B1120" s="1" t="n">
        <v>45709</v>
      </c>
      <c r="C1120" s="1" t="n">
        <v>45731</v>
      </c>
      <c r="D1120" t="inlineStr">
        <is>
          <t>DALARNAS LÄN</t>
        </is>
      </c>
      <c r="E1120" t="inlineStr">
        <is>
          <t>SMEDJEBACKEN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45731</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9200-2025</t>
        </is>
      </c>
      <c r="B1122" s="1" t="n">
        <v>45714</v>
      </c>
      <c r="C1122" s="1" t="n">
        <v>45731</v>
      </c>
      <c r="D1122" t="inlineStr">
        <is>
          <t>DALARNAS LÄN</t>
        </is>
      </c>
      <c r="E1122" t="inlineStr">
        <is>
          <t>SMEDJEBACKEN</t>
        </is>
      </c>
      <c r="F1122" t="inlineStr">
        <is>
          <t>Bergvik skog väst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45731</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45731</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HYPERLINK("https://klasma.github.io/Logging_2061/knärot/A 10094-2025 karta knärot.png", "A 10094-2025")</f>
        <v/>
      </c>
      <c r="V1124">
        <f>HYPERLINK("https://klasma.github.io/Logging_2061/klagomål/A 10094-2025 FSC-klagomål.docx", "A 10094-2025")</f>
        <v/>
      </c>
      <c r="W1124">
        <f>HYPERLINK("https://klasma.github.io/Logging_2061/klagomålsmail/A 10094-2025 FSC-klagomål mail.docx", "A 10094-2025")</f>
        <v/>
      </c>
      <c r="X1124">
        <f>HYPERLINK("https://klasma.github.io/Logging_2061/tillsyn/A 10094-2025 tillsynsbegäran.docx", "A 10094-2025")</f>
        <v/>
      </c>
      <c r="Y1124">
        <f>HYPERLINK("https://klasma.github.io/Logging_2061/tillsynsmail/A 10094-2025 tillsynsbegäran mail.docx", "A 10094-2025")</f>
        <v/>
      </c>
    </row>
    <row r="1125" ht="15" customHeight="1">
      <c r="A1125" t="inlineStr">
        <is>
          <t>A 11155-2025</t>
        </is>
      </c>
      <c r="B1125" s="1" t="n">
        <v>45723</v>
      </c>
      <c r="C1125" s="1" t="n">
        <v>45731</v>
      </c>
      <c r="D1125" t="inlineStr">
        <is>
          <t>DALARNAS LÄN</t>
        </is>
      </c>
      <c r="E1125" t="inlineStr">
        <is>
          <t>SMEDJEBACKEN</t>
        </is>
      </c>
      <c r="F1125" t="inlineStr">
        <is>
          <t>Bergvik skog väst AB</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11145-2025</t>
        </is>
      </c>
      <c r="B1126" s="1" t="n">
        <v>45723</v>
      </c>
      <c r="C1126" s="1" t="n">
        <v>45731</v>
      </c>
      <c r="D1126" t="inlineStr">
        <is>
          <t>DALARNAS LÄN</t>
        </is>
      </c>
      <c r="E1126" t="inlineStr">
        <is>
          <t>SMEDJEBACKEN</t>
        </is>
      </c>
      <c r="F1126" t="inlineStr">
        <is>
          <t>Bergvik skog väst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11161-2025</t>
        </is>
      </c>
      <c r="B1127" s="1" t="n">
        <v>45723</v>
      </c>
      <c r="C1127" s="1" t="n">
        <v>45731</v>
      </c>
      <c r="D1127" t="inlineStr">
        <is>
          <t>DALARNAS LÄN</t>
        </is>
      </c>
      <c r="E1127" t="inlineStr">
        <is>
          <t>SMEDJEBACKEN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11154-2025</t>
        </is>
      </c>
      <c r="B1128" s="1" t="n">
        <v>45723</v>
      </c>
      <c r="C1128" s="1" t="n">
        <v>45731</v>
      </c>
      <c r="D1128" t="inlineStr">
        <is>
          <t>DALARNAS LÄN</t>
        </is>
      </c>
      <c r="E1128" t="inlineStr">
        <is>
          <t>SMEDJEBACKEN</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45731</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11364-2025</t>
        </is>
      </c>
      <c r="B1130" s="1" t="n">
        <v>45726</v>
      </c>
      <c r="C1130" s="1" t="n">
        <v>45731</v>
      </c>
      <c r="D1130" t="inlineStr">
        <is>
          <t>DALARNAS LÄN</t>
        </is>
      </c>
      <c r="E1130" t="inlineStr">
        <is>
          <t>SMEDJEBACKEN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11375-2025</t>
        </is>
      </c>
      <c r="B1131" s="1" t="n">
        <v>45726</v>
      </c>
      <c r="C1131" s="1" t="n">
        <v>45731</v>
      </c>
      <c r="D1131" t="inlineStr">
        <is>
          <t>DALARNAS LÄN</t>
        </is>
      </c>
      <c r="E1131" t="inlineStr">
        <is>
          <t>SMEDJEBACKEN</t>
        </is>
      </c>
      <c r="G1131" t="n">
        <v>5.7</v>
      </c>
      <c r="H1131" t="n">
        <v>0</v>
      </c>
      <c r="I1131" t="n">
        <v>0</v>
      </c>
      <c r="J1131" t="n">
        <v>0</v>
      </c>
      <c r="K1131" t="n">
        <v>0</v>
      </c>
      <c r="L1131" t="n">
        <v>0</v>
      </c>
      <c r="M1131" t="n">
        <v>0</v>
      </c>
      <c r="N1131" t="n">
        <v>0</v>
      </c>
      <c r="O1131" t="n">
        <v>0</v>
      </c>
      <c r="P1131" t="n">
        <v>0</v>
      </c>
      <c r="Q1131" t="n">
        <v>0</v>
      </c>
      <c r="R1131" s="2" t="inlineStr"/>
    </row>
    <row r="1132">
      <c r="A1132" t="inlineStr">
        <is>
          <t>A 12131-2025</t>
        </is>
      </c>
      <c r="B1132" s="1" t="n">
        <v>45729</v>
      </c>
      <c r="C1132" s="1" t="n">
        <v>45731</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2025-03-15T17:39:18Z</dcterms:created>
  <dcterms:modified xmlns:dcterms="http://purl.org/dc/terms/" xmlns:xsi="http://www.w3.org/2001/XMLSchema-instance" xsi:type="dcterms:W3CDTF">2025-03-15T17:39:19Z</dcterms:modified>
</cp:coreProperties>
</file>