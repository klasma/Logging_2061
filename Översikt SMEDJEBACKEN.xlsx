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45794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45794</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45794</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45794</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45794</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45794</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45794</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45794</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45794</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45794</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45794</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45794</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45794</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45794</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45794</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45794</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45794</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45794</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45794</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45794</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45794</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45794</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45794</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45794</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45794</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45794</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45794</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45794</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45794</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45794</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45794</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45794</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45794</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45794</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45794</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45794</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45794</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45794</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45794</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45794</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45794</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45794</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45794</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45794</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45794</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45794</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45794</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15124-2023</t>
        </is>
      </c>
      <c r="B49" s="1" t="n">
        <v>45015</v>
      </c>
      <c r="C49" s="1" t="n">
        <v>45794</v>
      </c>
      <c r="D49" t="inlineStr">
        <is>
          <t>DALARNAS LÄN</t>
        </is>
      </c>
      <c r="E49" t="inlineStr">
        <is>
          <t>SMEDJEBACKEN</t>
        </is>
      </c>
      <c r="F49" t="inlineStr">
        <is>
          <t>Bergvik skog väst AB</t>
        </is>
      </c>
      <c r="G49" t="n">
        <v>6.2</v>
      </c>
      <c r="H49" t="n">
        <v>0</v>
      </c>
      <c r="I49" t="n">
        <v>0</v>
      </c>
      <c r="J49" t="n">
        <v>1</v>
      </c>
      <c r="K49" t="n">
        <v>0</v>
      </c>
      <c r="L49" t="n">
        <v>0</v>
      </c>
      <c r="M49" t="n">
        <v>0</v>
      </c>
      <c r="N49" t="n">
        <v>0</v>
      </c>
      <c r="O49" t="n">
        <v>1</v>
      </c>
      <c r="P49" t="n">
        <v>0</v>
      </c>
      <c r="Q49" t="n">
        <v>1</v>
      </c>
      <c r="R49" s="2" t="inlineStr">
        <is>
          <t>Skogsklocka</t>
        </is>
      </c>
      <c r="S49">
        <f>HYPERLINK("https://klasma.github.io/Logging_2061/artfynd/A 15124-2023 artfynd.xlsx", "A 15124-2023")</f>
        <v/>
      </c>
      <c r="T49">
        <f>HYPERLINK("https://klasma.github.io/Logging_2061/kartor/A 15124-2023 karta.png", "A 15124-2023")</f>
        <v/>
      </c>
      <c r="V49">
        <f>HYPERLINK("https://klasma.github.io/Logging_2061/klagomål/A 15124-2023 FSC-klagomål.docx", "A 15124-2023")</f>
        <v/>
      </c>
      <c r="W49">
        <f>HYPERLINK("https://klasma.github.io/Logging_2061/klagomålsmail/A 15124-2023 FSC-klagomål mail.docx", "A 15124-2023")</f>
        <v/>
      </c>
      <c r="X49">
        <f>HYPERLINK("https://klasma.github.io/Logging_2061/tillsyn/A 15124-2023 tillsynsbegäran.docx", "A 15124-2023")</f>
        <v/>
      </c>
      <c r="Y49">
        <f>HYPERLINK("https://klasma.github.io/Logging_2061/tillsynsmail/A 15124-2023 tillsynsbegäran mail.docx", "A 15124-2023")</f>
        <v/>
      </c>
    </row>
    <row r="50" ht="15" customHeight="1">
      <c r="A50" t="inlineStr">
        <is>
          <t>A 46775-2023</t>
        </is>
      </c>
      <c r="B50" s="1" t="n">
        <v>45198</v>
      </c>
      <c r="C50" s="1" t="n">
        <v>45794</v>
      </c>
      <c r="D50" t="inlineStr">
        <is>
          <t>DALARNAS LÄN</t>
        </is>
      </c>
      <c r="E50" t="inlineStr">
        <is>
          <t>SMEDJEBACKEN</t>
        </is>
      </c>
      <c r="F50" t="inlineStr">
        <is>
          <t>Bergvik skog väst AB</t>
        </is>
      </c>
      <c r="G50" t="n">
        <v>1</v>
      </c>
      <c r="H50" t="n">
        <v>0</v>
      </c>
      <c r="I50" t="n">
        <v>1</v>
      </c>
      <c r="J50" t="n">
        <v>0</v>
      </c>
      <c r="K50" t="n">
        <v>0</v>
      </c>
      <c r="L50" t="n">
        <v>0</v>
      </c>
      <c r="M50" t="n">
        <v>0</v>
      </c>
      <c r="N50" t="n">
        <v>0</v>
      </c>
      <c r="O50" t="n">
        <v>0</v>
      </c>
      <c r="P50" t="n">
        <v>0</v>
      </c>
      <c r="Q50" t="n">
        <v>1</v>
      </c>
      <c r="R50" s="2" t="inlineStr">
        <is>
          <t>Tibast</t>
        </is>
      </c>
      <c r="S50">
        <f>HYPERLINK("https://klasma.github.io/Logging_2061/artfynd/A 46775-2023 artfynd.xlsx", "A 46775-2023")</f>
        <v/>
      </c>
      <c r="T50">
        <f>HYPERLINK("https://klasma.github.io/Logging_2061/kartor/A 46775-2023 karta.png", "A 46775-2023")</f>
        <v/>
      </c>
      <c r="V50">
        <f>HYPERLINK("https://klasma.github.io/Logging_2061/klagomål/A 46775-2023 FSC-klagomål.docx", "A 46775-2023")</f>
        <v/>
      </c>
      <c r="W50">
        <f>HYPERLINK("https://klasma.github.io/Logging_2061/klagomålsmail/A 46775-2023 FSC-klagomål mail.docx", "A 46775-2023")</f>
        <v/>
      </c>
      <c r="X50">
        <f>HYPERLINK("https://klasma.github.io/Logging_2061/tillsyn/A 46775-2023 tillsynsbegäran.docx", "A 46775-2023")</f>
        <v/>
      </c>
      <c r="Y50">
        <f>HYPERLINK("https://klasma.github.io/Logging_2061/tillsynsmail/A 46775-2023 tillsynsbegäran mail.docx", "A 46775-2023")</f>
        <v/>
      </c>
    </row>
    <row r="51" ht="15" customHeight="1">
      <c r="A51" t="inlineStr">
        <is>
          <t>A 46752-2023</t>
        </is>
      </c>
      <c r="B51" s="1" t="n">
        <v>45198</v>
      </c>
      <c r="C51" s="1" t="n">
        <v>45794</v>
      </c>
      <c r="D51" t="inlineStr">
        <is>
          <t>DALARNAS LÄN</t>
        </is>
      </c>
      <c r="E51" t="inlineStr">
        <is>
          <t>SMEDJEBACKEN</t>
        </is>
      </c>
      <c r="F51" t="inlineStr">
        <is>
          <t>Bergvik skog väst AB</t>
        </is>
      </c>
      <c r="G51" t="n">
        <v>2.4</v>
      </c>
      <c r="H51" t="n">
        <v>0</v>
      </c>
      <c r="I51" t="n">
        <v>1</v>
      </c>
      <c r="J51" t="n">
        <v>0</v>
      </c>
      <c r="K51" t="n">
        <v>0</v>
      </c>
      <c r="L51" t="n">
        <v>0</v>
      </c>
      <c r="M51" t="n">
        <v>0</v>
      </c>
      <c r="N51" t="n">
        <v>0</v>
      </c>
      <c r="O51" t="n">
        <v>0</v>
      </c>
      <c r="P51" t="n">
        <v>0</v>
      </c>
      <c r="Q51" t="n">
        <v>1</v>
      </c>
      <c r="R51" s="2" t="inlineStr">
        <is>
          <t>Tibast</t>
        </is>
      </c>
      <c r="S51">
        <f>HYPERLINK("https://klasma.github.io/Logging_2061/artfynd/A 46752-2023 artfynd.xlsx", "A 46752-2023")</f>
        <v/>
      </c>
      <c r="T51">
        <f>HYPERLINK("https://klasma.github.io/Logging_2061/kartor/A 46752-2023 karta.png", "A 46752-2023")</f>
        <v/>
      </c>
      <c r="V51">
        <f>HYPERLINK("https://klasma.github.io/Logging_2061/klagomål/A 46752-2023 FSC-klagomål.docx", "A 46752-2023")</f>
        <v/>
      </c>
      <c r="W51">
        <f>HYPERLINK("https://klasma.github.io/Logging_2061/klagomålsmail/A 46752-2023 FSC-klagomål mail.docx", "A 46752-2023")</f>
        <v/>
      </c>
      <c r="X51">
        <f>HYPERLINK("https://klasma.github.io/Logging_2061/tillsyn/A 46752-2023 tillsynsbegäran.docx", "A 46752-2023")</f>
        <v/>
      </c>
      <c r="Y51">
        <f>HYPERLINK("https://klasma.github.io/Logging_2061/tillsynsmail/A 46752-2023 tillsynsbegäran mail.docx", "A 46752-2023")</f>
        <v/>
      </c>
    </row>
    <row r="52" ht="15" customHeight="1">
      <c r="A52" t="inlineStr">
        <is>
          <t>A 46779-2023</t>
        </is>
      </c>
      <c r="B52" s="1" t="n">
        <v>45198</v>
      </c>
      <c r="C52" s="1" t="n">
        <v>45794</v>
      </c>
      <c r="D52" t="inlineStr">
        <is>
          <t>DALARNAS LÄN</t>
        </is>
      </c>
      <c r="E52" t="inlineStr">
        <is>
          <t>SMEDJEBACKEN</t>
        </is>
      </c>
      <c r="F52" t="inlineStr">
        <is>
          <t>Bergvik skog väst AB</t>
        </is>
      </c>
      <c r="G52" t="n">
        <v>14.2</v>
      </c>
      <c r="H52" t="n">
        <v>1</v>
      </c>
      <c r="I52" t="n">
        <v>0</v>
      </c>
      <c r="J52" t="n">
        <v>0</v>
      </c>
      <c r="K52" t="n">
        <v>1</v>
      </c>
      <c r="L52" t="n">
        <v>0</v>
      </c>
      <c r="M52" t="n">
        <v>0</v>
      </c>
      <c r="N52" t="n">
        <v>0</v>
      </c>
      <c r="O52" t="n">
        <v>1</v>
      </c>
      <c r="P52" t="n">
        <v>1</v>
      </c>
      <c r="Q52" t="n">
        <v>1</v>
      </c>
      <c r="R52" s="2" t="inlineStr">
        <is>
          <t>Väddnätfjäril</t>
        </is>
      </c>
      <c r="S52">
        <f>HYPERLINK("https://klasma.github.io/Logging_2061/artfynd/A 46779-2023 artfynd.xlsx", "A 46779-2023")</f>
        <v/>
      </c>
      <c r="T52">
        <f>HYPERLINK("https://klasma.github.io/Logging_2061/kartor/A 46779-2023 karta.png", "A 46779-2023")</f>
        <v/>
      </c>
      <c r="V52">
        <f>HYPERLINK("https://klasma.github.io/Logging_2061/klagomål/A 46779-2023 FSC-klagomål.docx", "A 46779-2023")</f>
        <v/>
      </c>
      <c r="W52">
        <f>HYPERLINK("https://klasma.github.io/Logging_2061/klagomålsmail/A 46779-2023 FSC-klagomål mail.docx", "A 46779-2023")</f>
        <v/>
      </c>
      <c r="X52">
        <f>HYPERLINK("https://klasma.github.io/Logging_2061/tillsyn/A 46779-2023 tillsynsbegäran.docx", "A 46779-2023")</f>
        <v/>
      </c>
      <c r="Y52">
        <f>HYPERLINK("https://klasma.github.io/Logging_2061/tillsynsmail/A 46779-2023 tillsynsbegäran mail.docx", "A 46779-2023")</f>
        <v/>
      </c>
    </row>
    <row r="53" ht="15" customHeight="1">
      <c r="A53" t="inlineStr">
        <is>
          <t>A 54156-2023</t>
        </is>
      </c>
      <c r="B53" s="1" t="n">
        <v>45225</v>
      </c>
      <c r="C53" s="1" t="n">
        <v>45794</v>
      </c>
      <c r="D53" t="inlineStr">
        <is>
          <t>DALARNAS LÄN</t>
        </is>
      </c>
      <c r="E53" t="inlineStr">
        <is>
          <t>SMEDJEBACKEN</t>
        </is>
      </c>
      <c r="F53" t="inlineStr">
        <is>
          <t>Bergvik skog väst AB</t>
        </is>
      </c>
      <c r="G53" t="n">
        <v>26.3</v>
      </c>
      <c r="H53" t="n">
        <v>1</v>
      </c>
      <c r="I53" t="n">
        <v>0</v>
      </c>
      <c r="J53" t="n">
        <v>0</v>
      </c>
      <c r="K53" t="n">
        <v>0</v>
      </c>
      <c r="L53" t="n">
        <v>0</v>
      </c>
      <c r="M53" t="n">
        <v>0</v>
      </c>
      <c r="N53" t="n">
        <v>0</v>
      </c>
      <c r="O53" t="n">
        <v>0</v>
      </c>
      <c r="P53" t="n">
        <v>0</v>
      </c>
      <c r="Q53" t="n">
        <v>1</v>
      </c>
      <c r="R53" s="2" t="inlineStr">
        <is>
          <t>Revlummer</t>
        </is>
      </c>
      <c r="S53">
        <f>HYPERLINK("https://klasma.github.io/Logging_2061/artfynd/A 54156-2023 artfynd.xlsx", "A 54156-2023")</f>
        <v/>
      </c>
      <c r="T53">
        <f>HYPERLINK("https://klasma.github.io/Logging_2061/kartor/A 54156-2023 karta.png", "A 54156-2023")</f>
        <v/>
      </c>
      <c r="V53">
        <f>HYPERLINK("https://klasma.github.io/Logging_2061/klagomål/A 54156-2023 FSC-klagomål.docx", "A 54156-2023")</f>
        <v/>
      </c>
      <c r="W53">
        <f>HYPERLINK("https://klasma.github.io/Logging_2061/klagomålsmail/A 54156-2023 FSC-klagomål mail.docx", "A 54156-2023")</f>
        <v/>
      </c>
      <c r="X53">
        <f>HYPERLINK("https://klasma.github.io/Logging_2061/tillsyn/A 54156-2023 tillsynsbegäran.docx", "A 54156-2023")</f>
        <v/>
      </c>
      <c r="Y53">
        <f>HYPERLINK("https://klasma.github.io/Logging_2061/tillsynsmail/A 54156-2023 tillsynsbegäran mail.docx", "A 54156-2023")</f>
        <v/>
      </c>
    </row>
    <row r="54" ht="15" customHeight="1">
      <c r="A54" t="inlineStr">
        <is>
          <t>A 52958-2023</t>
        </is>
      </c>
      <c r="B54" s="1" t="n">
        <v>45226</v>
      </c>
      <c r="C54" s="1" t="n">
        <v>45794</v>
      </c>
      <c r="D54" t="inlineStr">
        <is>
          <t>DALARNAS LÄN</t>
        </is>
      </c>
      <c r="E54" t="inlineStr">
        <is>
          <t>SMEDJEBACKEN</t>
        </is>
      </c>
      <c r="F54" t="inlineStr">
        <is>
          <t>Sveaskog</t>
        </is>
      </c>
      <c r="G54" t="n">
        <v>4.9</v>
      </c>
      <c r="H54" t="n">
        <v>0</v>
      </c>
      <c r="I54" t="n">
        <v>0</v>
      </c>
      <c r="J54" t="n">
        <v>1</v>
      </c>
      <c r="K54" t="n">
        <v>0</v>
      </c>
      <c r="L54" t="n">
        <v>0</v>
      </c>
      <c r="M54" t="n">
        <v>0</v>
      </c>
      <c r="N54" t="n">
        <v>0</v>
      </c>
      <c r="O54" t="n">
        <v>1</v>
      </c>
      <c r="P54" t="n">
        <v>0</v>
      </c>
      <c r="Q54" t="n">
        <v>1</v>
      </c>
      <c r="R54" s="2" t="inlineStr">
        <is>
          <t>Motaggsvamp</t>
        </is>
      </c>
      <c r="S54">
        <f>HYPERLINK("https://klasma.github.io/Logging_2061/artfynd/A 52958-2023 artfynd.xlsx", "A 52958-2023")</f>
        <v/>
      </c>
      <c r="T54">
        <f>HYPERLINK("https://klasma.github.io/Logging_2061/kartor/A 52958-2023 karta.png", "A 52958-2023")</f>
        <v/>
      </c>
      <c r="V54">
        <f>HYPERLINK("https://klasma.github.io/Logging_2061/klagomål/A 52958-2023 FSC-klagomål.docx", "A 52958-2023")</f>
        <v/>
      </c>
      <c r="W54">
        <f>HYPERLINK("https://klasma.github.io/Logging_2061/klagomålsmail/A 52958-2023 FSC-klagomål mail.docx", "A 52958-2023")</f>
        <v/>
      </c>
      <c r="X54">
        <f>HYPERLINK("https://klasma.github.io/Logging_2061/tillsyn/A 52958-2023 tillsynsbegäran.docx", "A 52958-2023")</f>
        <v/>
      </c>
      <c r="Y54">
        <f>HYPERLINK("https://klasma.github.io/Logging_2061/tillsynsmail/A 52958-2023 tillsynsbegäran mail.docx", "A 52958-2023")</f>
        <v/>
      </c>
    </row>
    <row r="55" ht="15" customHeight="1">
      <c r="A55" t="inlineStr">
        <is>
          <t>A 52953-2023</t>
        </is>
      </c>
      <c r="B55" s="1" t="n">
        <v>45226</v>
      </c>
      <c r="C55" s="1" t="n">
        <v>45794</v>
      </c>
      <c r="D55" t="inlineStr">
        <is>
          <t>DALARNAS LÄN</t>
        </is>
      </c>
      <c r="E55" t="inlineStr">
        <is>
          <t>SMEDJEBACKEN</t>
        </is>
      </c>
      <c r="F55" t="inlineStr">
        <is>
          <t>Sveaskog</t>
        </is>
      </c>
      <c r="G55" t="n">
        <v>0.9</v>
      </c>
      <c r="H55" t="n">
        <v>0</v>
      </c>
      <c r="I55" t="n">
        <v>0</v>
      </c>
      <c r="J55" t="n">
        <v>1</v>
      </c>
      <c r="K55" t="n">
        <v>0</v>
      </c>
      <c r="L55" t="n">
        <v>0</v>
      </c>
      <c r="M55" t="n">
        <v>0</v>
      </c>
      <c r="N55" t="n">
        <v>0</v>
      </c>
      <c r="O55" t="n">
        <v>1</v>
      </c>
      <c r="P55" t="n">
        <v>0</v>
      </c>
      <c r="Q55" t="n">
        <v>1</v>
      </c>
      <c r="R55" s="2" t="inlineStr">
        <is>
          <t>Motaggsvamp</t>
        </is>
      </c>
      <c r="S55">
        <f>HYPERLINK("https://klasma.github.io/Logging_2061/artfynd/A 52953-2023 artfynd.xlsx", "A 52953-2023")</f>
        <v/>
      </c>
      <c r="T55">
        <f>HYPERLINK("https://klasma.github.io/Logging_2061/kartor/A 52953-2023 karta.png", "A 52953-2023")</f>
        <v/>
      </c>
      <c r="V55">
        <f>HYPERLINK("https://klasma.github.io/Logging_2061/klagomål/A 52953-2023 FSC-klagomål.docx", "A 52953-2023")</f>
        <v/>
      </c>
      <c r="W55">
        <f>HYPERLINK("https://klasma.github.io/Logging_2061/klagomålsmail/A 52953-2023 FSC-klagomål mail.docx", "A 52953-2023")</f>
        <v/>
      </c>
      <c r="X55">
        <f>HYPERLINK("https://klasma.github.io/Logging_2061/tillsyn/A 52953-2023 tillsynsbegäran.docx", "A 52953-2023")</f>
        <v/>
      </c>
      <c r="Y55">
        <f>HYPERLINK("https://klasma.github.io/Logging_2061/tillsynsmail/A 52953-2023 tillsynsbegäran mail.docx", "A 52953-2023")</f>
        <v/>
      </c>
    </row>
    <row r="56" ht="15" customHeight="1">
      <c r="A56" t="inlineStr">
        <is>
          <t>A 55476-2023</t>
        </is>
      </c>
      <c r="B56" s="1" t="n">
        <v>45231</v>
      </c>
      <c r="C56" s="1" t="n">
        <v>45794</v>
      </c>
      <c r="D56" t="inlineStr">
        <is>
          <t>DALARNAS LÄN</t>
        </is>
      </c>
      <c r="E56" t="inlineStr">
        <is>
          <t>SMEDJEBACKEN</t>
        </is>
      </c>
      <c r="F56" t="inlineStr">
        <is>
          <t>Bergvik skog väst AB</t>
        </is>
      </c>
      <c r="G56" t="n">
        <v>16.3</v>
      </c>
      <c r="H56" t="n">
        <v>1</v>
      </c>
      <c r="I56" t="n">
        <v>0</v>
      </c>
      <c r="J56" t="n">
        <v>0</v>
      </c>
      <c r="K56" t="n">
        <v>0</v>
      </c>
      <c r="L56" t="n">
        <v>0</v>
      </c>
      <c r="M56" t="n">
        <v>0</v>
      </c>
      <c r="N56" t="n">
        <v>0</v>
      </c>
      <c r="O56" t="n">
        <v>0</v>
      </c>
      <c r="P56" t="n">
        <v>0</v>
      </c>
      <c r="Q56" t="n">
        <v>1</v>
      </c>
      <c r="R56" s="2" t="inlineStr">
        <is>
          <t>Revlummer</t>
        </is>
      </c>
      <c r="S56">
        <f>HYPERLINK("https://klasma.github.io/Logging_2061/artfynd/A 55476-2023 artfynd.xlsx", "A 55476-2023")</f>
        <v/>
      </c>
      <c r="T56">
        <f>HYPERLINK("https://klasma.github.io/Logging_2061/kartor/A 55476-2023 karta.png", "A 55476-2023")</f>
        <v/>
      </c>
      <c r="V56">
        <f>HYPERLINK("https://klasma.github.io/Logging_2061/klagomål/A 55476-2023 FSC-klagomål.docx", "A 55476-2023")</f>
        <v/>
      </c>
      <c r="W56">
        <f>HYPERLINK("https://klasma.github.io/Logging_2061/klagomålsmail/A 55476-2023 FSC-klagomål mail.docx", "A 55476-2023")</f>
        <v/>
      </c>
      <c r="X56">
        <f>HYPERLINK("https://klasma.github.io/Logging_2061/tillsyn/A 55476-2023 tillsynsbegäran.docx", "A 55476-2023")</f>
        <v/>
      </c>
      <c r="Y56">
        <f>HYPERLINK("https://klasma.github.io/Logging_2061/tillsynsmail/A 55476-2023 tillsynsbegäran mail.docx", "A 55476-2023")</f>
        <v/>
      </c>
    </row>
    <row r="57" ht="15" customHeight="1">
      <c r="A57" t="inlineStr">
        <is>
          <t>A 15389-2024</t>
        </is>
      </c>
      <c r="B57" s="1" t="n">
        <v>45401</v>
      </c>
      <c r="C57" s="1" t="n">
        <v>45794</v>
      </c>
      <c r="D57" t="inlineStr">
        <is>
          <t>DALARNAS LÄN</t>
        </is>
      </c>
      <c r="E57" t="inlineStr">
        <is>
          <t>SMEDJEBACKEN</t>
        </is>
      </c>
      <c r="F57" t="inlineStr">
        <is>
          <t>Sveaskog</t>
        </is>
      </c>
      <c r="G57" t="n">
        <v>2.8</v>
      </c>
      <c r="H57" t="n">
        <v>0</v>
      </c>
      <c r="I57" t="n">
        <v>1</v>
      </c>
      <c r="J57" t="n">
        <v>0</v>
      </c>
      <c r="K57" t="n">
        <v>0</v>
      </c>
      <c r="L57" t="n">
        <v>0</v>
      </c>
      <c r="M57" t="n">
        <v>0</v>
      </c>
      <c r="N57" t="n">
        <v>0</v>
      </c>
      <c r="O57" t="n">
        <v>0</v>
      </c>
      <c r="P57" t="n">
        <v>0</v>
      </c>
      <c r="Q57" t="n">
        <v>1</v>
      </c>
      <c r="R57" s="2" t="inlineStr">
        <is>
          <t>Svavelriska</t>
        </is>
      </c>
      <c r="S57">
        <f>HYPERLINK("https://klasma.github.io/Logging_2061/artfynd/A 15389-2024 artfynd.xlsx", "A 15389-2024")</f>
        <v/>
      </c>
      <c r="T57">
        <f>HYPERLINK("https://klasma.github.io/Logging_2061/kartor/A 15389-2024 karta.png", "A 15389-2024")</f>
        <v/>
      </c>
      <c r="V57">
        <f>HYPERLINK("https://klasma.github.io/Logging_2061/klagomål/A 15389-2024 FSC-klagomål.docx", "A 15389-2024")</f>
        <v/>
      </c>
      <c r="W57">
        <f>HYPERLINK("https://klasma.github.io/Logging_2061/klagomålsmail/A 15389-2024 FSC-klagomål mail.docx", "A 15389-2024")</f>
        <v/>
      </c>
      <c r="X57">
        <f>HYPERLINK("https://klasma.github.io/Logging_2061/tillsyn/A 15389-2024 tillsynsbegäran.docx", "A 15389-2024")</f>
        <v/>
      </c>
      <c r="Y57">
        <f>HYPERLINK("https://klasma.github.io/Logging_2061/tillsynsmail/A 15389-2024 tillsynsbegäran mail.docx", "A 15389-2024")</f>
        <v/>
      </c>
    </row>
    <row r="58" ht="15" customHeight="1">
      <c r="A58" t="inlineStr">
        <is>
          <t>A 18020-2024</t>
        </is>
      </c>
      <c r="B58" s="1" t="n">
        <v>45420</v>
      </c>
      <c r="C58" s="1" t="n">
        <v>45794</v>
      </c>
      <c r="D58" t="inlineStr">
        <is>
          <t>DALARNAS LÄN</t>
        </is>
      </c>
      <c r="E58" t="inlineStr">
        <is>
          <t>SMEDJEBACKEN</t>
        </is>
      </c>
      <c r="F58" t="inlineStr">
        <is>
          <t>Sveaskog</t>
        </is>
      </c>
      <c r="G58" t="n">
        <v>2.1</v>
      </c>
      <c r="H58" t="n">
        <v>0</v>
      </c>
      <c r="I58" t="n">
        <v>1</v>
      </c>
      <c r="J58" t="n">
        <v>0</v>
      </c>
      <c r="K58" t="n">
        <v>0</v>
      </c>
      <c r="L58" t="n">
        <v>0</v>
      </c>
      <c r="M58" t="n">
        <v>0</v>
      </c>
      <c r="N58" t="n">
        <v>0</v>
      </c>
      <c r="O58" t="n">
        <v>0</v>
      </c>
      <c r="P58" t="n">
        <v>0</v>
      </c>
      <c r="Q58" t="n">
        <v>1</v>
      </c>
      <c r="R58" s="2" t="inlineStr">
        <is>
          <t>Svavelriska</t>
        </is>
      </c>
      <c r="S58">
        <f>HYPERLINK("https://klasma.github.io/Logging_2061/artfynd/A 18020-2024 artfynd.xlsx", "A 18020-2024")</f>
        <v/>
      </c>
      <c r="T58">
        <f>HYPERLINK("https://klasma.github.io/Logging_2061/kartor/A 18020-2024 karta.png", "A 18020-2024")</f>
        <v/>
      </c>
      <c r="V58">
        <f>HYPERLINK("https://klasma.github.io/Logging_2061/klagomål/A 18020-2024 FSC-klagomål.docx", "A 18020-2024")</f>
        <v/>
      </c>
      <c r="W58">
        <f>HYPERLINK("https://klasma.github.io/Logging_2061/klagomålsmail/A 18020-2024 FSC-klagomål mail.docx", "A 18020-2024")</f>
        <v/>
      </c>
      <c r="X58">
        <f>HYPERLINK("https://klasma.github.io/Logging_2061/tillsyn/A 18020-2024 tillsynsbegäran.docx", "A 18020-2024")</f>
        <v/>
      </c>
      <c r="Y58">
        <f>HYPERLINK("https://klasma.github.io/Logging_2061/tillsynsmail/A 18020-2024 tillsynsbegäran mail.docx", "A 18020-2024")</f>
        <v/>
      </c>
    </row>
    <row r="59" ht="15" customHeight="1">
      <c r="A59" t="inlineStr">
        <is>
          <t>A 21507-2024</t>
        </is>
      </c>
      <c r="B59" s="1" t="n">
        <v>45441</v>
      </c>
      <c r="C59" s="1" t="n">
        <v>45794</v>
      </c>
      <c r="D59" t="inlineStr">
        <is>
          <t>DALARNAS LÄN</t>
        </is>
      </c>
      <c r="E59" t="inlineStr">
        <is>
          <t>SMEDJEBACKEN</t>
        </is>
      </c>
      <c r="F59" t="inlineStr">
        <is>
          <t>Sveaskog</t>
        </is>
      </c>
      <c r="G59" t="n">
        <v>16</v>
      </c>
      <c r="H59" t="n">
        <v>0</v>
      </c>
      <c r="I59" t="n">
        <v>0</v>
      </c>
      <c r="J59" t="n">
        <v>1</v>
      </c>
      <c r="K59" t="n">
        <v>0</v>
      </c>
      <c r="L59" t="n">
        <v>0</v>
      </c>
      <c r="M59" t="n">
        <v>0</v>
      </c>
      <c r="N59" t="n">
        <v>0</v>
      </c>
      <c r="O59" t="n">
        <v>1</v>
      </c>
      <c r="P59" t="n">
        <v>0</v>
      </c>
      <c r="Q59" t="n">
        <v>1</v>
      </c>
      <c r="R59" s="2" t="inlineStr">
        <is>
          <t>Ullticka</t>
        </is>
      </c>
      <c r="S59">
        <f>HYPERLINK("https://klasma.github.io/Logging_2061/artfynd/A 21507-2024 artfynd.xlsx", "A 21507-2024")</f>
        <v/>
      </c>
      <c r="T59">
        <f>HYPERLINK("https://klasma.github.io/Logging_2061/kartor/A 21507-2024 karta.png", "A 21507-2024")</f>
        <v/>
      </c>
      <c r="V59">
        <f>HYPERLINK("https://klasma.github.io/Logging_2061/klagomål/A 21507-2024 FSC-klagomål.docx", "A 21507-2024")</f>
        <v/>
      </c>
      <c r="W59">
        <f>HYPERLINK("https://klasma.github.io/Logging_2061/klagomålsmail/A 21507-2024 FSC-klagomål mail.docx", "A 21507-2024")</f>
        <v/>
      </c>
      <c r="X59">
        <f>HYPERLINK("https://klasma.github.io/Logging_2061/tillsyn/A 21507-2024 tillsynsbegäran.docx", "A 21507-2024")</f>
        <v/>
      </c>
      <c r="Y59">
        <f>HYPERLINK("https://klasma.github.io/Logging_2061/tillsynsmail/A 21507-2024 tillsynsbegäran mail.docx", "A 21507-2024")</f>
        <v/>
      </c>
    </row>
    <row r="60" ht="15" customHeight="1">
      <c r="A60" t="inlineStr">
        <is>
          <t>A 32954-2024</t>
        </is>
      </c>
      <c r="B60" s="1" t="n">
        <v>45517</v>
      </c>
      <c r="C60" s="1" t="n">
        <v>45794</v>
      </c>
      <c r="D60" t="inlineStr">
        <is>
          <t>DALARNAS LÄN</t>
        </is>
      </c>
      <c r="E60" t="inlineStr">
        <is>
          <t>SMEDJEBACKEN</t>
        </is>
      </c>
      <c r="F60" t="inlineStr">
        <is>
          <t>Övriga Aktiebolag</t>
        </is>
      </c>
      <c r="G60" t="n">
        <v>5.9</v>
      </c>
      <c r="H60" t="n">
        <v>1</v>
      </c>
      <c r="I60" t="n">
        <v>0</v>
      </c>
      <c r="J60" t="n">
        <v>0</v>
      </c>
      <c r="K60" t="n">
        <v>0</v>
      </c>
      <c r="L60" t="n">
        <v>0</v>
      </c>
      <c r="M60" t="n">
        <v>0</v>
      </c>
      <c r="N60" t="n">
        <v>0</v>
      </c>
      <c r="O60" t="n">
        <v>0</v>
      </c>
      <c r="P60" t="n">
        <v>0</v>
      </c>
      <c r="Q60" t="n">
        <v>1</v>
      </c>
      <c r="R60" s="2" t="inlineStr">
        <is>
          <t>Fläcknycklar</t>
        </is>
      </c>
      <c r="S60">
        <f>HYPERLINK("https://klasma.github.io/Logging_2061/artfynd/A 32954-2024 artfynd.xlsx", "A 32954-2024")</f>
        <v/>
      </c>
      <c r="T60">
        <f>HYPERLINK("https://klasma.github.io/Logging_2061/kartor/A 32954-2024 karta.png", "A 32954-2024")</f>
        <v/>
      </c>
      <c r="V60">
        <f>HYPERLINK("https://klasma.github.io/Logging_2061/klagomål/A 32954-2024 FSC-klagomål.docx", "A 32954-2024")</f>
        <v/>
      </c>
      <c r="W60">
        <f>HYPERLINK("https://klasma.github.io/Logging_2061/klagomålsmail/A 32954-2024 FSC-klagomål mail.docx", "A 32954-2024")</f>
        <v/>
      </c>
      <c r="X60">
        <f>HYPERLINK("https://klasma.github.io/Logging_2061/tillsyn/A 32954-2024 tillsynsbegäran.docx", "A 32954-2024")</f>
        <v/>
      </c>
      <c r="Y60">
        <f>HYPERLINK("https://klasma.github.io/Logging_2061/tillsynsmail/A 32954-2024 tillsynsbegäran mail.docx", "A 32954-2024")</f>
        <v/>
      </c>
    </row>
    <row r="61" ht="15" customHeight="1">
      <c r="A61" t="inlineStr">
        <is>
          <t>A 34942-2024</t>
        </is>
      </c>
      <c r="B61" s="1" t="n">
        <v>45527</v>
      </c>
      <c r="C61" s="1" t="n">
        <v>45794</v>
      </c>
      <c r="D61" t="inlineStr">
        <is>
          <t>DALARNAS LÄN</t>
        </is>
      </c>
      <c r="E61" t="inlineStr">
        <is>
          <t>SMEDJEBACKEN</t>
        </is>
      </c>
      <c r="G61" t="n">
        <v>11</v>
      </c>
      <c r="H61" t="n">
        <v>0</v>
      </c>
      <c r="I61" t="n">
        <v>0</v>
      </c>
      <c r="J61" t="n">
        <v>1</v>
      </c>
      <c r="K61" t="n">
        <v>0</v>
      </c>
      <c r="L61" t="n">
        <v>0</v>
      </c>
      <c r="M61" t="n">
        <v>0</v>
      </c>
      <c r="N61" t="n">
        <v>0</v>
      </c>
      <c r="O61" t="n">
        <v>1</v>
      </c>
      <c r="P61" t="n">
        <v>0</v>
      </c>
      <c r="Q61" t="n">
        <v>1</v>
      </c>
      <c r="R61" s="2" t="inlineStr">
        <is>
          <t>Skogsklocka</t>
        </is>
      </c>
      <c r="S61">
        <f>HYPERLINK("https://klasma.github.io/Logging_2061/artfynd/A 34942-2024 artfynd.xlsx", "A 34942-2024")</f>
        <v/>
      </c>
      <c r="T61">
        <f>HYPERLINK("https://klasma.github.io/Logging_2061/kartor/A 34942-2024 karta.png", "A 34942-2024")</f>
        <v/>
      </c>
      <c r="V61">
        <f>HYPERLINK("https://klasma.github.io/Logging_2061/klagomål/A 34942-2024 FSC-klagomål.docx", "A 34942-2024")</f>
        <v/>
      </c>
      <c r="W61">
        <f>HYPERLINK("https://klasma.github.io/Logging_2061/klagomålsmail/A 34942-2024 FSC-klagomål mail.docx", "A 34942-2024")</f>
        <v/>
      </c>
      <c r="X61">
        <f>HYPERLINK("https://klasma.github.io/Logging_2061/tillsyn/A 34942-2024 tillsynsbegäran.docx", "A 34942-2024")</f>
        <v/>
      </c>
      <c r="Y61">
        <f>HYPERLINK("https://klasma.github.io/Logging_2061/tillsynsmail/A 34942-2024 tillsynsbegäran mail.docx", "A 34942-2024")</f>
        <v/>
      </c>
    </row>
    <row r="62" ht="15" customHeight="1">
      <c r="A62" t="inlineStr">
        <is>
          <t>A 37313-2024</t>
        </is>
      </c>
      <c r="B62" s="1" t="n">
        <v>45540</v>
      </c>
      <c r="C62" s="1" t="n">
        <v>45794</v>
      </c>
      <c r="D62" t="inlineStr">
        <is>
          <t>DALARNAS LÄN</t>
        </is>
      </c>
      <c r="E62" t="inlineStr">
        <is>
          <t>SMEDJEBACKEN</t>
        </is>
      </c>
      <c r="F62" t="inlineStr">
        <is>
          <t>Bergvik skog väst AB</t>
        </is>
      </c>
      <c r="G62" t="n">
        <v>46.5</v>
      </c>
      <c r="H62" t="n">
        <v>0</v>
      </c>
      <c r="I62" t="n">
        <v>1</v>
      </c>
      <c r="J62" t="n">
        <v>0</v>
      </c>
      <c r="K62" t="n">
        <v>0</v>
      </c>
      <c r="L62" t="n">
        <v>0</v>
      </c>
      <c r="M62" t="n">
        <v>0</v>
      </c>
      <c r="N62" t="n">
        <v>0</v>
      </c>
      <c r="O62" t="n">
        <v>0</v>
      </c>
      <c r="P62" t="n">
        <v>0</v>
      </c>
      <c r="Q62" t="n">
        <v>1</v>
      </c>
      <c r="R62" s="2" t="inlineStr">
        <is>
          <t>Fjällig taggsvamp s.str.</t>
        </is>
      </c>
      <c r="S62">
        <f>HYPERLINK("https://klasma.github.io/Logging_2061/artfynd/A 37313-2024 artfynd.xlsx", "A 37313-2024")</f>
        <v/>
      </c>
      <c r="T62">
        <f>HYPERLINK("https://klasma.github.io/Logging_2061/kartor/A 37313-2024 karta.png", "A 37313-2024")</f>
        <v/>
      </c>
      <c r="V62">
        <f>HYPERLINK("https://klasma.github.io/Logging_2061/klagomål/A 37313-2024 FSC-klagomål.docx", "A 37313-2024")</f>
        <v/>
      </c>
      <c r="W62">
        <f>HYPERLINK("https://klasma.github.io/Logging_2061/klagomålsmail/A 37313-2024 FSC-klagomål mail.docx", "A 37313-2024")</f>
        <v/>
      </c>
      <c r="X62">
        <f>HYPERLINK("https://klasma.github.io/Logging_2061/tillsyn/A 37313-2024 tillsynsbegäran.docx", "A 37313-2024")</f>
        <v/>
      </c>
      <c r="Y62">
        <f>HYPERLINK("https://klasma.github.io/Logging_2061/tillsynsmail/A 37313-2024 tillsynsbegäran mail.docx", "A 37313-2024")</f>
        <v/>
      </c>
    </row>
    <row r="63" ht="15" customHeight="1">
      <c r="A63" t="inlineStr">
        <is>
          <t>A 45577-2024</t>
        </is>
      </c>
      <c r="B63" s="1" t="n">
        <v>45579</v>
      </c>
      <c r="C63" s="1" t="n">
        <v>45794</v>
      </c>
      <c r="D63" t="inlineStr">
        <is>
          <t>DALARNAS LÄN</t>
        </is>
      </c>
      <c r="E63" t="inlineStr">
        <is>
          <t>SMEDJEBACKEN</t>
        </is>
      </c>
      <c r="F63" t="inlineStr">
        <is>
          <t>Sveaskog</t>
        </is>
      </c>
      <c r="G63" t="n">
        <v>18.6</v>
      </c>
      <c r="H63" t="n">
        <v>1</v>
      </c>
      <c r="I63" t="n">
        <v>0</v>
      </c>
      <c r="J63" t="n">
        <v>0</v>
      </c>
      <c r="K63" t="n">
        <v>0</v>
      </c>
      <c r="L63" t="n">
        <v>0</v>
      </c>
      <c r="M63" t="n">
        <v>0</v>
      </c>
      <c r="N63" t="n">
        <v>0</v>
      </c>
      <c r="O63" t="n">
        <v>0</v>
      </c>
      <c r="P63" t="n">
        <v>0</v>
      </c>
      <c r="Q63" t="n">
        <v>1</v>
      </c>
      <c r="R63" s="2" t="inlineStr">
        <is>
          <t>Tjäder</t>
        </is>
      </c>
      <c r="S63">
        <f>HYPERLINK("https://klasma.github.io/Logging_2061/artfynd/A 45577-2024 artfynd.xlsx", "A 45577-2024")</f>
        <v/>
      </c>
      <c r="T63">
        <f>HYPERLINK("https://klasma.github.io/Logging_2061/kartor/A 45577-2024 karta.png", "A 45577-2024")</f>
        <v/>
      </c>
      <c r="V63">
        <f>HYPERLINK("https://klasma.github.io/Logging_2061/klagomål/A 45577-2024 FSC-klagomål.docx", "A 45577-2024")</f>
        <v/>
      </c>
      <c r="W63">
        <f>HYPERLINK("https://klasma.github.io/Logging_2061/klagomålsmail/A 45577-2024 FSC-klagomål mail.docx", "A 45577-2024")</f>
        <v/>
      </c>
      <c r="X63">
        <f>HYPERLINK("https://klasma.github.io/Logging_2061/tillsyn/A 45577-2024 tillsynsbegäran.docx", "A 45577-2024")</f>
        <v/>
      </c>
      <c r="Y63">
        <f>HYPERLINK("https://klasma.github.io/Logging_2061/tillsynsmail/A 45577-2024 tillsynsbegäran mail.docx", "A 45577-2024")</f>
        <v/>
      </c>
      <c r="Z63">
        <f>HYPERLINK("https://klasma.github.io/Logging_2061/fåglar/A 45577-2024 prioriterade fågelarter.docx", "A 45577-2024")</f>
        <v/>
      </c>
    </row>
    <row r="64" ht="15" customHeight="1">
      <c r="A64" t="inlineStr">
        <is>
          <t>A 52242-2024</t>
        </is>
      </c>
      <c r="B64" s="1" t="n">
        <v>45607</v>
      </c>
      <c r="C64" s="1" t="n">
        <v>45794</v>
      </c>
      <c r="D64" t="inlineStr">
        <is>
          <t>DALARNAS LÄN</t>
        </is>
      </c>
      <c r="E64" t="inlineStr">
        <is>
          <t>SMEDJEBACKEN</t>
        </is>
      </c>
      <c r="F64" t="inlineStr">
        <is>
          <t>Bergvik skog väst AB</t>
        </is>
      </c>
      <c r="G64" t="n">
        <v>26.2</v>
      </c>
      <c r="H64" t="n">
        <v>1</v>
      </c>
      <c r="I64" t="n">
        <v>0</v>
      </c>
      <c r="J64" t="n">
        <v>1</v>
      </c>
      <c r="K64" t="n">
        <v>0</v>
      </c>
      <c r="L64" t="n">
        <v>0</v>
      </c>
      <c r="M64" t="n">
        <v>0</v>
      </c>
      <c r="N64" t="n">
        <v>0</v>
      </c>
      <c r="O64" t="n">
        <v>1</v>
      </c>
      <c r="P64" t="n">
        <v>0</v>
      </c>
      <c r="Q64" t="n">
        <v>1</v>
      </c>
      <c r="R64" s="2" t="inlineStr">
        <is>
          <t>Havsörn</t>
        </is>
      </c>
      <c r="S64">
        <f>HYPERLINK("https://klasma.github.io/Logging_2061/artfynd/A 52242-2024 artfynd.xlsx", "A 52242-2024")</f>
        <v/>
      </c>
      <c r="T64">
        <f>HYPERLINK("https://klasma.github.io/Logging_2061/kartor/A 52242-2024 karta.png", "A 52242-2024")</f>
        <v/>
      </c>
      <c r="V64">
        <f>HYPERLINK("https://klasma.github.io/Logging_2061/klagomål/A 52242-2024 FSC-klagomål.docx", "A 52242-2024")</f>
        <v/>
      </c>
      <c r="W64">
        <f>HYPERLINK("https://klasma.github.io/Logging_2061/klagomålsmail/A 52242-2024 FSC-klagomål mail.docx", "A 52242-2024")</f>
        <v/>
      </c>
      <c r="X64">
        <f>HYPERLINK("https://klasma.github.io/Logging_2061/tillsyn/A 52242-2024 tillsynsbegäran.docx", "A 52242-2024")</f>
        <v/>
      </c>
      <c r="Y64">
        <f>HYPERLINK("https://klasma.github.io/Logging_2061/tillsynsmail/A 52242-2024 tillsynsbegäran mail.docx", "A 52242-2024")</f>
        <v/>
      </c>
      <c r="Z64">
        <f>HYPERLINK("https://klasma.github.io/Logging_2061/fåglar/A 52242-2024 prioriterade fågelarter.docx", "A 52242-2024")</f>
        <v/>
      </c>
    </row>
    <row r="65" ht="15" customHeight="1">
      <c r="A65" t="inlineStr">
        <is>
          <t>A 52601-2024</t>
        </is>
      </c>
      <c r="B65" s="1" t="n">
        <v>45609</v>
      </c>
      <c r="C65" s="1" t="n">
        <v>45794</v>
      </c>
      <c r="D65" t="inlineStr">
        <is>
          <t>DALARNAS LÄN</t>
        </is>
      </c>
      <c r="E65" t="inlineStr">
        <is>
          <t>SMEDJEBACKEN</t>
        </is>
      </c>
      <c r="F65" t="inlineStr">
        <is>
          <t>Bergvik skog väst AB</t>
        </is>
      </c>
      <c r="G65" t="n">
        <v>47.9</v>
      </c>
      <c r="H65" t="n">
        <v>0</v>
      </c>
      <c r="I65" t="n">
        <v>0</v>
      </c>
      <c r="J65" t="n">
        <v>1</v>
      </c>
      <c r="K65" t="n">
        <v>0</v>
      </c>
      <c r="L65" t="n">
        <v>0</v>
      </c>
      <c r="M65" t="n">
        <v>0</v>
      </c>
      <c r="N65" t="n">
        <v>0</v>
      </c>
      <c r="O65" t="n">
        <v>1</v>
      </c>
      <c r="P65" t="n">
        <v>0</v>
      </c>
      <c r="Q65" t="n">
        <v>1</v>
      </c>
      <c r="R65" s="2" t="inlineStr">
        <is>
          <t>Tallticka</t>
        </is>
      </c>
      <c r="S65">
        <f>HYPERLINK("https://klasma.github.io/Logging_2061/artfynd/A 52601-2024 artfynd.xlsx", "A 52601-2024")</f>
        <v/>
      </c>
      <c r="T65">
        <f>HYPERLINK("https://klasma.github.io/Logging_2061/kartor/A 52601-2024 karta.png", "A 52601-2024")</f>
        <v/>
      </c>
      <c r="U65">
        <f>HYPERLINK("https://klasma.github.io/Logging_2061/knärot/A 52601-2024 karta knärot.png", "A 52601-2024")</f>
        <v/>
      </c>
      <c r="V65">
        <f>HYPERLINK("https://klasma.github.io/Logging_2061/klagomål/A 52601-2024 FSC-klagomål.docx", "A 52601-2024")</f>
        <v/>
      </c>
      <c r="W65">
        <f>HYPERLINK("https://klasma.github.io/Logging_2061/klagomålsmail/A 52601-2024 FSC-klagomål mail.docx", "A 52601-2024")</f>
        <v/>
      </c>
      <c r="X65">
        <f>HYPERLINK("https://klasma.github.io/Logging_2061/tillsyn/A 52601-2024 tillsynsbegäran.docx", "A 52601-2024")</f>
        <v/>
      </c>
      <c r="Y65">
        <f>HYPERLINK("https://klasma.github.io/Logging_2061/tillsynsmail/A 52601-2024 tillsynsbegäran mail.docx", "A 52601-2024")</f>
        <v/>
      </c>
    </row>
    <row r="66" ht="15" customHeight="1">
      <c r="A66" t="inlineStr">
        <is>
          <t>A 61916-2024</t>
        </is>
      </c>
      <c r="B66" s="1" t="n">
        <v>45653</v>
      </c>
      <c r="C66" s="1" t="n">
        <v>45794</v>
      </c>
      <c r="D66" t="inlineStr">
        <is>
          <t>DALARNAS LÄN</t>
        </is>
      </c>
      <c r="E66" t="inlineStr">
        <is>
          <t>SMEDJEBACKEN</t>
        </is>
      </c>
      <c r="G66" t="n">
        <v>11.1</v>
      </c>
      <c r="H66" t="n">
        <v>1</v>
      </c>
      <c r="I66" t="n">
        <v>0</v>
      </c>
      <c r="J66" t="n">
        <v>0</v>
      </c>
      <c r="K66" t="n">
        <v>0</v>
      </c>
      <c r="L66" t="n">
        <v>0</v>
      </c>
      <c r="M66" t="n">
        <v>0</v>
      </c>
      <c r="N66" t="n">
        <v>0</v>
      </c>
      <c r="O66" t="n">
        <v>0</v>
      </c>
      <c r="P66" t="n">
        <v>0</v>
      </c>
      <c r="Q66" t="n">
        <v>1</v>
      </c>
      <c r="R66" s="2" t="inlineStr">
        <is>
          <t>Mattlummer</t>
        </is>
      </c>
      <c r="S66">
        <f>HYPERLINK("https://klasma.github.io/Logging_2061/artfynd/A 61916-2024 artfynd.xlsx", "A 61916-2024")</f>
        <v/>
      </c>
      <c r="T66">
        <f>HYPERLINK("https://klasma.github.io/Logging_2061/kartor/A 61916-2024 karta.png", "A 61916-2024")</f>
        <v/>
      </c>
      <c r="V66">
        <f>HYPERLINK("https://klasma.github.io/Logging_2061/klagomål/A 61916-2024 FSC-klagomål.docx", "A 61916-2024")</f>
        <v/>
      </c>
      <c r="W66">
        <f>HYPERLINK("https://klasma.github.io/Logging_2061/klagomålsmail/A 61916-2024 FSC-klagomål mail.docx", "A 61916-2024")</f>
        <v/>
      </c>
      <c r="X66">
        <f>HYPERLINK("https://klasma.github.io/Logging_2061/tillsyn/A 61916-2024 tillsynsbegäran.docx", "A 61916-2024")</f>
        <v/>
      </c>
      <c r="Y66">
        <f>HYPERLINK("https://klasma.github.io/Logging_2061/tillsynsmail/A 61916-2024 tillsynsbegäran mail.docx", "A 61916-2024")</f>
        <v/>
      </c>
    </row>
    <row r="67" ht="15" customHeight="1">
      <c r="A67" t="inlineStr">
        <is>
          <t>A 18701-2019</t>
        </is>
      </c>
      <c r="B67" s="1" t="n">
        <v>43560</v>
      </c>
      <c r="C67" s="1" t="n">
        <v>45794</v>
      </c>
      <c r="D67" t="inlineStr">
        <is>
          <t>DALARNAS LÄN</t>
        </is>
      </c>
      <c r="E67" t="inlineStr">
        <is>
          <t>SMEDJEBACKEN</t>
        </is>
      </c>
      <c r="G67" t="n">
        <v>3.4</v>
      </c>
      <c r="H67" t="n">
        <v>0</v>
      </c>
      <c r="I67" t="n">
        <v>0</v>
      </c>
      <c r="J67" t="n">
        <v>0</v>
      </c>
      <c r="K67" t="n">
        <v>0</v>
      </c>
      <c r="L67" t="n">
        <v>0</v>
      </c>
      <c r="M67" t="n">
        <v>0</v>
      </c>
      <c r="N67" t="n">
        <v>0</v>
      </c>
      <c r="O67" t="n">
        <v>0</v>
      </c>
      <c r="P67" t="n">
        <v>0</v>
      </c>
      <c r="Q67" t="n">
        <v>0</v>
      </c>
      <c r="R67" s="2" t="inlineStr"/>
    </row>
    <row r="68" ht="15" customHeight="1">
      <c r="A68" t="inlineStr">
        <is>
          <t>A 19527-2019</t>
        </is>
      </c>
      <c r="B68" s="1" t="n">
        <v>43565</v>
      </c>
      <c r="C68" s="1" t="n">
        <v>45794</v>
      </c>
      <c r="D68" t="inlineStr">
        <is>
          <t>DALARNAS LÄN</t>
        </is>
      </c>
      <c r="E68" t="inlineStr">
        <is>
          <t>SMEDJEBACKEN</t>
        </is>
      </c>
      <c r="G68" t="n">
        <v>1.8</v>
      </c>
      <c r="H68" t="n">
        <v>0</v>
      </c>
      <c r="I68" t="n">
        <v>0</v>
      </c>
      <c r="J68" t="n">
        <v>0</v>
      </c>
      <c r="K68" t="n">
        <v>0</v>
      </c>
      <c r="L68" t="n">
        <v>0</v>
      </c>
      <c r="M68" t="n">
        <v>0</v>
      </c>
      <c r="N68" t="n">
        <v>0</v>
      </c>
      <c r="O68" t="n">
        <v>0</v>
      </c>
      <c r="P68" t="n">
        <v>0</v>
      </c>
      <c r="Q68" t="n">
        <v>0</v>
      </c>
      <c r="R68" s="2" t="inlineStr"/>
    </row>
    <row r="69" ht="15" customHeight="1">
      <c r="A69" t="inlineStr">
        <is>
          <t>A 22029-2019</t>
        </is>
      </c>
      <c r="B69" s="1" t="n">
        <v>43584</v>
      </c>
      <c r="C69" s="1" t="n">
        <v>45794</v>
      </c>
      <c r="D69" t="inlineStr">
        <is>
          <t>DALARNAS LÄN</t>
        </is>
      </c>
      <c r="E69" t="inlineStr">
        <is>
          <t>SMEDJEBACKEN</t>
        </is>
      </c>
      <c r="G69" t="n">
        <v>3</v>
      </c>
      <c r="H69" t="n">
        <v>0</v>
      </c>
      <c r="I69" t="n">
        <v>0</v>
      </c>
      <c r="J69" t="n">
        <v>0</v>
      </c>
      <c r="K69" t="n">
        <v>0</v>
      </c>
      <c r="L69" t="n">
        <v>0</v>
      </c>
      <c r="M69" t="n">
        <v>0</v>
      </c>
      <c r="N69" t="n">
        <v>0</v>
      </c>
      <c r="O69" t="n">
        <v>0</v>
      </c>
      <c r="P69" t="n">
        <v>0</v>
      </c>
      <c r="Q69" t="n">
        <v>0</v>
      </c>
      <c r="R69" s="2" t="inlineStr"/>
    </row>
    <row r="70" ht="15" customHeight="1">
      <c r="A70" t="inlineStr">
        <is>
          <t>A 23576-2019</t>
        </is>
      </c>
      <c r="B70" s="1" t="n">
        <v>43593</v>
      </c>
      <c r="C70" s="1" t="n">
        <v>45794</v>
      </c>
      <c r="D70" t="inlineStr">
        <is>
          <t>DALARNAS LÄN</t>
        </is>
      </c>
      <c r="E70" t="inlineStr">
        <is>
          <t>SMEDJEBACKEN</t>
        </is>
      </c>
      <c r="G70" t="n">
        <v>1.4</v>
      </c>
      <c r="H70" t="n">
        <v>0</v>
      </c>
      <c r="I70" t="n">
        <v>0</v>
      </c>
      <c r="J70" t="n">
        <v>0</v>
      </c>
      <c r="K70" t="n">
        <v>0</v>
      </c>
      <c r="L70" t="n">
        <v>0</v>
      </c>
      <c r="M70" t="n">
        <v>0</v>
      </c>
      <c r="N70" t="n">
        <v>0</v>
      </c>
      <c r="O70" t="n">
        <v>0</v>
      </c>
      <c r="P70" t="n">
        <v>0</v>
      </c>
      <c r="Q70" t="n">
        <v>0</v>
      </c>
      <c r="R70" s="2" t="inlineStr"/>
    </row>
    <row r="71" ht="15" customHeight="1">
      <c r="A71" t="inlineStr">
        <is>
          <t>A 23907-2019</t>
        </is>
      </c>
      <c r="B71" s="1" t="n">
        <v>43595</v>
      </c>
      <c r="C71" s="1" t="n">
        <v>45794</v>
      </c>
      <c r="D71" t="inlineStr">
        <is>
          <t>DALARNAS LÄN</t>
        </is>
      </c>
      <c r="E71" t="inlineStr">
        <is>
          <t>SMEDJEBACKEN</t>
        </is>
      </c>
      <c r="G71" t="n">
        <v>7.2</v>
      </c>
      <c r="H71" t="n">
        <v>0</v>
      </c>
      <c r="I71" t="n">
        <v>0</v>
      </c>
      <c r="J71" t="n">
        <v>0</v>
      </c>
      <c r="K71" t="n">
        <v>0</v>
      </c>
      <c r="L71" t="n">
        <v>0</v>
      </c>
      <c r="M71" t="n">
        <v>0</v>
      </c>
      <c r="N71" t="n">
        <v>0</v>
      </c>
      <c r="O71" t="n">
        <v>0</v>
      </c>
      <c r="P71" t="n">
        <v>0</v>
      </c>
      <c r="Q71" t="n">
        <v>0</v>
      </c>
      <c r="R71" s="2" t="inlineStr"/>
    </row>
    <row r="72" ht="15" customHeight="1">
      <c r="A72" t="inlineStr">
        <is>
          <t>A 25671-2019</t>
        </is>
      </c>
      <c r="B72" s="1" t="n">
        <v>43607</v>
      </c>
      <c r="C72" s="1" t="n">
        <v>45794</v>
      </c>
      <c r="D72" t="inlineStr">
        <is>
          <t>DALARNAS LÄN</t>
        </is>
      </c>
      <c r="E72" t="inlineStr">
        <is>
          <t>SMEDJEBACKEN</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27354-2019</t>
        </is>
      </c>
      <c r="B73" s="1" t="n">
        <v>43616</v>
      </c>
      <c r="C73" s="1" t="n">
        <v>45794</v>
      </c>
      <c r="D73" t="inlineStr">
        <is>
          <t>DALARNAS LÄN</t>
        </is>
      </c>
      <c r="E73" t="inlineStr">
        <is>
          <t>SMEDJEBACKEN</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27345-2019</t>
        </is>
      </c>
      <c r="B74" s="1" t="n">
        <v>43616</v>
      </c>
      <c r="C74" s="1" t="n">
        <v>45794</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27351-2019</t>
        </is>
      </c>
      <c r="B75" s="1" t="n">
        <v>43616</v>
      </c>
      <c r="C75" s="1" t="n">
        <v>45794</v>
      </c>
      <c r="D75" t="inlineStr">
        <is>
          <t>DALARNAS LÄN</t>
        </is>
      </c>
      <c r="E75" t="inlineStr">
        <is>
          <t>SMEDJEBACKEN</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27352-2019</t>
        </is>
      </c>
      <c r="B76" s="1" t="n">
        <v>43616</v>
      </c>
      <c r="C76" s="1" t="n">
        <v>45794</v>
      </c>
      <c r="D76" t="inlineStr">
        <is>
          <t>DALARNAS LÄN</t>
        </is>
      </c>
      <c r="E76" t="inlineStr">
        <is>
          <t>SMEDJEBACKEN</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29124-2019</t>
        </is>
      </c>
      <c r="B77" s="1" t="n">
        <v>43628</v>
      </c>
      <c r="C77" s="1" t="n">
        <v>45794</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29467-2019</t>
        </is>
      </c>
      <c r="B78" s="1" t="n">
        <v>43629</v>
      </c>
      <c r="C78" s="1" t="n">
        <v>45794</v>
      </c>
      <c r="D78" t="inlineStr">
        <is>
          <t>DALARNAS LÄN</t>
        </is>
      </c>
      <c r="E78" t="inlineStr">
        <is>
          <t>SMEDJEBACKEN</t>
        </is>
      </c>
      <c r="G78" t="n">
        <v>2.9</v>
      </c>
      <c r="H78" t="n">
        <v>0</v>
      </c>
      <c r="I78" t="n">
        <v>0</v>
      </c>
      <c r="J78" t="n">
        <v>0</v>
      </c>
      <c r="K78" t="n">
        <v>0</v>
      </c>
      <c r="L78" t="n">
        <v>0</v>
      </c>
      <c r="M78" t="n">
        <v>0</v>
      </c>
      <c r="N78" t="n">
        <v>0</v>
      </c>
      <c r="O78" t="n">
        <v>0</v>
      </c>
      <c r="P78" t="n">
        <v>0</v>
      </c>
      <c r="Q78" t="n">
        <v>0</v>
      </c>
      <c r="R78" s="2" t="inlineStr"/>
    </row>
    <row r="79" ht="15" customHeight="1">
      <c r="A79" t="inlineStr">
        <is>
          <t>A 29661-2019</t>
        </is>
      </c>
      <c r="B79" s="1" t="n">
        <v>43630</v>
      </c>
      <c r="C79" s="1" t="n">
        <v>45794</v>
      </c>
      <c r="D79" t="inlineStr">
        <is>
          <t>DALARNAS LÄN</t>
        </is>
      </c>
      <c r="E79" t="inlineStr">
        <is>
          <t>SMEDJEBACKEN</t>
        </is>
      </c>
      <c r="G79" t="n">
        <v>3.6</v>
      </c>
      <c r="H79" t="n">
        <v>0</v>
      </c>
      <c r="I79" t="n">
        <v>0</v>
      </c>
      <c r="J79" t="n">
        <v>0</v>
      </c>
      <c r="K79" t="n">
        <v>0</v>
      </c>
      <c r="L79" t="n">
        <v>0</v>
      </c>
      <c r="M79" t="n">
        <v>0</v>
      </c>
      <c r="N79" t="n">
        <v>0</v>
      </c>
      <c r="O79" t="n">
        <v>0</v>
      </c>
      <c r="P79" t="n">
        <v>0</v>
      </c>
      <c r="Q79" t="n">
        <v>0</v>
      </c>
      <c r="R79" s="2" t="inlineStr"/>
    </row>
    <row r="80" ht="15" customHeight="1">
      <c r="A80" t="inlineStr">
        <is>
          <t>A 32138-2019</t>
        </is>
      </c>
      <c r="B80" s="1" t="n">
        <v>43643</v>
      </c>
      <c r="C80" s="1" t="n">
        <v>45794</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32457-2019</t>
        </is>
      </c>
      <c r="B81" s="1" t="n">
        <v>43644</v>
      </c>
      <c r="C81" s="1" t="n">
        <v>45794</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33859-2019</t>
        </is>
      </c>
      <c r="B82" s="1" t="n">
        <v>43652</v>
      </c>
      <c r="C82" s="1" t="n">
        <v>45794</v>
      </c>
      <c r="D82" t="inlineStr">
        <is>
          <t>DALARNAS LÄN</t>
        </is>
      </c>
      <c r="E82" t="inlineStr">
        <is>
          <t>SMEDJEBACKEN</t>
        </is>
      </c>
      <c r="G82" t="n">
        <v>1.4</v>
      </c>
      <c r="H82" t="n">
        <v>0</v>
      </c>
      <c r="I82" t="n">
        <v>0</v>
      </c>
      <c r="J82" t="n">
        <v>0</v>
      </c>
      <c r="K82" t="n">
        <v>0</v>
      </c>
      <c r="L82" t="n">
        <v>0</v>
      </c>
      <c r="M82" t="n">
        <v>0</v>
      </c>
      <c r="N82" t="n">
        <v>0</v>
      </c>
      <c r="O82" t="n">
        <v>0</v>
      </c>
      <c r="P82" t="n">
        <v>0</v>
      </c>
      <c r="Q82" t="n">
        <v>0</v>
      </c>
      <c r="R82" s="2" t="inlineStr"/>
    </row>
    <row r="83" ht="15" customHeight="1">
      <c r="A83" t="inlineStr">
        <is>
          <t>A 37360-2019</t>
        </is>
      </c>
      <c r="B83" s="1" t="n">
        <v>43678</v>
      </c>
      <c r="C83" s="1" t="n">
        <v>45794</v>
      </c>
      <c r="D83" t="inlineStr">
        <is>
          <t>DALARNAS LÄN</t>
        </is>
      </c>
      <c r="E83" t="inlineStr">
        <is>
          <t>SMEDJEBACKEN</t>
        </is>
      </c>
      <c r="G83" t="n">
        <v>1.1</v>
      </c>
      <c r="H83" t="n">
        <v>0</v>
      </c>
      <c r="I83" t="n">
        <v>0</v>
      </c>
      <c r="J83" t="n">
        <v>0</v>
      </c>
      <c r="K83" t="n">
        <v>0</v>
      </c>
      <c r="L83" t="n">
        <v>0</v>
      </c>
      <c r="M83" t="n">
        <v>0</v>
      </c>
      <c r="N83" t="n">
        <v>0</v>
      </c>
      <c r="O83" t="n">
        <v>0</v>
      </c>
      <c r="P83" t="n">
        <v>0</v>
      </c>
      <c r="Q83" t="n">
        <v>0</v>
      </c>
      <c r="R83" s="2" t="inlineStr"/>
    </row>
    <row r="84" ht="15" customHeight="1">
      <c r="A84" t="inlineStr">
        <is>
          <t>A 37368-2019</t>
        </is>
      </c>
      <c r="B84" s="1" t="n">
        <v>43678</v>
      </c>
      <c r="C84" s="1" t="n">
        <v>45794</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38152-2019</t>
        </is>
      </c>
      <c r="B85" s="1" t="n">
        <v>43684</v>
      </c>
      <c r="C85" s="1" t="n">
        <v>45794</v>
      </c>
      <c r="D85" t="inlineStr">
        <is>
          <t>DALARNAS LÄN</t>
        </is>
      </c>
      <c r="E85" t="inlineStr">
        <is>
          <t>SMEDJEBACKEN</t>
        </is>
      </c>
      <c r="G85" t="n">
        <v>2.5</v>
      </c>
      <c r="H85" t="n">
        <v>0</v>
      </c>
      <c r="I85" t="n">
        <v>0</v>
      </c>
      <c r="J85" t="n">
        <v>0</v>
      </c>
      <c r="K85" t="n">
        <v>0</v>
      </c>
      <c r="L85" t="n">
        <v>0</v>
      </c>
      <c r="M85" t="n">
        <v>0</v>
      </c>
      <c r="N85" t="n">
        <v>0</v>
      </c>
      <c r="O85" t="n">
        <v>0</v>
      </c>
      <c r="P85" t="n">
        <v>0</v>
      </c>
      <c r="Q85" t="n">
        <v>0</v>
      </c>
      <c r="R85" s="2" t="inlineStr"/>
    </row>
    <row r="86" ht="15" customHeight="1">
      <c r="A86" t="inlineStr">
        <is>
          <t>A 38149-2019</t>
        </is>
      </c>
      <c r="B86" s="1" t="n">
        <v>43684</v>
      </c>
      <c r="C86" s="1" t="n">
        <v>45794</v>
      </c>
      <c r="D86" t="inlineStr">
        <is>
          <t>DALARNAS LÄN</t>
        </is>
      </c>
      <c r="E86" t="inlineStr">
        <is>
          <t>SMEDJEBACKEN</t>
        </is>
      </c>
      <c r="G86" t="n">
        <v>3.5</v>
      </c>
      <c r="H86" t="n">
        <v>0</v>
      </c>
      <c r="I86" t="n">
        <v>0</v>
      </c>
      <c r="J86" t="n">
        <v>0</v>
      </c>
      <c r="K86" t="n">
        <v>0</v>
      </c>
      <c r="L86" t="n">
        <v>0</v>
      </c>
      <c r="M86" t="n">
        <v>0</v>
      </c>
      <c r="N86" t="n">
        <v>0</v>
      </c>
      <c r="O86" t="n">
        <v>0</v>
      </c>
      <c r="P86" t="n">
        <v>0</v>
      </c>
      <c r="Q86" t="n">
        <v>0</v>
      </c>
      <c r="R86" s="2" t="inlineStr"/>
    </row>
    <row r="87" ht="15" customHeight="1">
      <c r="A87" t="inlineStr">
        <is>
          <t>A 38842-2019</t>
        </is>
      </c>
      <c r="B87" s="1" t="n">
        <v>43689</v>
      </c>
      <c r="C87" s="1" t="n">
        <v>45794</v>
      </c>
      <c r="D87" t="inlineStr">
        <is>
          <t>DALARNAS LÄN</t>
        </is>
      </c>
      <c r="E87" t="inlineStr">
        <is>
          <t>SMEDJEBACKEN</t>
        </is>
      </c>
      <c r="G87" t="n">
        <v>0.6</v>
      </c>
      <c r="H87" t="n">
        <v>0</v>
      </c>
      <c r="I87" t="n">
        <v>0</v>
      </c>
      <c r="J87" t="n">
        <v>0</v>
      </c>
      <c r="K87" t="n">
        <v>0</v>
      </c>
      <c r="L87" t="n">
        <v>0</v>
      </c>
      <c r="M87" t="n">
        <v>0</v>
      </c>
      <c r="N87" t="n">
        <v>0</v>
      </c>
      <c r="O87" t="n">
        <v>0</v>
      </c>
      <c r="P87" t="n">
        <v>0</v>
      </c>
      <c r="Q87" t="n">
        <v>0</v>
      </c>
      <c r="R87" s="2" t="inlineStr"/>
    </row>
    <row r="88" ht="15" customHeight="1">
      <c r="A88" t="inlineStr">
        <is>
          <t>A 40067-2019</t>
        </is>
      </c>
      <c r="B88" s="1" t="n">
        <v>43693</v>
      </c>
      <c r="C88" s="1" t="n">
        <v>45794</v>
      </c>
      <c r="D88" t="inlineStr">
        <is>
          <t>DALARNAS LÄN</t>
        </is>
      </c>
      <c r="E88" t="inlineStr">
        <is>
          <t>SMEDJEBACKEN</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40129-2019</t>
        </is>
      </c>
      <c r="B89" s="1" t="n">
        <v>43693</v>
      </c>
      <c r="C89" s="1" t="n">
        <v>45794</v>
      </c>
      <c r="D89" t="inlineStr">
        <is>
          <t>DALARNAS LÄN</t>
        </is>
      </c>
      <c r="E89" t="inlineStr">
        <is>
          <t>SMEDJEBACKEN</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40828-2019</t>
        </is>
      </c>
      <c r="B90" s="1" t="n">
        <v>43697</v>
      </c>
      <c r="C90" s="1" t="n">
        <v>45794</v>
      </c>
      <c r="D90" t="inlineStr">
        <is>
          <t>DALARNAS LÄN</t>
        </is>
      </c>
      <c r="E90" t="inlineStr">
        <is>
          <t>SMEDJEBACKEN</t>
        </is>
      </c>
      <c r="G90" t="n">
        <v>1.9</v>
      </c>
      <c r="H90" t="n">
        <v>0</v>
      </c>
      <c r="I90" t="n">
        <v>0</v>
      </c>
      <c r="J90" t="n">
        <v>0</v>
      </c>
      <c r="K90" t="n">
        <v>0</v>
      </c>
      <c r="L90" t="n">
        <v>0</v>
      </c>
      <c r="M90" t="n">
        <v>0</v>
      </c>
      <c r="N90" t="n">
        <v>0</v>
      </c>
      <c r="O90" t="n">
        <v>0</v>
      </c>
      <c r="P90" t="n">
        <v>0</v>
      </c>
      <c r="Q90" t="n">
        <v>0</v>
      </c>
      <c r="R90" s="2" t="inlineStr"/>
    </row>
    <row r="91" ht="15" customHeight="1">
      <c r="A91" t="inlineStr">
        <is>
          <t>A 41421-2019</t>
        </is>
      </c>
      <c r="B91" s="1" t="n">
        <v>43698</v>
      </c>
      <c r="C91" s="1" t="n">
        <v>45794</v>
      </c>
      <c r="D91" t="inlineStr">
        <is>
          <t>DALARNAS LÄN</t>
        </is>
      </c>
      <c r="E91" t="inlineStr">
        <is>
          <t>SMEDJEBACKEN</t>
        </is>
      </c>
      <c r="F91" t="inlineStr">
        <is>
          <t>Kyrkan</t>
        </is>
      </c>
      <c r="G91" t="n">
        <v>5.8</v>
      </c>
      <c r="H91" t="n">
        <v>0</v>
      </c>
      <c r="I91" t="n">
        <v>0</v>
      </c>
      <c r="J91" t="n">
        <v>0</v>
      </c>
      <c r="K91" t="n">
        <v>0</v>
      </c>
      <c r="L91" t="n">
        <v>0</v>
      </c>
      <c r="M91" t="n">
        <v>0</v>
      </c>
      <c r="N91" t="n">
        <v>0</v>
      </c>
      <c r="O91" t="n">
        <v>0</v>
      </c>
      <c r="P91" t="n">
        <v>0</v>
      </c>
      <c r="Q91" t="n">
        <v>0</v>
      </c>
      <c r="R91" s="2" t="inlineStr"/>
    </row>
    <row r="92" ht="15" customHeight="1">
      <c r="A92" t="inlineStr">
        <is>
          <t>A 41803-2019</t>
        </is>
      </c>
      <c r="B92" s="1" t="n">
        <v>43700</v>
      </c>
      <c r="C92" s="1" t="n">
        <v>45794</v>
      </c>
      <c r="D92" t="inlineStr">
        <is>
          <t>DALARNAS LÄN</t>
        </is>
      </c>
      <c r="E92" t="inlineStr">
        <is>
          <t>SMEDJEBACKEN</t>
        </is>
      </c>
      <c r="G92" t="n">
        <v>4.8</v>
      </c>
      <c r="H92" t="n">
        <v>0</v>
      </c>
      <c r="I92" t="n">
        <v>0</v>
      </c>
      <c r="J92" t="n">
        <v>0</v>
      </c>
      <c r="K92" t="n">
        <v>0</v>
      </c>
      <c r="L92" t="n">
        <v>0</v>
      </c>
      <c r="M92" t="n">
        <v>0</v>
      </c>
      <c r="N92" t="n">
        <v>0</v>
      </c>
      <c r="O92" t="n">
        <v>0</v>
      </c>
      <c r="P92" t="n">
        <v>0</v>
      </c>
      <c r="Q92" t="n">
        <v>0</v>
      </c>
      <c r="R92" s="2" t="inlineStr"/>
    </row>
    <row r="93" ht="15" customHeight="1">
      <c r="A93" t="inlineStr">
        <is>
          <t>A 41986-2019</t>
        </is>
      </c>
      <c r="B93" s="1" t="n">
        <v>43700</v>
      </c>
      <c r="C93" s="1" t="n">
        <v>45794</v>
      </c>
      <c r="D93" t="inlineStr">
        <is>
          <t>DALARNAS LÄN</t>
        </is>
      </c>
      <c r="E93" t="inlineStr">
        <is>
          <t>SMEDJEBACKEN</t>
        </is>
      </c>
      <c r="G93" t="n">
        <v>0.8</v>
      </c>
      <c r="H93" t="n">
        <v>0</v>
      </c>
      <c r="I93" t="n">
        <v>0</v>
      </c>
      <c r="J93" t="n">
        <v>0</v>
      </c>
      <c r="K93" t="n">
        <v>0</v>
      </c>
      <c r="L93" t="n">
        <v>0</v>
      </c>
      <c r="M93" t="n">
        <v>0</v>
      </c>
      <c r="N93" t="n">
        <v>0</v>
      </c>
      <c r="O93" t="n">
        <v>0</v>
      </c>
      <c r="P93" t="n">
        <v>0</v>
      </c>
      <c r="Q93" t="n">
        <v>0</v>
      </c>
      <c r="R93" s="2" t="inlineStr"/>
    </row>
    <row r="94" ht="15" customHeight="1">
      <c r="A94" t="inlineStr">
        <is>
          <t>A 42186-2019</t>
        </is>
      </c>
      <c r="B94" s="1" t="n">
        <v>43703</v>
      </c>
      <c r="C94" s="1" t="n">
        <v>45794</v>
      </c>
      <c r="D94" t="inlineStr">
        <is>
          <t>DALARNAS LÄN</t>
        </is>
      </c>
      <c r="E94" t="inlineStr">
        <is>
          <t>SMEDJEBACKEN</t>
        </is>
      </c>
      <c r="G94" t="n">
        <v>8</v>
      </c>
      <c r="H94" t="n">
        <v>0</v>
      </c>
      <c r="I94" t="n">
        <v>0</v>
      </c>
      <c r="J94" t="n">
        <v>0</v>
      </c>
      <c r="K94" t="n">
        <v>0</v>
      </c>
      <c r="L94" t="n">
        <v>0</v>
      </c>
      <c r="M94" t="n">
        <v>0</v>
      </c>
      <c r="N94" t="n">
        <v>0</v>
      </c>
      <c r="O94" t="n">
        <v>0</v>
      </c>
      <c r="P94" t="n">
        <v>0</v>
      </c>
      <c r="Q94" t="n">
        <v>0</v>
      </c>
      <c r="R94" s="2" t="inlineStr"/>
    </row>
    <row r="95" ht="15" customHeight="1">
      <c r="A95" t="inlineStr">
        <is>
          <t>A 42201-2019</t>
        </is>
      </c>
      <c r="B95" s="1" t="n">
        <v>43703</v>
      </c>
      <c r="C95" s="1" t="n">
        <v>45794</v>
      </c>
      <c r="D95" t="inlineStr">
        <is>
          <t>DALARNAS LÄN</t>
        </is>
      </c>
      <c r="E95" t="inlineStr">
        <is>
          <t>SMEDJEBACKEN</t>
        </is>
      </c>
      <c r="G95" t="n">
        <v>5.4</v>
      </c>
      <c r="H95" t="n">
        <v>0</v>
      </c>
      <c r="I95" t="n">
        <v>0</v>
      </c>
      <c r="J95" t="n">
        <v>0</v>
      </c>
      <c r="K95" t="n">
        <v>0</v>
      </c>
      <c r="L95" t="n">
        <v>0</v>
      </c>
      <c r="M95" t="n">
        <v>0</v>
      </c>
      <c r="N95" t="n">
        <v>0</v>
      </c>
      <c r="O95" t="n">
        <v>0</v>
      </c>
      <c r="P95" t="n">
        <v>0</v>
      </c>
      <c r="Q95" t="n">
        <v>0</v>
      </c>
      <c r="R95" s="2" t="inlineStr"/>
    </row>
    <row r="96" ht="15" customHeight="1">
      <c r="A96" t="inlineStr">
        <is>
          <t>A 42684-2019</t>
        </is>
      </c>
      <c r="B96" s="1" t="n">
        <v>43703</v>
      </c>
      <c r="C96" s="1" t="n">
        <v>45794</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42576-2019</t>
        </is>
      </c>
      <c r="B97" s="1" t="n">
        <v>43704</v>
      </c>
      <c r="C97" s="1" t="n">
        <v>45794</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43510-2019</t>
        </is>
      </c>
      <c r="B98" s="1" t="n">
        <v>43706</v>
      </c>
      <c r="C98" s="1" t="n">
        <v>45794</v>
      </c>
      <c r="D98" t="inlineStr">
        <is>
          <t>DALARNAS LÄN</t>
        </is>
      </c>
      <c r="E98" t="inlineStr">
        <is>
          <t>SMEDJEBACKEN</t>
        </is>
      </c>
      <c r="G98" t="n">
        <v>1.9</v>
      </c>
      <c r="H98" t="n">
        <v>0</v>
      </c>
      <c r="I98" t="n">
        <v>0</v>
      </c>
      <c r="J98" t="n">
        <v>0</v>
      </c>
      <c r="K98" t="n">
        <v>0</v>
      </c>
      <c r="L98" t="n">
        <v>0</v>
      </c>
      <c r="M98" t="n">
        <v>0</v>
      </c>
      <c r="N98" t="n">
        <v>0</v>
      </c>
      <c r="O98" t="n">
        <v>0</v>
      </c>
      <c r="P98" t="n">
        <v>0</v>
      </c>
      <c r="Q98" t="n">
        <v>0</v>
      </c>
      <c r="R98" s="2" t="inlineStr"/>
    </row>
    <row r="99" ht="15" customHeight="1">
      <c r="A99" t="inlineStr">
        <is>
          <t>A 48238-2019</t>
        </is>
      </c>
      <c r="B99" s="1" t="n">
        <v>43726</v>
      </c>
      <c r="C99" s="1" t="n">
        <v>45794</v>
      </c>
      <c r="D99" t="inlineStr">
        <is>
          <t>DALARNAS LÄN</t>
        </is>
      </c>
      <c r="E99" t="inlineStr">
        <is>
          <t>SMEDJEBACKEN</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48251-2019</t>
        </is>
      </c>
      <c r="B100" s="1" t="n">
        <v>43726</v>
      </c>
      <c r="C100" s="1" t="n">
        <v>45794</v>
      </c>
      <c r="D100" t="inlineStr">
        <is>
          <t>DALARNAS LÄN</t>
        </is>
      </c>
      <c r="E100" t="inlineStr">
        <is>
          <t>SMEDJEBACKEN</t>
        </is>
      </c>
      <c r="G100" t="n">
        <v>5.7</v>
      </c>
      <c r="H100" t="n">
        <v>0</v>
      </c>
      <c r="I100" t="n">
        <v>0</v>
      </c>
      <c r="J100" t="n">
        <v>0</v>
      </c>
      <c r="K100" t="n">
        <v>0</v>
      </c>
      <c r="L100" t="n">
        <v>0</v>
      </c>
      <c r="M100" t="n">
        <v>0</v>
      </c>
      <c r="N100" t="n">
        <v>0</v>
      </c>
      <c r="O100" t="n">
        <v>0</v>
      </c>
      <c r="P100" t="n">
        <v>0</v>
      </c>
      <c r="Q100" t="n">
        <v>0</v>
      </c>
      <c r="R100" s="2" t="inlineStr"/>
    </row>
    <row r="101" ht="15" customHeight="1">
      <c r="A101" t="inlineStr">
        <is>
          <t>A 49122-2019</t>
        </is>
      </c>
      <c r="B101" s="1" t="n">
        <v>43731</v>
      </c>
      <c r="C101" s="1" t="n">
        <v>45794</v>
      </c>
      <c r="D101" t="inlineStr">
        <is>
          <t>DALARNAS LÄN</t>
        </is>
      </c>
      <c r="E101" t="inlineStr">
        <is>
          <t>SMEDJEBACKEN</t>
        </is>
      </c>
      <c r="G101" t="n">
        <v>1.6</v>
      </c>
      <c r="H101" t="n">
        <v>0</v>
      </c>
      <c r="I101" t="n">
        <v>0</v>
      </c>
      <c r="J101" t="n">
        <v>0</v>
      </c>
      <c r="K101" t="n">
        <v>0</v>
      </c>
      <c r="L101" t="n">
        <v>0</v>
      </c>
      <c r="M101" t="n">
        <v>0</v>
      </c>
      <c r="N101" t="n">
        <v>0</v>
      </c>
      <c r="O101" t="n">
        <v>0</v>
      </c>
      <c r="P101" t="n">
        <v>0</v>
      </c>
      <c r="Q101" t="n">
        <v>0</v>
      </c>
      <c r="R101" s="2" t="inlineStr"/>
    </row>
    <row r="102" ht="15" customHeight="1">
      <c r="A102" t="inlineStr">
        <is>
          <t>A 49303-2019</t>
        </is>
      </c>
      <c r="B102" s="1" t="n">
        <v>43731</v>
      </c>
      <c r="C102" s="1" t="n">
        <v>45794</v>
      </c>
      <c r="D102" t="inlineStr">
        <is>
          <t>DALARNAS LÄN</t>
        </is>
      </c>
      <c r="E102" t="inlineStr">
        <is>
          <t>SMEDJEBACKEN</t>
        </is>
      </c>
      <c r="G102" t="n">
        <v>2.3</v>
      </c>
      <c r="H102" t="n">
        <v>0</v>
      </c>
      <c r="I102" t="n">
        <v>0</v>
      </c>
      <c r="J102" t="n">
        <v>0</v>
      </c>
      <c r="K102" t="n">
        <v>0</v>
      </c>
      <c r="L102" t="n">
        <v>0</v>
      </c>
      <c r="M102" t="n">
        <v>0</v>
      </c>
      <c r="N102" t="n">
        <v>0</v>
      </c>
      <c r="O102" t="n">
        <v>0</v>
      </c>
      <c r="P102" t="n">
        <v>0</v>
      </c>
      <c r="Q102" t="n">
        <v>0</v>
      </c>
      <c r="R102" s="2" t="inlineStr"/>
    </row>
    <row r="103" ht="15" customHeight="1">
      <c r="A103" t="inlineStr">
        <is>
          <t>A 51146-2019</t>
        </is>
      </c>
      <c r="B103" s="1" t="n">
        <v>43732</v>
      </c>
      <c r="C103" s="1" t="n">
        <v>45794</v>
      </c>
      <c r="D103" t="inlineStr">
        <is>
          <t>DALARNAS LÄN</t>
        </is>
      </c>
      <c r="E103" t="inlineStr">
        <is>
          <t>SMEDJEBACKEN</t>
        </is>
      </c>
      <c r="G103" t="n">
        <v>3.8</v>
      </c>
      <c r="H103" t="n">
        <v>0</v>
      </c>
      <c r="I103" t="n">
        <v>0</v>
      </c>
      <c r="J103" t="n">
        <v>0</v>
      </c>
      <c r="K103" t="n">
        <v>0</v>
      </c>
      <c r="L103" t="n">
        <v>0</v>
      </c>
      <c r="M103" t="n">
        <v>0</v>
      </c>
      <c r="N103" t="n">
        <v>0</v>
      </c>
      <c r="O103" t="n">
        <v>0</v>
      </c>
      <c r="P103" t="n">
        <v>0</v>
      </c>
      <c r="Q103" t="n">
        <v>0</v>
      </c>
      <c r="R103" s="2" t="inlineStr"/>
    </row>
    <row r="104" ht="15" customHeight="1">
      <c r="A104" t="inlineStr">
        <is>
          <t>A 52834-2019</t>
        </is>
      </c>
      <c r="B104" s="1" t="n">
        <v>43739</v>
      </c>
      <c r="C104" s="1" t="n">
        <v>45794</v>
      </c>
      <c r="D104" t="inlineStr">
        <is>
          <t>DALARNAS LÄN</t>
        </is>
      </c>
      <c r="E104" t="inlineStr">
        <is>
          <t>SMEDJEBACKEN</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54239-2019</t>
        </is>
      </c>
      <c r="B105" s="1" t="n">
        <v>43745</v>
      </c>
      <c r="C105" s="1" t="n">
        <v>45794</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54273-2019</t>
        </is>
      </c>
      <c r="B106" s="1" t="n">
        <v>43745</v>
      </c>
      <c r="C106" s="1" t="n">
        <v>45794</v>
      </c>
      <c r="D106" t="inlineStr">
        <is>
          <t>DALARNAS LÄN</t>
        </is>
      </c>
      <c r="E106" t="inlineStr">
        <is>
          <t>SMEDJEBACKEN</t>
        </is>
      </c>
      <c r="F106" t="inlineStr">
        <is>
          <t>Bergvik skog väst AB</t>
        </is>
      </c>
      <c r="G106" t="n">
        <v>7.2</v>
      </c>
      <c r="H106" t="n">
        <v>0</v>
      </c>
      <c r="I106" t="n">
        <v>0</v>
      </c>
      <c r="J106" t="n">
        <v>0</v>
      </c>
      <c r="K106" t="n">
        <v>0</v>
      </c>
      <c r="L106" t="n">
        <v>0</v>
      </c>
      <c r="M106" t="n">
        <v>0</v>
      </c>
      <c r="N106" t="n">
        <v>0</v>
      </c>
      <c r="O106" t="n">
        <v>0</v>
      </c>
      <c r="P106" t="n">
        <v>0</v>
      </c>
      <c r="Q106" t="n">
        <v>0</v>
      </c>
      <c r="R106" s="2" t="inlineStr"/>
    </row>
    <row r="107" ht="15" customHeight="1">
      <c r="A107" t="inlineStr">
        <is>
          <t>A 54250-2019</t>
        </is>
      </c>
      <c r="B107" s="1" t="n">
        <v>43745</v>
      </c>
      <c r="C107" s="1" t="n">
        <v>45794</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55370-2019</t>
        </is>
      </c>
      <c r="B108" s="1" t="n">
        <v>43754</v>
      </c>
      <c r="C108" s="1" t="n">
        <v>45794</v>
      </c>
      <c r="D108" t="inlineStr">
        <is>
          <t>DALARNAS LÄN</t>
        </is>
      </c>
      <c r="E108" t="inlineStr">
        <is>
          <t>SMEDJEBACKEN</t>
        </is>
      </c>
      <c r="G108" t="n">
        <v>1.8</v>
      </c>
      <c r="H108" t="n">
        <v>0</v>
      </c>
      <c r="I108" t="n">
        <v>0</v>
      </c>
      <c r="J108" t="n">
        <v>0</v>
      </c>
      <c r="K108" t="n">
        <v>0</v>
      </c>
      <c r="L108" t="n">
        <v>0</v>
      </c>
      <c r="M108" t="n">
        <v>0</v>
      </c>
      <c r="N108" t="n">
        <v>0</v>
      </c>
      <c r="O108" t="n">
        <v>0</v>
      </c>
      <c r="P108" t="n">
        <v>0</v>
      </c>
      <c r="Q108" t="n">
        <v>0</v>
      </c>
      <c r="R108" s="2" t="inlineStr"/>
    </row>
    <row r="109" ht="15" customHeight="1">
      <c r="A109" t="inlineStr">
        <is>
          <t>A 54441-2019</t>
        </is>
      </c>
      <c r="B109" s="1" t="n">
        <v>43754</v>
      </c>
      <c r="C109" s="1" t="n">
        <v>45794</v>
      </c>
      <c r="D109" t="inlineStr">
        <is>
          <t>DALARNAS LÄN</t>
        </is>
      </c>
      <c r="E109" t="inlineStr">
        <is>
          <t>SMEDJEBACKEN</t>
        </is>
      </c>
      <c r="G109" t="n">
        <v>1.7</v>
      </c>
      <c r="H109" t="n">
        <v>0</v>
      </c>
      <c r="I109" t="n">
        <v>0</v>
      </c>
      <c r="J109" t="n">
        <v>0</v>
      </c>
      <c r="K109" t="n">
        <v>0</v>
      </c>
      <c r="L109" t="n">
        <v>0</v>
      </c>
      <c r="M109" t="n">
        <v>0</v>
      </c>
      <c r="N109" t="n">
        <v>0</v>
      </c>
      <c r="O109" t="n">
        <v>0</v>
      </c>
      <c r="P109" t="n">
        <v>0</v>
      </c>
      <c r="Q109" t="n">
        <v>0</v>
      </c>
      <c r="R109" s="2" t="inlineStr"/>
    </row>
    <row r="110" ht="15" customHeight="1">
      <c r="A110" t="inlineStr">
        <is>
          <t>A 55576-2019</t>
        </is>
      </c>
      <c r="B110" s="1" t="n">
        <v>43760</v>
      </c>
      <c r="C110" s="1" t="n">
        <v>45794</v>
      </c>
      <c r="D110" t="inlineStr">
        <is>
          <t>DALARNAS LÄN</t>
        </is>
      </c>
      <c r="E110" t="inlineStr">
        <is>
          <t>SMEDJEBACKEN</t>
        </is>
      </c>
      <c r="F110" t="inlineStr">
        <is>
          <t>Övriga Aktiebolag</t>
        </is>
      </c>
      <c r="G110" t="n">
        <v>5.2</v>
      </c>
      <c r="H110" t="n">
        <v>0</v>
      </c>
      <c r="I110" t="n">
        <v>0</v>
      </c>
      <c r="J110" t="n">
        <v>0</v>
      </c>
      <c r="K110" t="n">
        <v>0</v>
      </c>
      <c r="L110" t="n">
        <v>0</v>
      </c>
      <c r="M110" t="n">
        <v>0</v>
      </c>
      <c r="N110" t="n">
        <v>0</v>
      </c>
      <c r="O110" t="n">
        <v>0</v>
      </c>
      <c r="P110" t="n">
        <v>0</v>
      </c>
      <c r="Q110" t="n">
        <v>0</v>
      </c>
      <c r="R110" s="2" t="inlineStr"/>
    </row>
    <row r="111" ht="15" customHeight="1">
      <c r="A111" t="inlineStr">
        <is>
          <t>A 55633-2019</t>
        </is>
      </c>
      <c r="B111" s="1" t="n">
        <v>43760</v>
      </c>
      <c r="C111" s="1" t="n">
        <v>45794</v>
      </c>
      <c r="D111" t="inlineStr">
        <is>
          <t>DALARNAS LÄN</t>
        </is>
      </c>
      <c r="E111" t="inlineStr">
        <is>
          <t>SMEDJEBACKEN</t>
        </is>
      </c>
      <c r="G111" t="n">
        <v>0.8</v>
      </c>
      <c r="H111" t="n">
        <v>0</v>
      </c>
      <c r="I111" t="n">
        <v>0</v>
      </c>
      <c r="J111" t="n">
        <v>0</v>
      </c>
      <c r="K111" t="n">
        <v>0</v>
      </c>
      <c r="L111" t="n">
        <v>0</v>
      </c>
      <c r="M111" t="n">
        <v>0</v>
      </c>
      <c r="N111" t="n">
        <v>0</v>
      </c>
      <c r="O111" t="n">
        <v>0</v>
      </c>
      <c r="P111" t="n">
        <v>0</v>
      </c>
      <c r="Q111" t="n">
        <v>0</v>
      </c>
      <c r="R111" s="2" t="inlineStr"/>
    </row>
    <row r="112" ht="15" customHeight="1">
      <c r="A112" t="inlineStr">
        <is>
          <t>A 57067-2019</t>
        </is>
      </c>
      <c r="B112" s="1" t="n">
        <v>43766</v>
      </c>
      <c r="C112" s="1" t="n">
        <v>45794</v>
      </c>
      <c r="D112" t="inlineStr">
        <is>
          <t>DALARNAS LÄN</t>
        </is>
      </c>
      <c r="E112" t="inlineStr">
        <is>
          <t>SMEDJEBACKEN</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57357-2019</t>
        </is>
      </c>
      <c r="B113" s="1" t="n">
        <v>43767</v>
      </c>
      <c r="C113" s="1" t="n">
        <v>45794</v>
      </c>
      <c r="D113" t="inlineStr">
        <is>
          <t>DALARNAS LÄN</t>
        </is>
      </c>
      <c r="E113" t="inlineStr">
        <is>
          <t>SMEDJEBACKEN</t>
        </is>
      </c>
      <c r="G113" t="n">
        <v>5</v>
      </c>
      <c r="H113" t="n">
        <v>0</v>
      </c>
      <c r="I113" t="n">
        <v>0</v>
      </c>
      <c r="J113" t="n">
        <v>0</v>
      </c>
      <c r="K113" t="n">
        <v>0</v>
      </c>
      <c r="L113" t="n">
        <v>0</v>
      </c>
      <c r="M113" t="n">
        <v>0</v>
      </c>
      <c r="N113" t="n">
        <v>0</v>
      </c>
      <c r="O113" t="n">
        <v>0</v>
      </c>
      <c r="P113" t="n">
        <v>0</v>
      </c>
      <c r="Q113" t="n">
        <v>0</v>
      </c>
      <c r="R113" s="2" t="inlineStr"/>
    </row>
    <row r="114" ht="15" customHeight="1">
      <c r="A114" t="inlineStr">
        <is>
          <t>A 58674-2019</t>
        </is>
      </c>
      <c r="B114" s="1" t="n">
        <v>43773</v>
      </c>
      <c r="C114" s="1" t="n">
        <v>45794</v>
      </c>
      <c r="D114" t="inlineStr">
        <is>
          <t>DALARNAS LÄN</t>
        </is>
      </c>
      <c r="E114" t="inlineStr">
        <is>
          <t>SMEDJEBACKEN</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58603-2019</t>
        </is>
      </c>
      <c r="B115" s="1" t="n">
        <v>43773</v>
      </c>
      <c r="C115" s="1" t="n">
        <v>45794</v>
      </c>
      <c r="D115" t="inlineStr">
        <is>
          <t>DALARNAS LÄN</t>
        </is>
      </c>
      <c r="E115" t="inlineStr">
        <is>
          <t>SMEDJEBACKEN</t>
        </is>
      </c>
      <c r="G115" t="n">
        <v>6.2</v>
      </c>
      <c r="H115" t="n">
        <v>0</v>
      </c>
      <c r="I115" t="n">
        <v>0</v>
      </c>
      <c r="J115" t="n">
        <v>0</v>
      </c>
      <c r="K115" t="n">
        <v>0</v>
      </c>
      <c r="L115" t="n">
        <v>0</v>
      </c>
      <c r="M115" t="n">
        <v>0</v>
      </c>
      <c r="N115" t="n">
        <v>0</v>
      </c>
      <c r="O115" t="n">
        <v>0</v>
      </c>
      <c r="P115" t="n">
        <v>0</v>
      </c>
      <c r="Q115" t="n">
        <v>0</v>
      </c>
      <c r="R115" s="2" t="inlineStr"/>
    </row>
    <row r="116" ht="15" customHeight="1">
      <c r="A116" t="inlineStr">
        <is>
          <t>A 59267-2019</t>
        </is>
      </c>
      <c r="B116" s="1" t="n">
        <v>43775</v>
      </c>
      <c r="C116" s="1" t="n">
        <v>45794</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60095-2019</t>
        </is>
      </c>
      <c r="B117" s="1" t="n">
        <v>43777</v>
      </c>
      <c r="C117" s="1" t="n">
        <v>45794</v>
      </c>
      <c r="D117" t="inlineStr">
        <is>
          <t>DALARNAS LÄN</t>
        </is>
      </c>
      <c r="E117" t="inlineStr">
        <is>
          <t>SMEDJEBACKEN</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60148-2019</t>
        </is>
      </c>
      <c r="B118" s="1" t="n">
        <v>43779</v>
      </c>
      <c r="C118" s="1" t="n">
        <v>45794</v>
      </c>
      <c r="D118" t="inlineStr">
        <is>
          <t>DALARNAS LÄN</t>
        </is>
      </c>
      <c r="E118" t="inlineStr">
        <is>
          <t>SMEDJEBACKEN</t>
        </is>
      </c>
      <c r="G118" t="n">
        <v>2.5</v>
      </c>
      <c r="H118" t="n">
        <v>0</v>
      </c>
      <c r="I118" t="n">
        <v>0</v>
      </c>
      <c r="J118" t="n">
        <v>0</v>
      </c>
      <c r="K118" t="n">
        <v>0</v>
      </c>
      <c r="L118" t="n">
        <v>0</v>
      </c>
      <c r="M118" t="n">
        <v>0</v>
      </c>
      <c r="N118" t="n">
        <v>0</v>
      </c>
      <c r="O118" t="n">
        <v>0</v>
      </c>
      <c r="P118" t="n">
        <v>0</v>
      </c>
      <c r="Q118" t="n">
        <v>0</v>
      </c>
      <c r="R118" s="2" t="inlineStr"/>
    </row>
    <row r="119" ht="15" customHeight="1">
      <c r="A119" t="inlineStr">
        <is>
          <t>A 60421-2019</t>
        </is>
      </c>
      <c r="B119" s="1" t="n">
        <v>43780</v>
      </c>
      <c r="C119" s="1" t="n">
        <v>45794</v>
      </c>
      <c r="D119" t="inlineStr">
        <is>
          <t>DALARNAS LÄN</t>
        </is>
      </c>
      <c r="E119" t="inlineStr">
        <is>
          <t>SMEDJEBACKEN</t>
        </is>
      </c>
      <c r="G119" t="n">
        <v>3.1</v>
      </c>
      <c r="H119" t="n">
        <v>0</v>
      </c>
      <c r="I119" t="n">
        <v>0</v>
      </c>
      <c r="J119" t="n">
        <v>0</v>
      </c>
      <c r="K119" t="n">
        <v>0</v>
      </c>
      <c r="L119" t="n">
        <v>0</v>
      </c>
      <c r="M119" t="n">
        <v>0</v>
      </c>
      <c r="N119" t="n">
        <v>0</v>
      </c>
      <c r="O119" t="n">
        <v>0</v>
      </c>
      <c r="P119" t="n">
        <v>0</v>
      </c>
      <c r="Q119" t="n">
        <v>0</v>
      </c>
      <c r="R119" s="2" t="inlineStr"/>
    </row>
    <row r="120" ht="15" customHeight="1">
      <c r="A120" t="inlineStr">
        <is>
          <t>A 63796-2019</t>
        </is>
      </c>
      <c r="B120" s="1" t="n">
        <v>43795</v>
      </c>
      <c r="C120" s="1" t="n">
        <v>45794</v>
      </c>
      <c r="D120" t="inlineStr">
        <is>
          <t>DALARNAS LÄN</t>
        </is>
      </c>
      <c r="E120" t="inlineStr">
        <is>
          <t>SMEDJEBACKEN</t>
        </is>
      </c>
      <c r="G120" t="n">
        <v>1.2</v>
      </c>
      <c r="H120" t="n">
        <v>0</v>
      </c>
      <c r="I120" t="n">
        <v>0</v>
      </c>
      <c r="J120" t="n">
        <v>0</v>
      </c>
      <c r="K120" t="n">
        <v>0</v>
      </c>
      <c r="L120" t="n">
        <v>0</v>
      </c>
      <c r="M120" t="n">
        <v>0</v>
      </c>
      <c r="N120" t="n">
        <v>0</v>
      </c>
      <c r="O120" t="n">
        <v>0</v>
      </c>
      <c r="P120" t="n">
        <v>0</v>
      </c>
      <c r="Q120" t="n">
        <v>0</v>
      </c>
      <c r="R120" s="2" t="inlineStr"/>
    </row>
    <row r="121" ht="15" customHeight="1">
      <c r="A121" t="inlineStr">
        <is>
          <t>A 64705-2019</t>
        </is>
      </c>
      <c r="B121" s="1" t="n">
        <v>43798</v>
      </c>
      <c r="C121" s="1" t="n">
        <v>45794</v>
      </c>
      <c r="D121" t="inlineStr">
        <is>
          <t>DALARNAS LÄN</t>
        </is>
      </c>
      <c r="E121" t="inlineStr">
        <is>
          <t>SMEDJEBACKEN</t>
        </is>
      </c>
      <c r="G121" t="n">
        <v>1.5</v>
      </c>
      <c r="H121" t="n">
        <v>0</v>
      </c>
      <c r="I121" t="n">
        <v>0</v>
      </c>
      <c r="J121" t="n">
        <v>0</v>
      </c>
      <c r="K121" t="n">
        <v>0</v>
      </c>
      <c r="L121" t="n">
        <v>0</v>
      </c>
      <c r="M121" t="n">
        <v>0</v>
      </c>
      <c r="N121" t="n">
        <v>0</v>
      </c>
      <c r="O121" t="n">
        <v>0</v>
      </c>
      <c r="P121" t="n">
        <v>0</v>
      </c>
      <c r="Q121" t="n">
        <v>0</v>
      </c>
      <c r="R121" s="2" t="inlineStr"/>
    </row>
    <row r="122" ht="15" customHeight="1">
      <c r="A122" t="inlineStr">
        <is>
          <t>A 68938-2019</t>
        </is>
      </c>
      <c r="B122" s="1" t="n">
        <v>43822</v>
      </c>
      <c r="C122" s="1" t="n">
        <v>45794</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68937-2019</t>
        </is>
      </c>
      <c r="B123" s="1" t="n">
        <v>43822</v>
      </c>
      <c r="C123" s="1" t="n">
        <v>45794</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1080-2020</t>
        </is>
      </c>
      <c r="B124" s="1" t="n">
        <v>43840</v>
      </c>
      <c r="C124" s="1" t="n">
        <v>45794</v>
      </c>
      <c r="D124" t="inlineStr">
        <is>
          <t>DALARNAS LÄN</t>
        </is>
      </c>
      <c r="E124" t="inlineStr">
        <is>
          <t>SMEDJEBACKEN</t>
        </is>
      </c>
      <c r="G124" t="n">
        <v>2.9</v>
      </c>
      <c r="H124" t="n">
        <v>0</v>
      </c>
      <c r="I124" t="n">
        <v>0</v>
      </c>
      <c r="J124" t="n">
        <v>0</v>
      </c>
      <c r="K124" t="n">
        <v>0</v>
      </c>
      <c r="L124" t="n">
        <v>0</v>
      </c>
      <c r="M124" t="n">
        <v>0</v>
      </c>
      <c r="N124" t="n">
        <v>0</v>
      </c>
      <c r="O124" t="n">
        <v>0</v>
      </c>
      <c r="P124" t="n">
        <v>0</v>
      </c>
      <c r="Q124" t="n">
        <v>0</v>
      </c>
      <c r="R124" s="2" t="inlineStr"/>
    </row>
    <row r="125" ht="15" customHeight="1">
      <c r="A125" t="inlineStr">
        <is>
          <t>A 2333-2020</t>
        </is>
      </c>
      <c r="B125" s="1" t="n">
        <v>43840</v>
      </c>
      <c r="C125" s="1" t="n">
        <v>45794</v>
      </c>
      <c r="D125" t="inlineStr">
        <is>
          <t>DALARNAS LÄN</t>
        </is>
      </c>
      <c r="E125" t="inlineStr">
        <is>
          <t>SMEDJEBACKEN</t>
        </is>
      </c>
      <c r="G125" t="n">
        <v>4.5</v>
      </c>
      <c r="H125" t="n">
        <v>0</v>
      </c>
      <c r="I125" t="n">
        <v>0</v>
      </c>
      <c r="J125" t="n">
        <v>0</v>
      </c>
      <c r="K125" t="n">
        <v>0</v>
      </c>
      <c r="L125" t="n">
        <v>0</v>
      </c>
      <c r="M125" t="n">
        <v>0</v>
      </c>
      <c r="N125" t="n">
        <v>0</v>
      </c>
      <c r="O125" t="n">
        <v>0</v>
      </c>
      <c r="P125" t="n">
        <v>0</v>
      </c>
      <c r="Q125" t="n">
        <v>0</v>
      </c>
      <c r="R125" s="2" t="inlineStr"/>
    </row>
    <row r="126" ht="15" customHeight="1">
      <c r="A126" t="inlineStr">
        <is>
          <t>A 1119-2020</t>
        </is>
      </c>
      <c r="B126" s="1" t="n">
        <v>43840</v>
      </c>
      <c r="C126" s="1" t="n">
        <v>45794</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1287-2020</t>
        </is>
      </c>
      <c r="B127" s="1" t="n">
        <v>43842</v>
      </c>
      <c r="C127" s="1" t="n">
        <v>45794</v>
      </c>
      <c r="D127" t="inlineStr">
        <is>
          <t>DALARNAS LÄN</t>
        </is>
      </c>
      <c r="E127" t="inlineStr">
        <is>
          <t>SMEDJEBACKEN</t>
        </is>
      </c>
      <c r="G127" t="n">
        <v>1.3</v>
      </c>
      <c r="H127" t="n">
        <v>0</v>
      </c>
      <c r="I127" t="n">
        <v>0</v>
      </c>
      <c r="J127" t="n">
        <v>0</v>
      </c>
      <c r="K127" t="n">
        <v>0</v>
      </c>
      <c r="L127" t="n">
        <v>0</v>
      </c>
      <c r="M127" t="n">
        <v>0</v>
      </c>
      <c r="N127" t="n">
        <v>0</v>
      </c>
      <c r="O127" t="n">
        <v>0</v>
      </c>
      <c r="P127" t="n">
        <v>0</v>
      </c>
      <c r="Q127" t="n">
        <v>0</v>
      </c>
      <c r="R127" s="2" t="inlineStr"/>
    </row>
    <row r="128" ht="15" customHeight="1">
      <c r="A128" t="inlineStr">
        <is>
          <t>A 1470-2020</t>
        </is>
      </c>
      <c r="B128" s="1" t="n">
        <v>43843</v>
      </c>
      <c r="C128" s="1" t="n">
        <v>45794</v>
      </c>
      <c r="D128" t="inlineStr">
        <is>
          <t>DALARNAS LÄN</t>
        </is>
      </c>
      <c r="E128" t="inlineStr">
        <is>
          <t>SMEDJEBACKEN</t>
        </is>
      </c>
      <c r="G128" t="n">
        <v>4</v>
      </c>
      <c r="H128" t="n">
        <v>0</v>
      </c>
      <c r="I128" t="n">
        <v>0</v>
      </c>
      <c r="J128" t="n">
        <v>0</v>
      </c>
      <c r="K128" t="n">
        <v>0</v>
      </c>
      <c r="L128" t="n">
        <v>0</v>
      </c>
      <c r="M128" t="n">
        <v>0</v>
      </c>
      <c r="N128" t="n">
        <v>0</v>
      </c>
      <c r="O128" t="n">
        <v>0</v>
      </c>
      <c r="P128" t="n">
        <v>0</v>
      </c>
      <c r="Q128" t="n">
        <v>0</v>
      </c>
      <c r="R128" s="2" t="inlineStr"/>
    </row>
    <row r="129" ht="15" customHeight="1">
      <c r="A129" t="inlineStr">
        <is>
          <t>A 1466-2020</t>
        </is>
      </c>
      <c r="B129" s="1" t="n">
        <v>43843</v>
      </c>
      <c r="C129" s="1" t="n">
        <v>45794</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2044-2020</t>
        </is>
      </c>
      <c r="B130" s="1" t="n">
        <v>43845</v>
      </c>
      <c r="C130" s="1" t="n">
        <v>45794</v>
      </c>
      <c r="D130" t="inlineStr">
        <is>
          <t>DALARNAS LÄN</t>
        </is>
      </c>
      <c r="E130" t="inlineStr">
        <is>
          <t>SMEDJEBACKEN</t>
        </is>
      </c>
      <c r="F130" t="inlineStr">
        <is>
          <t>Kyrkan</t>
        </is>
      </c>
      <c r="G130" t="n">
        <v>5.1</v>
      </c>
      <c r="H130" t="n">
        <v>0</v>
      </c>
      <c r="I130" t="n">
        <v>0</v>
      </c>
      <c r="J130" t="n">
        <v>0</v>
      </c>
      <c r="K130" t="n">
        <v>0</v>
      </c>
      <c r="L130" t="n">
        <v>0</v>
      </c>
      <c r="M130" t="n">
        <v>0</v>
      </c>
      <c r="N130" t="n">
        <v>0</v>
      </c>
      <c r="O130" t="n">
        <v>0</v>
      </c>
      <c r="P130" t="n">
        <v>0</v>
      </c>
      <c r="Q130" t="n">
        <v>0</v>
      </c>
      <c r="R130" s="2" t="inlineStr"/>
    </row>
    <row r="131" ht="15" customHeight="1">
      <c r="A131" t="inlineStr">
        <is>
          <t>A 4046-2020</t>
        </is>
      </c>
      <c r="B131" s="1" t="n">
        <v>43846</v>
      </c>
      <c r="C131" s="1" t="n">
        <v>45794</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2989-2020</t>
        </is>
      </c>
      <c r="B132" s="1" t="n">
        <v>43850</v>
      </c>
      <c r="C132" s="1" t="n">
        <v>45794</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3219-2020</t>
        </is>
      </c>
      <c r="B133" s="1" t="n">
        <v>43851</v>
      </c>
      <c r="C133" s="1" t="n">
        <v>45794</v>
      </c>
      <c r="D133" t="inlineStr">
        <is>
          <t>DALARNAS LÄN</t>
        </is>
      </c>
      <c r="E133" t="inlineStr">
        <is>
          <t>SMEDJEBACKEN</t>
        </is>
      </c>
      <c r="G133" t="n">
        <v>7.2</v>
      </c>
      <c r="H133" t="n">
        <v>0</v>
      </c>
      <c r="I133" t="n">
        <v>0</v>
      </c>
      <c r="J133" t="n">
        <v>0</v>
      </c>
      <c r="K133" t="n">
        <v>0</v>
      </c>
      <c r="L133" t="n">
        <v>0</v>
      </c>
      <c r="M133" t="n">
        <v>0</v>
      </c>
      <c r="N133" t="n">
        <v>0</v>
      </c>
      <c r="O133" t="n">
        <v>0</v>
      </c>
      <c r="P133" t="n">
        <v>0</v>
      </c>
      <c r="Q133" t="n">
        <v>0</v>
      </c>
      <c r="R133" s="2" t="inlineStr"/>
    </row>
    <row r="134" ht="15" customHeight="1">
      <c r="A134" t="inlineStr">
        <is>
          <t>A 3601-2020</t>
        </is>
      </c>
      <c r="B134" s="1" t="n">
        <v>43853</v>
      </c>
      <c r="C134" s="1" t="n">
        <v>45794</v>
      </c>
      <c r="D134" t="inlineStr">
        <is>
          <t>DALARNAS LÄN</t>
        </is>
      </c>
      <c r="E134" t="inlineStr">
        <is>
          <t>SMEDJEBACKEN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5227-2020</t>
        </is>
      </c>
      <c r="B135" s="1" t="n">
        <v>43854</v>
      </c>
      <c r="C135" s="1" t="n">
        <v>45794</v>
      </c>
      <c r="D135" t="inlineStr">
        <is>
          <t>DALARNAS LÄN</t>
        </is>
      </c>
      <c r="E135" t="inlineStr">
        <is>
          <t>SMEDJEBACKEN</t>
        </is>
      </c>
      <c r="G135" t="n">
        <v>1.6</v>
      </c>
      <c r="H135" t="n">
        <v>0</v>
      </c>
      <c r="I135" t="n">
        <v>0</v>
      </c>
      <c r="J135" t="n">
        <v>0</v>
      </c>
      <c r="K135" t="n">
        <v>0</v>
      </c>
      <c r="L135" t="n">
        <v>0</v>
      </c>
      <c r="M135" t="n">
        <v>0</v>
      </c>
      <c r="N135" t="n">
        <v>0</v>
      </c>
      <c r="O135" t="n">
        <v>0</v>
      </c>
      <c r="P135" t="n">
        <v>0</v>
      </c>
      <c r="Q135" t="n">
        <v>0</v>
      </c>
      <c r="R135" s="2" t="inlineStr"/>
    </row>
    <row r="136" ht="15" customHeight="1">
      <c r="A136" t="inlineStr">
        <is>
          <t>A 5959-2020</t>
        </is>
      </c>
      <c r="B136" s="1" t="n">
        <v>43864</v>
      </c>
      <c r="C136" s="1" t="n">
        <v>45794</v>
      </c>
      <c r="D136" t="inlineStr">
        <is>
          <t>DALARNAS LÄN</t>
        </is>
      </c>
      <c r="E136" t="inlineStr">
        <is>
          <t>SMEDJEBACKEN</t>
        </is>
      </c>
      <c r="G136" t="n">
        <v>2.2</v>
      </c>
      <c r="H136" t="n">
        <v>0</v>
      </c>
      <c r="I136" t="n">
        <v>0</v>
      </c>
      <c r="J136" t="n">
        <v>0</v>
      </c>
      <c r="K136" t="n">
        <v>0</v>
      </c>
      <c r="L136" t="n">
        <v>0</v>
      </c>
      <c r="M136" t="n">
        <v>0</v>
      </c>
      <c r="N136" t="n">
        <v>0</v>
      </c>
      <c r="O136" t="n">
        <v>0</v>
      </c>
      <c r="P136" t="n">
        <v>0</v>
      </c>
      <c r="Q136" t="n">
        <v>0</v>
      </c>
      <c r="R136" s="2" t="inlineStr"/>
    </row>
    <row r="137" ht="15" customHeight="1">
      <c r="A137" t="inlineStr">
        <is>
          <t>A 6312-2020</t>
        </is>
      </c>
      <c r="B137" s="1" t="n">
        <v>43866</v>
      </c>
      <c r="C137" s="1" t="n">
        <v>45794</v>
      </c>
      <c r="D137" t="inlineStr">
        <is>
          <t>DALARNAS LÄN</t>
        </is>
      </c>
      <c r="E137" t="inlineStr">
        <is>
          <t>SMEDJEBACKEN</t>
        </is>
      </c>
      <c r="G137" t="n">
        <v>6.7</v>
      </c>
      <c r="H137" t="n">
        <v>0</v>
      </c>
      <c r="I137" t="n">
        <v>0</v>
      </c>
      <c r="J137" t="n">
        <v>0</v>
      </c>
      <c r="K137" t="n">
        <v>0</v>
      </c>
      <c r="L137" t="n">
        <v>0</v>
      </c>
      <c r="M137" t="n">
        <v>0</v>
      </c>
      <c r="N137" t="n">
        <v>0</v>
      </c>
      <c r="O137" t="n">
        <v>0</v>
      </c>
      <c r="P137" t="n">
        <v>0</v>
      </c>
      <c r="Q137" t="n">
        <v>0</v>
      </c>
      <c r="R137" s="2" t="inlineStr"/>
    </row>
    <row r="138" ht="15" customHeight="1">
      <c r="A138" t="inlineStr">
        <is>
          <t>A 7721-2020</t>
        </is>
      </c>
      <c r="B138" s="1" t="n">
        <v>43872</v>
      </c>
      <c r="C138" s="1" t="n">
        <v>45794</v>
      </c>
      <c r="D138" t="inlineStr">
        <is>
          <t>DALARNAS LÄN</t>
        </is>
      </c>
      <c r="E138" t="inlineStr">
        <is>
          <t>SMEDJEBACKEN</t>
        </is>
      </c>
      <c r="G138" t="n">
        <v>1</v>
      </c>
      <c r="H138" t="n">
        <v>0</v>
      </c>
      <c r="I138" t="n">
        <v>0</v>
      </c>
      <c r="J138" t="n">
        <v>0</v>
      </c>
      <c r="K138" t="n">
        <v>0</v>
      </c>
      <c r="L138" t="n">
        <v>0</v>
      </c>
      <c r="M138" t="n">
        <v>0</v>
      </c>
      <c r="N138" t="n">
        <v>0</v>
      </c>
      <c r="O138" t="n">
        <v>0</v>
      </c>
      <c r="P138" t="n">
        <v>0</v>
      </c>
      <c r="Q138" t="n">
        <v>0</v>
      </c>
      <c r="R138" s="2" t="inlineStr"/>
    </row>
    <row r="139" ht="15" customHeight="1">
      <c r="A139" t="inlineStr">
        <is>
          <t>A 9950-2020</t>
        </is>
      </c>
      <c r="B139" s="1" t="n">
        <v>43882</v>
      </c>
      <c r="C139" s="1" t="n">
        <v>45794</v>
      </c>
      <c r="D139" t="inlineStr">
        <is>
          <t>DALARNAS LÄN</t>
        </is>
      </c>
      <c r="E139" t="inlineStr">
        <is>
          <t>SMEDJEBACKEN</t>
        </is>
      </c>
      <c r="G139" t="n">
        <v>3.4</v>
      </c>
      <c r="H139" t="n">
        <v>0</v>
      </c>
      <c r="I139" t="n">
        <v>0</v>
      </c>
      <c r="J139" t="n">
        <v>0</v>
      </c>
      <c r="K139" t="n">
        <v>0</v>
      </c>
      <c r="L139" t="n">
        <v>0</v>
      </c>
      <c r="M139" t="n">
        <v>0</v>
      </c>
      <c r="N139" t="n">
        <v>0</v>
      </c>
      <c r="O139" t="n">
        <v>0</v>
      </c>
      <c r="P139" t="n">
        <v>0</v>
      </c>
      <c r="Q139" t="n">
        <v>0</v>
      </c>
      <c r="R139" s="2" t="inlineStr"/>
    </row>
    <row r="140" ht="15" customHeight="1">
      <c r="A140" t="inlineStr">
        <is>
          <t>A 10716-2020</t>
        </is>
      </c>
      <c r="B140" s="1" t="n">
        <v>43885</v>
      </c>
      <c r="C140" s="1" t="n">
        <v>45794</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11304-2020</t>
        </is>
      </c>
      <c r="B141" s="1" t="n">
        <v>43886</v>
      </c>
      <c r="C141" s="1" t="n">
        <v>45794</v>
      </c>
      <c r="D141" t="inlineStr">
        <is>
          <t>DALARNAS LÄN</t>
        </is>
      </c>
      <c r="E141" t="inlineStr">
        <is>
          <t>SMEDJEBACKEN</t>
        </is>
      </c>
      <c r="G141" t="n">
        <v>1.8</v>
      </c>
      <c r="H141" t="n">
        <v>0</v>
      </c>
      <c r="I141" t="n">
        <v>0</v>
      </c>
      <c r="J141" t="n">
        <v>0</v>
      </c>
      <c r="K141" t="n">
        <v>0</v>
      </c>
      <c r="L141" t="n">
        <v>0</v>
      </c>
      <c r="M141" t="n">
        <v>0</v>
      </c>
      <c r="N141" t="n">
        <v>0</v>
      </c>
      <c r="O141" t="n">
        <v>0</v>
      </c>
      <c r="P141" t="n">
        <v>0</v>
      </c>
      <c r="Q141" t="n">
        <v>0</v>
      </c>
      <c r="R141" s="2" t="inlineStr"/>
    </row>
    <row r="142" ht="15" customHeight="1">
      <c r="A142" t="inlineStr">
        <is>
          <t>A 10582-2020</t>
        </is>
      </c>
      <c r="B142" s="1" t="n">
        <v>43887</v>
      </c>
      <c r="C142" s="1" t="n">
        <v>45794</v>
      </c>
      <c r="D142" t="inlineStr">
        <is>
          <t>DALARNAS LÄN</t>
        </is>
      </c>
      <c r="E142" t="inlineStr">
        <is>
          <t>SMEDJEBACKEN</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10104-2020</t>
        </is>
      </c>
      <c r="B143" s="1" t="n">
        <v>43887</v>
      </c>
      <c r="C143" s="1" t="n">
        <v>45794</v>
      </c>
      <c r="D143" t="inlineStr">
        <is>
          <t>DALARNAS LÄN</t>
        </is>
      </c>
      <c r="E143" t="inlineStr">
        <is>
          <t>SMEDJEBACKEN</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10605-2020</t>
        </is>
      </c>
      <c r="B144" s="1" t="n">
        <v>43887</v>
      </c>
      <c r="C144" s="1" t="n">
        <v>45794</v>
      </c>
      <c r="D144" t="inlineStr">
        <is>
          <t>DALARNAS LÄN</t>
        </is>
      </c>
      <c r="E144" t="inlineStr">
        <is>
          <t>SMEDJEBACKEN</t>
        </is>
      </c>
      <c r="G144" t="n">
        <v>0.6</v>
      </c>
      <c r="H144" t="n">
        <v>0</v>
      </c>
      <c r="I144" t="n">
        <v>0</v>
      </c>
      <c r="J144" t="n">
        <v>0</v>
      </c>
      <c r="K144" t="n">
        <v>0</v>
      </c>
      <c r="L144" t="n">
        <v>0</v>
      </c>
      <c r="M144" t="n">
        <v>0</v>
      </c>
      <c r="N144" t="n">
        <v>0</v>
      </c>
      <c r="O144" t="n">
        <v>0</v>
      </c>
      <c r="P144" t="n">
        <v>0</v>
      </c>
      <c r="Q144" t="n">
        <v>0</v>
      </c>
      <c r="R144" s="2" t="inlineStr"/>
    </row>
    <row r="145" ht="15" customHeight="1">
      <c r="A145" t="inlineStr">
        <is>
          <t>A 10562-2020</t>
        </is>
      </c>
      <c r="B145" s="1" t="n">
        <v>43887</v>
      </c>
      <c r="C145" s="1" t="n">
        <v>45794</v>
      </c>
      <c r="D145" t="inlineStr">
        <is>
          <t>DALARNAS LÄN</t>
        </is>
      </c>
      <c r="E145" t="inlineStr">
        <is>
          <t>SMEDJEBACKEN</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10772-2020</t>
        </is>
      </c>
      <c r="B146" s="1" t="n">
        <v>43888</v>
      </c>
      <c r="C146" s="1" t="n">
        <v>45794</v>
      </c>
      <c r="D146" t="inlineStr">
        <is>
          <t>DALARNAS LÄN</t>
        </is>
      </c>
      <c r="E146" t="inlineStr">
        <is>
          <t>SMEDJEBACKEN</t>
        </is>
      </c>
      <c r="F146" t="inlineStr">
        <is>
          <t>Övriga Aktiebolag</t>
        </is>
      </c>
      <c r="G146" t="n">
        <v>1.9</v>
      </c>
      <c r="H146" t="n">
        <v>0</v>
      </c>
      <c r="I146" t="n">
        <v>0</v>
      </c>
      <c r="J146" t="n">
        <v>0</v>
      </c>
      <c r="K146" t="n">
        <v>0</v>
      </c>
      <c r="L146" t="n">
        <v>0</v>
      </c>
      <c r="M146" t="n">
        <v>0</v>
      </c>
      <c r="N146" t="n">
        <v>0</v>
      </c>
      <c r="O146" t="n">
        <v>0</v>
      </c>
      <c r="P146" t="n">
        <v>0</v>
      </c>
      <c r="Q146" t="n">
        <v>0</v>
      </c>
      <c r="R146" s="2" t="inlineStr"/>
    </row>
    <row r="147" ht="15" customHeight="1">
      <c r="A147" t="inlineStr">
        <is>
          <t>A 12381-2020</t>
        </is>
      </c>
      <c r="B147" s="1" t="n">
        <v>43896</v>
      </c>
      <c r="C147" s="1" t="n">
        <v>45794</v>
      </c>
      <c r="D147" t="inlineStr">
        <is>
          <t>DALARNAS LÄN</t>
        </is>
      </c>
      <c r="E147" t="inlineStr">
        <is>
          <t>SMEDJEBACKEN</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14636-2020</t>
        </is>
      </c>
      <c r="B148" s="1" t="n">
        <v>43902</v>
      </c>
      <c r="C148" s="1" t="n">
        <v>45794</v>
      </c>
      <c r="D148" t="inlineStr">
        <is>
          <t>DALARNAS LÄN</t>
        </is>
      </c>
      <c r="E148" t="inlineStr">
        <is>
          <t>SMEDJEBACKEN</t>
        </is>
      </c>
      <c r="G148" t="n">
        <v>9.6</v>
      </c>
      <c r="H148" t="n">
        <v>0</v>
      </c>
      <c r="I148" t="n">
        <v>0</v>
      </c>
      <c r="J148" t="n">
        <v>0</v>
      </c>
      <c r="K148" t="n">
        <v>0</v>
      </c>
      <c r="L148" t="n">
        <v>0</v>
      </c>
      <c r="M148" t="n">
        <v>0</v>
      </c>
      <c r="N148" t="n">
        <v>0</v>
      </c>
      <c r="O148" t="n">
        <v>0</v>
      </c>
      <c r="P148" t="n">
        <v>0</v>
      </c>
      <c r="Q148" t="n">
        <v>0</v>
      </c>
      <c r="R148" s="2" t="inlineStr"/>
    </row>
    <row r="149" ht="15" customHeight="1">
      <c r="A149" t="inlineStr">
        <is>
          <t>A 15772-2020</t>
        </is>
      </c>
      <c r="B149" s="1" t="n">
        <v>43915</v>
      </c>
      <c r="C149" s="1" t="n">
        <v>45794</v>
      </c>
      <c r="D149" t="inlineStr">
        <is>
          <t>DALARNAS LÄN</t>
        </is>
      </c>
      <c r="E149" t="inlineStr">
        <is>
          <t>SMEDJEBACKEN</t>
        </is>
      </c>
      <c r="G149" t="n">
        <v>1.2</v>
      </c>
      <c r="H149" t="n">
        <v>0</v>
      </c>
      <c r="I149" t="n">
        <v>0</v>
      </c>
      <c r="J149" t="n">
        <v>0</v>
      </c>
      <c r="K149" t="n">
        <v>0</v>
      </c>
      <c r="L149" t="n">
        <v>0</v>
      </c>
      <c r="M149" t="n">
        <v>0</v>
      </c>
      <c r="N149" t="n">
        <v>0</v>
      </c>
      <c r="O149" t="n">
        <v>0</v>
      </c>
      <c r="P149" t="n">
        <v>0</v>
      </c>
      <c r="Q149" t="n">
        <v>0</v>
      </c>
      <c r="R149" s="2" t="inlineStr"/>
    </row>
    <row r="150" ht="15" customHeight="1">
      <c r="A150" t="inlineStr">
        <is>
          <t>A 15668-2020</t>
        </is>
      </c>
      <c r="B150" s="1" t="n">
        <v>43915</v>
      </c>
      <c r="C150" s="1" t="n">
        <v>45794</v>
      </c>
      <c r="D150" t="inlineStr">
        <is>
          <t>DALARNAS LÄN</t>
        </is>
      </c>
      <c r="E150" t="inlineStr">
        <is>
          <t>SMEDJEBACKEN</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16415-2020</t>
        </is>
      </c>
      <c r="B151" s="1" t="n">
        <v>43919</v>
      </c>
      <c r="C151" s="1" t="n">
        <v>45794</v>
      </c>
      <c r="D151" t="inlineStr">
        <is>
          <t>DALARNAS LÄN</t>
        </is>
      </c>
      <c r="E151" t="inlineStr">
        <is>
          <t>SMEDJEBACKEN</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16614-2020</t>
        </is>
      </c>
      <c r="B152" s="1" t="n">
        <v>43920</v>
      </c>
      <c r="C152" s="1" t="n">
        <v>45794</v>
      </c>
      <c r="D152" t="inlineStr">
        <is>
          <t>DALARNAS LÄN</t>
        </is>
      </c>
      <c r="E152" t="inlineStr">
        <is>
          <t>SMEDJEBACKEN</t>
        </is>
      </c>
      <c r="F152" t="inlineStr">
        <is>
          <t>Övriga Aktiebolag</t>
        </is>
      </c>
      <c r="G152" t="n">
        <v>7.7</v>
      </c>
      <c r="H152" t="n">
        <v>0</v>
      </c>
      <c r="I152" t="n">
        <v>0</v>
      </c>
      <c r="J152" t="n">
        <v>0</v>
      </c>
      <c r="K152" t="n">
        <v>0</v>
      </c>
      <c r="L152" t="n">
        <v>0</v>
      </c>
      <c r="M152" t="n">
        <v>0</v>
      </c>
      <c r="N152" t="n">
        <v>0</v>
      </c>
      <c r="O152" t="n">
        <v>0</v>
      </c>
      <c r="P152" t="n">
        <v>0</v>
      </c>
      <c r="Q152" t="n">
        <v>0</v>
      </c>
      <c r="R152" s="2" t="inlineStr"/>
    </row>
    <row r="153" ht="15" customHeight="1">
      <c r="A153" t="inlineStr">
        <is>
          <t>A 16861-2020</t>
        </is>
      </c>
      <c r="B153" s="1" t="n">
        <v>43921</v>
      </c>
      <c r="C153" s="1" t="n">
        <v>45794</v>
      </c>
      <c r="D153" t="inlineStr">
        <is>
          <t>DALARNAS LÄN</t>
        </is>
      </c>
      <c r="E153" t="inlineStr">
        <is>
          <t>SMEDJEBACKEN</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17031-2020</t>
        </is>
      </c>
      <c r="B154" s="1" t="n">
        <v>43921</v>
      </c>
      <c r="C154" s="1" t="n">
        <v>45794</v>
      </c>
      <c r="D154" t="inlineStr">
        <is>
          <t>DALARNAS LÄN</t>
        </is>
      </c>
      <c r="E154" t="inlineStr">
        <is>
          <t>SMEDJEBACKEN</t>
        </is>
      </c>
      <c r="G154" t="n">
        <v>0.8</v>
      </c>
      <c r="H154" t="n">
        <v>0</v>
      </c>
      <c r="I154" t="n">
        <v>0</v>
      </c>
      <c r="J154" t="n">
        <v>0</v>
      </c>
      <c r="K154" t="n">
        <v>0</v>
      </c>
      <c r="L154" t="n">
        <v>0</v>
      </c>
      <c r="M154" t="n">
        <v>0</v>
      </c>
      <c r="N154" t="n">
        <v>0</v>
      </c>
      <c r="O154" t="n">
        <v>0</v>
      </c>
      <c r="P154" t="n">
        <v>0</v>
      </c>
      <c r="Q154" t="n">
        <v>0</v>
      </c>
      <c r="R154" s="2" t="inlineStr"/>
    </row>
    <row r="155" ht="15" customHeight="1">
      <c r="A155" t="inlineStr">
        <is>
          <t>A 18065-2020</t>
        </is>
      </c>
      <c r="B155" s="1" t="n">
        <v>43927</v>
      </c>
      <c r="C155" s="1" t="n">
        <v>45794</v>
      </c>
      <c r="D155" t="inlineStr">
        <is>
          <t>DALARNAS LÄN</t>
        </is>
      </c>
      <c r="E155" t="inlineStr">
        <is>
          <t>SMEDJEBACKEN</t>
        </is>
      </c>
      <c r="G155" t="n">
        <v>2.6</v>
      </c>
      <c r="H155" t="n">
        <v>0</v>
      </c>
      <c r="I155" t="n">
        <v>0</v>
      </c>
      <c r="J155" t="n">
        <v>0</v>
      </c>
      <c r="K155" t="n">
        <v>0</v>
      </c>
      <c r="L155" t="n">
        <v>0</v>
      </c>
      <c r="M155" t="n">
        <v>0</v>
      </c>
      <c r="N155" t="n">
        <v>0</v>
      </c>
      <c r="O155" t="n">
        <v>0</v>
      </c>
      <c r="P155" t="n">
        <v>0</v>
      </c>
      <c r="Q155" t="n">
        <v>0</v>
      </c>
      <c r="R155" s="2" t="inlineStr"/>
    </row>
    <row r="156" ht="15" customHeight="1">
      <c r="A156" t="inlineStr">
        <is>
          <t>A 18068-2020</t>
        </is>
      </c>
      <c r="B156" s="1" t="n">
        <v>43927</v>
      </c>
      <c r="C156" s="1" t="n">
        <v>45794</v>
      </c>
      <c r="D156" t="inlineStr">
        <is>
          <t>DALARNAS LÄN</t>
        </is>
      </c>
      <c r="E156" t="inlineStr">
        <is>
          <t>SMEDJEBACKEN</t>
        </is>
      </c>
      <c r="G156" t="n">
        <v>3.5</v>
      </c>
      <c r="H156" t="n">
        <v>0</v>
      </c>
      <c r="I156" t="n">
        <v>0</v>
      </c>
      <c r="J156" t="n">
        <v>0</v>
      </c>
      <c r="K156" t="n">
        <v>0</v>
      </c>
      <c r="L156" t="n">
        <v>0</v>
      </c>
      <c r="M156" t="n">
        <v>0</v>
      </c>
      <c r="N156" t="n">
        <v>0</v>
      </c>
      <c r="O156" t="n">
        <v>0</v>
      </c>
      <c r="P156" t="n">
        <v>0</v>
      </c>
      <c r="Q156" t="n">
        <v>0</v>
      </c>
      <c r="R156" s="2" t="inlineStr"/>
    </row>
    <row r="157" ht="15" customHeight="1">
      <c r="A157" t="inlineStr">
        <is>
          <t>A 18500-2020</t>
        </is>
      </c>
      <c r="B157" s="1" t="n">
        <v>43929</v>
      </c>
      <c r="C157" s="1" t="n">
        <v>45794</v>
      </c>
      <c r="D157" t="inlineStr">
        <is>
          <t>DALARNAS LÄN</t>
        </is>
      </c>
      <c r="E157" t="inlineStr">
        <is>
          <t>SMEDJEBACKEN</t>
        </is>
      </c>
      <c r="G157" t="n">
        <v>4.3</v>
      </c>
      <c r="H157" t="n">
        <v>0</v>
      </c>
      <c r="I157" t="n">
        <v>0</v>
      </c>
      <c r="J157" t="n">
        <v>0</v>
      </c>
      <c r="K157" t="n">
        <v>0</v>
      </c>
      <c r="L157" t="n">
        <v>0</v>
      </c>
      <c r="M157" t="n">
        <v>0</v>
      </c>
      <c r="N157" t="n">
        <v>0</v>
      </c>
      <c r="O157" t="n">
        <v>0</v>
      </c>
      <c r="P157" t="n">
        <v>0</v>
      </c>
      <c r="Q157" t="n">
        <v>0</v>
      </c>
      <c r="R157" s="2" t="inlineStr"/>
    </row>
    <row r="158" ht="15" customHeight="1">
      <c r="A158" t="inlineStr">
        <is>
          <t>A 19633-2020</t>
        </is>
      </c>
      <c r="B158" s="1" t="n">
        <v>43941</v>
      </c>
      <c r="C158" s="1" t="n">
        <v>45794</v>
      </c>
      <c r="D158" t="inlineStr">
        <is>
          <t>DALARNAS LÄN</t>
        </is>
      </c>
      <c r="E158" t="inlineStr">
        <is>
          <t>SMEDJEBACKEN</t>
        </is>
      </c>
      <c r="F158" t="inlineStr">
        <is>
          <t>Övriga Aktiebolag</t>
        </is>
      </c>
      <c r="G158" t="n">
        <v>6.6</v>
      </c>
      <c r="H158" t="n">
        <v>0</v>
      </c>
      <c r="I158" t="n">
        <v>0</v>
      </c>
      <c r="J158" t="n">
        <v>0</v>
      </c>
      <c r="K158" t="n">
        <v>0</v>
      </c>
      <c r="L158" t="n">
        <v>0</v>
      </c>
      <c r="M158" t="n">
        <v>0</v>
      </c>
      <c r="N158" t="n">
        <v>0</v>
      </c>
      <c r="O158" t="n">
        <v>0</v>
      </c>
      <c r="P158" t="n">
        <v>0</v>
      </c>
      <c r="Q158" t="n">
        <v>0</v>
      </c>
      <c r="R158" s="2" t="inlineStr"/>
    </row>
    <row r="159" ht="15" customHeight="1">
      <c r="A159" t="inlineStr">
        <is>
          <t>A 19850-2020</t>
        </is>
      </c>
      <c r="B159" s="1" t="n">
        <v>43942</v>
      </c>
      <c r="C159" s="1" t="n">
        <v>45794</v>
      </c>
      <c r="D159" t="inlineStr">
        <is>
          <t>DALARNAS LÄN</t>
        </is>
      </c>
      <c r="E159" t="inlineStr">
        <is>
          <t>SMEDJEBACKEN</t>
        </is>
      </c>
      <c r="G159" t="n">
        <v>4.2</v>
      </c>
      <c r="H159" t="n">
        <v>0</v>
      </c>
      <c r="I159" t="n">
        <v>0</v>
      </c>
      <c r="J159" t="n">
        <v>0</v>
      </c>
      <c r="K159" t="n">
        <v>0</v>
      </c>
      <c r="L159" t="n">
        <v>0</v>
      </c>
      <c r="M159" t="n">
        <v>0</v>
      </c>
      <c r="N159" t="n">
        <v>0</v>
      </c>
      <c r="O159" t="n">
        <v>0</v>
      </c>
      <c r="P159" t="n">
        <v>0</v>
      </c>
      <c r="Q159" t="n">
        <v>0</v>
      </c>
      <c r="R159" s="2" t="inlineStr"/>
    </row>
    <row r="160" ht="15" customHeight="1">
      <c r="A160" t="inlineStr">
        <is>
          <t>A 24298-2020</t>
        </is>
      </c>
      <c r="B160" s="1" t="n">
        <v>43976</v>
      </c>
      <c r="C160" s="1" t="n">
        <v>45794</v>
      </c>
      <c r="D160" t="inlineStr">
        <is>
          <t>DALARNAS LÄN</t>
        </is>
      </c>
      <c r="E160" t="inlineStr">
        <is>
          <t>SMEDJEBACKEN</t>
        </is>
      </c>
      <c r="G160" t="n">
        <v>1.1</v>
      </c>
      <c r="H160" t="n">
        <v>0</v>
      </c>
      <c r="I160" t="n">
        <v>0</v>
      </c>
      <c r="J160" t="n">
        <v>0</v>
      </c>
      <c r="K160" t="n">
        <v>0</v>
      </c>
      <c r="L160" t="n">
        <v>0</v>
      </c>
      <c r="M160" t="n">
        <v>0</v>
      </c>
      <c r="N160" t="n">
        <v>0</v>
      </c>
      <c r="O160" t="n">
        <v>0</v>
      </c>
      <c r="P160" t="n">
        <v>0</v>
      </c>
      <c r="Q160" t="n">
        <v>0</v>
      </c>
      <c r="R160" s="2" t="inlineStr"/>
    </row>
    <row r="161" ht="15" customHeight="1">
      <c r="A161" t="inlineStr">
        <is>
          <t>A 24517-2020</t>
        </is>
      </c>
      <c r="B161" s="1" t="n">
        <v>43977</v>
      </c>
      <c r="C161" s="1" t="n">
        <v>45794</v>
      </c>
      <c r="D161" t="inlineStr">
        <is>
          <t>DALARNAS LÄN</t>
        </is>
      </c>
      <c r="E161" t="inlineStr">
        <is>
          <t>SMEDJEBACKEN</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24911-2020</t>
        </is>
      </c>
      <c r="B162" s="1" t="n">
        <v>43979</v>
      </c>
      <c r="C162" s="1" t="n">
        <v>45794</v>
      </c>
      <c r="D162" t="inlineStr">
        <is>
          <t>DALARNAS LÄN</t>
        </is>
      </c>
      <c r="E162" t="inlineStr">
        <is>
          <t>SMEDJEBACKEN</t>
        </is>
      </c>
      <c r="G162" t="n">
        <v>1.7</v>
      </c>
      <c r="H162" t="n">
        <v>0</v>
      </c>
      <c r="I162" t="n">
        <v>0</v>
      </c>
      <c r="J162" t="n">
        <v>0</v>
      </c>
      <c r="K162" t="n">
        <v>0</v>
      </c>
      <c r="L162" t="n">
        <v>0</v>
      </c>
      <c r="M162" t="n">
        <v>0</v>
      </c>
      <c r="N162" t="n">
        <v>0</v>
      </c>
      <c r="O162" t="n">
        <v>0</v>
      </c>
      <c r="P162" t="n">
        <v>0</v>
      </c>
      <c r="Q162" t="n">
        <v>0</v>
      </c>
      <c r="R162" s="2" t="inlineStr"/>
    </row>
    <row r="163" ht="15" customHeight="1">
      <c r="A163" t="inlineStr">
        <is>
          <t>A 25875-2020</t>
        </is>
      </c>
      <c r="B163" s="1" t="n">
        <v>43984</v>
      </c>
      <c r="C163" s="1" t="n">
        <v>45794</v>
      </c>
      <c r="D163" t="inlineStr">
        <is>
          <t>DALARNAS LÄN</t>
        </is>
      </c>
      <c r="E163" t="inlineStr">
        <is>
          <t>SMEDJEBACKEN</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25878-2020</t>
        </is>
      </c>
      <c r="B164" s="1" t="n">
        <v>43984</v>
      </c>
      <c r="C164" s="1" t="n">
        <v>45794</v>
      </c>
      <c r="D164" t="inlineStr">
        <is>
          <t>DALARNAS LÄN</t>
        </is>
      </c>
      <c r="E164" t="inlineStr">
        <is>
          <t>SMEDJEBACKEN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26309-2020</t>
        </is>
      </c>
      <c r="B165" s="1" t="n">
        <v>43986</v>
      </c>
      <c r="C165" s="1" t="n">
        <v>45794</v>
      </c>
      <c r="D165" t="inlineStr">
        <is>
          <t>DALARNAS LÄN</t>
        </is>
      </c>
      <c r="E165" t="inlineStr">
        <is>
          <t>SMEDJEBACKEN</t>
        </is>
      </c>
      <c r="G165" t="n">
        <v>0.7</v>
      </c>
      <c r="H165" t="n">
        <v>0</v>
      </c>
      <c r="I165" t="n">
        <v>0</v>
      </c>
      <c r="J165" t="n">
        <v>0</v>
      </c>
      <c r="K165" t="n">
        <v>0</v>
      </c>
      <c r="L165" t="n">
        <v>0</v>
      </c>
      <c r="M165" t="n">
        <v>0</v>
      </c>
      <c r="N165" t="n">
        <v>0</v>
      </c>
      <c r="O165" t="n">
        <v>0</v>
      </c>
      <c r="P165" t="n">
        <v>0</v>
      </c>
      <c r="Q165" t="n">
        <v>0</v>
      </c>
      <c r="R165" s="2" t="inlineStr"/>
    </row>
    <row r="166" ht="15" customHeight="1">
      <c r="A166" t="inlineStr">
        <is>
          <t>A 27961-2020</t>
        </is>
      </c>
      <c r="B166" s="1" t="n">
        <v>43997</v>
      </c>
      <c r="C166" s="1" t="n">
        <v>45794</v>
      </c>
      <c r="D166" t="inlineStr">
        <is>
          <t>DALARNAS LÄN</t>
        </is>
      </c>
      <c r="E166" t="inlineStr">
        <is>
          <t>SMEDJEBACKEN</t>
        </is>
      </c>
      <c r="G166" t="n">
        <v>0.6</v>
      </c>
      <c r="H166" t="n">
        <v>0</v>
      </c>
      <c r="I166" t="n">
        <v>0</v>
      </c>
      <c r="J166" t="n">
        <v>0</v>
      </c>
      <c r="K166" t="n">
        <v>0</v>
      </c>
      <c r="L166" t="n">
        <v>0</v>
      </c>
      <c r="M166" t="n">
        <v>0</v>
      </c>
      <c r="N166" t="n">
        <v>0</v>
      </c>
      <c r="O166" t="n">
        <v>0</v>
      </c>
      <c r="P166" t="n">
        <v>0</v>
      </c>
      <c r="Q166" t="n">
        <v>0</v>
      </c>
      <c r="R166" s="2" t="inlineStr"/>
    </row>
    <row r="167" ht="15" customHeight="1">
      <c r="A167" t="inlineStr">
        <is>
          <t>A 28085-2020</t>
        </is>
      </c>
      <c r="B167" s="1" t="n">
        <v>43997</v>
      </c>
      <c r="C167" s="1" t="n">
        <v>45794</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28916-2020</t>
        </is>
      </c>
      <c r="B168" s="1" t="n">
        <v>44000</v>
      </c>
      <c r="C168" s="1" t="n">
        <v>45794</v>
      </c>
      <c r="D168" t="inlineStr">
        <is>
          <t>DALARNAS LÄN</t>
        </is>
      </c>
      <c r="E168" t="inlineStr">
        <is>
          <t>SMEDJEBACKEN</t>
        </is>
      </c>
      <c r="G168" t="n">
        <v>4.6</v>
      </c>
      <c r="H168" t="n">
        <v>0</v>
      </c>
      <c r="I168" t="n">
        <v>0</v>
      </c>
      <c r="J168" t="n">
        <v>0</v>
      </c>
      <c r="K168" t="n">
        <v>0</v>
      </c>
      <c r="L168" t="n">
        <v>0</v>
      </c>
      <c r="M168" t="n">
        <v>0</v>
      </c>
      <c r="N168" t="n">
        <v>0</v>
      </c>
      <c r="O168" t="n">
        <v>0</v>
      </c>
      <c r="P168" t="n">
        <v>0</v>
      </c>
      <c r="Q168" t="n">
        <v>0</v>
      </c>
      <c r="R168" s="2" t="inlineStr"/>
    </row>
    <row r="169" ht="15" customHeight="1">
      <c r="A169" t="inlineStr">
        <is>
          <t>A 30288-2020</t>
        </is>
      </c>
      <c r="B169" s="1" t="n">
        <v>44007</v>
      </c>
      <c r="C169" s="1" t="n">
        <v>45794</v>
      </c>
      <c r="D169" t="inlineStr">
        <is>
          <t>DALARNAS LÄN</t>
        </is>
      </c>
      <c r="E169" t="inlineStr">
        <is>
          <t>SMEDJEBACKEN</t>
        </is>
      </c>
      <c r="F169" t="inlineStr">
        <is>
          <t>Bergvik skog väst AB</t>
        </is>
      </c>
      <c r="G169" t="n">
        <v>1</v>
      </c>
      <c r="H169" t="n">
        <v>0</v>
      </c>
      <c r="I169" t="n">
        <v>0</v>
      </c>
      <c r="J169" t="n">
        <v>0</v>
      </c>
      <c r="K169" t="n">
        <v>0</v>
      </c>
      <c r="L169" t="n">
        <v>0</v>
      </c>
      <c r="M169" t="n">
        <v>0</v>
      </c>
      <c r="N169" t="n">
        <v>0</v>
      </c>
      <c r="O169" t="n">
        <v>0</v>
      </c>
      <c r="P169" t="n">
        <v>0</v>
      </c>
      <c r="Q169" t="n">
        <v>0</v>
      </c>
      <c r="R169" s="2" t="inlineStr"/>
    </row>
    <row r="170" ht="15" customHeight="1">
      <c r="A170" t="inlineStr">
        <is>
          <t>A 30637-2020</t>
        </is>
      </c>
      <c r="B170" s="1" t="n">
        <v>44008</v>
      </c>
      <c r="C170" s="1" t="n">
        <v>45794</v>
      </c>
      <c r="D170" t="inlineStr">
        <is>
          <t>DALARNAS LÄN</t>
        </is>
      </c>
      <c r="E170" t="inlineStr">
        <is>
          <t>SMEDJEBACKEN</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32177-2020</t>
        </is>
      </c>
      <c r="B171" s="1" t="n">
        <v>44015</v>
      </c>
      <c r="C171" s="1" t="n">
        <v>45794</v>
      </c>
      <c r="D171" t="inlineStr">
        <is>
          <t>DALARNAS LÄN</t>
        </is>
      </c>
      <c r="E171" t="inlineStr">
        <is>
          <t>SMEDJEBACKEN</t>
        </is>
      </c>
      <c r="G171" t="n">
        <v>2.8</v>
      </c>
      <c r="H171" t="n">
        <v>0</v>
      </c>
      <c r="I171" t="n">
        <v>0</v>
      </c>
      <c r="J171" t="n">
        <v>0</v>
      </c>
      <c r="K171" t="n">
        <v>0</v>
      </c>
      <c r="L171" t="n">
        <v>0</v>
      </c>
      <c r="M171" t="n">
        <v>0</v>
      </c>
      <c r="N171" t="n">
        <v>0</v>
      </c>
      <c r="O171" t="n">
        <v>0</v>
      </c>
      <c r="P171" t="n">
        <v>0</v>
      </c>
      <c r="Q171" t="n">
        <v>0</v>
      </c>
      <c r="R171" s="2" t="inlineStr"/>
    </row>
    <row r="172" ht="15" customHeight="1">
      <c r="A172" t="inlineStr">
        <is>
          <t>A 33655-2020</t>
        </is>
      </c>
      <c r="B172" s="1" t="n">
        <v>44026</v>
      </c>
      <c r="C172" s="1" t="n">
        <v>45794</v>
      </c>
      <c r="D172" t="inlineStr">
        <is>
          <t>DALARNAS LÄN</t>
        </is>
      </c>
      <c r="E172" t="inlineStr">
        <is>
          <t>SMEDJEBACKEN</t>
        </is>
      </c>
      <c r="F172" t="inlineStr">
        <is>
          <t>Kyrkan</t>
        </is>
      </c>
      <c r="G172" t="n">
        <v>7.7</v>
      </c>
      <c r="H172" t="n">
        <v>0</v>
      </c>
      <c r="I172" t="n">
        <v>0</v>
      </c>
      <c r="J172" t="n">
        <v>0</v>
      </c>
      <c r="K172" t="n">
        <v>0</v>
      </c>
      <c r="L172" t="n">
        <v>0</v>
      </c>
      <c r="M172" t="n">
        <v>0</v>
      </c>
      <c r="N172" t="n">
        <v>0</v>
      </c>
      <c r="O172" t="n">
        <v>0</v>
      </c>
      <c r="P172" t="n">
        <v>0</v>
      </c>
      <c r="Q172" t="n">
        <v>0</v>
      </c>
      <c r="R172" s="2" t="inlineStr"/>
    </row>
    <row r="173" ht="15" customHeight="1">
      <c r="A173" t="inlineStr">
        <is>
          <t>A 34618-2020</t>
        </is>
      </c>
      <c r="B173" s="1" t="n">
        <v>44034</v>
      </c>
      <c r="C173" s="1" t="n">
        <v>45794</v>
      </c>
      <c r="D173" t="inlineStr">
        <is>
          <t>DALARNAS LÄN</t>
        </is>
      </c>
      <c r="E173" t="inlineStr">
        <is>
          <t>SMEDJEBACKEN</t>
        </is>
      </c>
      <c r="G173" t="n">
        <v>1.8</v>
      </c>
      <c r="H173" t="n">
        <v>0</v>
      </c>
      <c r="I173" t="n">
        <v>0</v>
      </c>
      <c r="J173" t="n">
        <v>0</v>
      </c>
      <c r="K173" t="n">
        <v>0</v>
      </c>
      <c r="L173" t="n">
        <v>0</v>
      </c>
      <c r="M173" t="n">
        <v>0</v>
      </c>
      <c r="N173" t="n">
        <v>0</v>
      </c>
      <c r="O173" t="n">
        <v>0</v>
      </c>
      <c r="P173" t="n">
        <v>0</v>
      </c>
      <c r="Q173" t="n">
        <v>0</v>
      </c>
      <c r="R173" s="2" t="inlineStr"/>
    </row>
    <row r="174" ht="15" customHeight="1">
      <c r="A174" t="inlineStr">
        <is>
          <t>A 35961-2020</t>
        </is>
      </c>
      <c r="B174" s="1" t="n">
        <v>44047</v>
      </c>
      <c r="C174" s="1" t="n">
        <v>45794</v>
      </c>
      <c r="D174" t="inlineStr">
        <is>
          <t>DALARNAS LÄN</t>
        </is>
      </c>
      <c r="E174" t="inlineStr">
        <is>
          <t>SMEDJEBACKEN</t>
        </is>
      </c>
      <c r="G174" t="n">
        <v>1.3</v>
      </c>
      <c r="H174" t="n">
        <v>0</v>
      </c>
      <c r="I174" t="n">
        <v>0</v>
      </c>
      <c r="J174" t="n">
        <v>0</v>
      </c>
      <c r="K174" t="n">
        <v>0</v>
      </c>
      <c r="L174" t="n">
        <v>0</v>
      </c>
      <c r="M174" t="n">
        <v>0</v>
      </c>
      <c r="N174" t="n">
        <v>0</v>
      </c>
      <c r="O174" t="n">
        <v>0</v>
      </c>
      <c r="P174" t="n">
        <v>0</v>
      </c>
      <c r="Q174" t="n">
        <v>0</v>
      </c>
      <c r="R174" s="2" t="inlineStr"/>
    </row>
    <row r="175" ht="15" customHeight="1">
      <c r="A175" t="inlineStr">
        <is>
          <t>A 36605-2020</t>
        </is>
      </c>
      <c r="B175" s="1" t="n">
        <v>44050</v>
      </c>
      <c r="C175" s="1" t="n">
        <v>45794</v>
      </c>
      <c r="D175" t="inlineStr">
        <is>
          <t>DALARNAS LÄN</t>
        </is>
      </c>
      <c r="E175" t="inlineStr">
        <is>
          <t>SMEDJEBACKEN</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36603-2020</t>
        </is>
      </c>
      <c r="B176" s="1" t="n">
        <v>44050</v>
      </c>
      <c r="C176" s="1" t="n">
        <v>45794</v>
      </c>
      <c r="D176" t="inlineStr">
        <is>
          <t>DALARNAS LÄN</t>
        </is>
      </c>
      <c r="E176" t="inlineStr">
        <is>
          <t>SMEDJEBACKEN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38919-2020</t>
        </is>
      </c>
      <c r="B177" s="1" t="n">
        <v>44062</v>
      </c>
      <c r="C177" s="1" t="n">
        <v>45794</v>
      </c>
      <c r="D177" t="inlineStr">
        <is>
          <t>DALARNAS LÄN</t>
        </is>
      </c>
      <c r="E177" t="inlineStr">
        <is>
          <t>SMEDJEBACKEN</t>
        </is>
      </c>
      <c r="F177" t="inlineStr">
        <is>
          <t>Bergvik skog väst AB</t>
        </is>
      </c>
      <c r="G177" t="n">
        <v>6</v>
      </c>
      <c r="H177" t="n">
        <v>0</v>
      </c>
      <c r="I177" t="n">
        <v>0</v>
      </c>
      <c r="J177" t="n">
        <v>0</v>
      </c>
      <c r="K177" t="n">
        <v>0</v>
      </c>
      <c r="L177" t="n">
        <v>0</v>
      </c>
      <c r="M177" t="n">
        <v>0</v>
      </c>
      <c r="N177" t="n">
        <v>0</v>
      </c>
      <c r="O177" t="n">
        <v>0</v>
      </c>
      <c r="P177" t="n">
        <v>0</v>
      </c>
      <c r="Q177" t="n">
        <v>0</v>
      </c>
      <c r="R177" s="2" t="inlineStr"/>
    </row>
    <row r="178" ht="15" customHeight="1">
      <c r="A178" t="inlineStr">
        <is>
          <t>A 38971-2020</t>
        </is>
      </c>
      <c r="B178" s="1" t="n">
        <v>44062</v>
      </c>
      <c r="C178" s="1" t="n">
        <v>45794</v>
      </c>
      <c r="D178" t="inlineStr">
        <is>
          <t>DALARNAS LÄN</t>
        </is>
      </c>
      <c r="E178" t="inlineStr">
        <is>
          <t>SMEDJEBACKEN</t>
        </is>
      </c>
      <c r="F178" t="inlineStr">
        <is>
          <t>Sveaskog</t>
        </is>
      </c>
      <c r="G178" t="n">
        <v>4.7</v>
      </c>
      <c r="H178" t="n">
        <v>0</v>
      </c>
      <c r="I178" t="n">
        <v>0</v>
      </c>
      <c r="J178" t="n">
        <v>0</v>
      </c>
      <c r="K178" t="n">
        <v>0</v>
      </c>
      <c r="L178" t="n">
        <v>0</v>
      </c>
      <c r="M178" t="n">
        <v>0</v>
      </c>
      <c r="N178" t="n">
        <v>0</v>
      </c>
      <c r="O178" t="n">
        <v>0</v>
      </c>
      <c r="P178" t="n">
        <v>0</v>
      </c>
      <c r="Q178" t="n">
        <v>0</v>
      </c>
      <c r="R178" s="2" t="inlineStr"/>
    </row>
    <row r="179" ht="15" customHeight="1">
      <c r="A179" t="inlineStr">
        <is>
          <t>A 38986-2020</t>
        </is>
      </c>
      <c r="B179" s="1" t="n">
        <v>44062</v>
      </c>
      <c r="C179" s="1" t="n">
        <v>45794</v>
      </c>
      <c r="D179" t="inlineStr">
        <is>
          <t>DALARNAS LÄN</t>
        </is>
      </c>
      <c r="E179" t="inlineStr">
        <is>
          <t>SMEDJEBACKEN</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39605-2020</t>
        </is>
      </c>
      <c r="B180" s="1" t="n">
        <v>44064</v>
      </c>
      <c r="C180" s="1" t="n">
        <v>45794</v>
      </c>
      <c r="D180" t="inlineStr">
        <is>
          <t>DALARNAS LÄN</t>
        </is>
      </c>
      <c r="E180" t="inlineStr">
        <is>
          <t>SMEDJEBACKEN</t>
        </is>
      </c>
      <c r="G180" t="n">
        <v>0.9</v>
      </c>
      <c r="H180" t="n">
        <v>0</v>
      </c>
      <c r="I180" t="n">
        <v>0</v>
      </c>
      <c r="J180" t="n">
        <v>0</v>
      </c>
      <c r="K180" t="n">
        <v>0</v>
      </c>
      <c r="L180" t="n">
        <v>0</v>
      </c>
      <c r="M180" t="n">
        <v>0</v>
      </c>
      <c r="N180" t="n">
        <v>0</v>
      </c>
      <c r="O180" t="n">
        <v>0</v>
      </c>
      <c r="P180" t="n">
        <v>0</v>
      </c>
      <c r="Q180" t="n">
        <v>0</v>
      </c>
      <c r="R180" s="2" t="inlineStr"/>
    </row>
    <row r="181" ht="15" customHeight="1">
      <c r="A181" t="inlineStr">
        <is>
          <t>A 39710-2020</t>
        </is>
      </c>
      <c r="B181" s="1" t="n">
        <v>44066</v>
      </c>
      <c r="C181" s="1" t="n">
        <v>45794</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42429-2020</t>
        </is>
      </c>
      <c r="B182" s="1" t="n">
        <v>44075</v>
      </c>
      <c r="C182" s="1" t="n">
        <v>45794</v>
      </c>
      <c r="D182" t="inlineStr">
        <is>
          <t>DALARNAS LÄN</t>
        </is>
      </c>
      <c r="E182" t="inlineStr">
        <is>
          <t>SMEDJEBACKEN</t>
        </is>
      </c>
      <c r="G182" t="n">
        <v>2.8</v>
      </c>
      <c r="H182" t="n">
        <v>0</v>
      </c>
      <c r="I182" t="n">
        <v>0</v>
      </c>
      <c r="J182" t="n">
        <v>0</v>
      </c>
      <c r="K182" t="n">
        <v>0</v>
      </c>
      <c r="L182" t="n">
        <v>0</v>
      </c>
      <c r="M182" t="n">
        <v>0</v>
      </c>
      <c r="N182" t="n">
        <v>0</v>
      </c>
      <c r="O182" t="n">
        <v>0</v>
      </c>
      <c r="P182" t="n">
        <v>0</v>
      </c>
      <c r="Q182" t="n">
        <v>0</v>
      </c>
      <c r="R182" s="2" t="inlineStr"/>
    </row>
    <row r="183" ht="15" customHeight="1">
      <c r="A183" t="inlineStr">
        <is>
          <t>A 42426-2020</t>
        </is>
      </c>
      <c r="B183" s="1" t="n">
        <v>44075</v>
      </c>
      <c r="C183" s="1" t="n">
        <v>45794</v>
      </c>
      <c r="D183" t="inlineStr">
        <is>
          <t>DALARNAS LÄN</t>
        </is>
      </c>
      <c r="E183" t="inlineStr">
        <is>
          <t>SMEDJEBACKEN</t>
        </is>
      </c>
      <c r="G183" t="n">
        <v>7.3</v>
      </c>
      <c r="H183" t="n">
        <v>0</v>
      </c>
      <c r="I183" t="n">
        <v>0</v>
      </c>
      <c r="J183" t="n">
        <v>0</v>
      </c>
      <c r="K183" t="n">
        <v>0</v>
      </c>
      <c r="L183" t="n">
        <v>0</v>
      </c>
      <c r="M183" t="n">
        <v>0</v>
      </c>
      <c r="N183" t="n">
        <v>0</v>
      </c>
      <c r="O183" t="n">
        <v>0</v>
      </c>
      <c r="P183" t="n">
        <v>0</v>
      </c>
      <c r="Q183" t="n">
        <v>0</v>
      </c>
      <c r="R183" s="2" t="inlineStr"/>
    </row>
    <row r="184" ht="15" customHeight="1">
      <c r="A184" t="inlineStr">
        <is>
          <t>A 43214-2020</t>
        </is>
      </c>
      <c r="B184" s="1" t="n">
        <v>44076</v>
      </c>
      <c r="C184" s="1" t="n">
        <v>45794</v>
      </c>
      <c r="D184" t="inlineStr">
        <is>
          <t>DALARNAS LÄN</t>
        </is>
      </c>
      <c r="E184" t="inlineStr">
        <is>
          <t>SMEDJEBACKEN</t>
        </is>
      </c>
      <c r="F184" t="inlineStr">
        <is>
          <t>Bergvik skog väst AB</t>
        </is>
      </c>
      <c r="G184" t="n">
        <v>2.5</v>
      </c>
      <c r="H184" t="n">
        <v>0</v>
      </c>
      <c r="I184" t="n">
        <v>0</v>
      </c>
      <c r="J184" t="n">
        <v>0</v>
      </c>
      <c r="K184" t="n">
        <v>0</v>
      </c>
      <c r="L184" t="n">
        <v>0</v>
      </c>
      <c r="M184" t="n">
        <v>0</v>
      </c>
      <c r="N184" t="n">
        <v>0</v>
      </c>
      <c r="O184" t="n">
        <v>0</v>
      </c>
      <c r="P184" t="n">
        <v>0</v>
      </c>
      <c r="Q184" t="n">
        <v>0</v>
      </c>
      <c r="R184" s="2" t="inlineStr"/>
    </row>
    <row r="185" ht="15" customHeight="1">
      <c r="A185" t="inlineStr">
        <is>
          <t>A 43277-2020</t>
        </is>
      </c>
      <c r="B185" s="1" t="n">
        <v>44076</v>
      </c>
      <c r="C185" s="1" t="n">
        <v>45794</v>
      </c>
      <c r="D185" t="inlineStr">
        <is>
          <t>DALARNAS LÄN</t>
        </is>
      </c>
      <c r="E185" t="inlineStr">
        <is>
          <t>SMEDJEBACKEN</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48943-2020</t>
        </is>
      </c>
      <c r="B186" s="1" t="n">
        <v>44102</v>
      </c>
      <c r="C186" s="1" t="n">
        <v>45794</v>
      </c>
      <c r="D186" t="inlineStr">
        <is>
          <t>DALARNAS LÄN</t>
        </is>
      </c>
      <c r="E186" t="inlineStr">
        <is>
          <t>SMEDJEBACKEN</t>
        </is>
      </c>
      <c r="F186" t="inlineStr">
        <is>
          <t>Kommuner</t>
        </is>
      </c>
      <c r="G186" t="n">
        <v>5.6</v>
      </c>
      <c r="H186" t="n">
        <v>0</v>
      </c>
      <c r="I186" t="n">
        <v>0</v>
      </c>
      <c r="J186" t="n">
        <v>0</v>
      </c>
      <c r="K186" t="n">
        <v>0</v>
      </c>
      <c r="L186" t="n">
        <v>0</v>
      </c>
      <c r="M186" t="n">
        <v>0</v>
      </c>
      <c r="N186" t="n">
        <v>0</v>
      </c>
      <c r="O186" t="n">
        <v>0</v>
      </c>
      <c r="P186" t="n">
        <v>0</v>
      </c>
      <c r="Q186" t="n">
        <v>0</v>
      </c>
      <c r="R186" s="2" t="inlineStr"/>
    </row>
    <row r="187" ht="15" customHeight="1">
      <c r="A187" t="inlineStr">
        <is>
          <t>A 48634-2020</t>
        </is>
      </c>
      <c r="B187" s="1" t="n">
        <v>44103</v>
      </c>
      <c r="C187" s="1" t="n">
        <v>45794</v>
      </c>
      <c r="D187" t="inlineStr">
        <is>
          <t>DALARNAS LÄN</t>
        </is>
      </c>
      <c r="E187" t="inlineStr">
        <is>
          <t>SMEDJEBACKEN</t>
        </is>
      </c>
      <c r="G187" t="n">
        <v>6.4</v>
      </c>
      <c r="H187" t="n">
        <v>0</v>
      </c>
      <c r="I187" t="n">
        <v>0</v>
      </c>
      <c r="J187" t="n">
        <v>0</v>
      </c>
      <c r="K187" t="n">
        <v>0</v>
      </c>
      <c r="L187" t="n">
        <v>0</v>
      </c>
      <c r="M187" t="n">
        <v>0</v>
      </c>
      <c r="N187" t="n">
        <v>0</v>
      </c>
      <c r="O187" t="n">
        <v>0</v>
      </c>
      <c r="P187" t="n">
        <v>0</v>
      </c>
      <c r="Q187" t="n">
        <v>0</v>
      </c>
      <c r="R187" s="2" t="inlineStr"/>
    </row>
    <row r="188" ht="15" customHeight="1">
      <c r="A188" t="inlineStr">
        <is>
          <t>A 50432-2020</t>
        </is>
      </c>
      <c r="B188" s="1" t="n">
        <v>44105</v>
      </c>
      <c r="C188" s="1" t="n">
        <v>45794</v>
      </c>
      <c r="D188" t="inlineStr">
        <is>
          <t>DALARNAS LÄN</t>
        </is>
      </c>
      <c r="E188" t="inlineStr">
        <is>
          <t>SMEDJEBACKEN</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50446-2020</t>
        </is>
      </c>
      <c r="B189" s="1" t="n">
        <v>44105</v>
      </c>
      <c r="C189" s="1" t="n">
        <v>45794</v>
      </c>
      <c r="D189" t="inlineStr">
        <is>
          <t>DALARNAS LÄN</t>
        </is>
      </c>
      <c r="E189" t="inlineStr">
        <is>
          <t>SMEDJEBACKEN</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50463-2020</t>
        </is>
      </c>
      <c r="B190" s="1" t="n">
        <v>44105</v>
      </c>
      <c r="C190" s="1" t="n">
        <v>45794</v>
      </c>
      <c r="D190" t="inlineStr">
        <is>
          <t>DALARNAS LÄN</t>
        </is>
      </c>
      <c r="E190" t="inlineStr">
        <is>
          <t>SMEDJEBACKEN</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51199-2020</t>
        </is>
      </c>
      <c r="B191" s="1" t="n">
        <v>44106</v>
      </c>
      <c r="C191" s="1" t="n">
        <v>45794</v>
      </c>
      <c r="D191" t="inlineStr">
        <is>
          <t>DALARNAS LÄN</t>
        </is>
      </c>
      <c r="E191" t="inlineStr">
        <is>
          <t>SMEDJEBACKEN</t>
        </is>
      </c>
      <c r="G191" t="n">
        <v>1.4</v>
      </c>
      <c r="H191" t="n">
        <v>0</v>
      </c>
      <c r="I191" t="n">
        <v>0</v>
      </c>
      <c r="J191" t="n">
        <v>0</v>
      </c>
      <c r="K191" t="n">
        <v>0</v>
      </c>
      <c r="L191" t="n">
        <v>0</v>
      </c>
      <c r="M191" t="n">
        <v>0</v>
      </c>
      <c r="N191" t="n">
        <v>0</v>
      </c>
      <c r="O191" t="n">
        <v>0</v>
      </c>
      <c r="P191" t="n">
        <v>0</v>
      </c>
      <c r="Q191" t="n">
        <v>0</v>
      </c>
      <c r="R191" s="2" t="inlineStr"/>
    </row>
    <row r="192" ht="15" customHeight="1">
      <c r="A192" t="inlineStr">
        <is>
          <t>A 51205-2020</t>
        </is>
      </c>
      <c r="B192" s="1" t="n">
        <v>44106</v>
      </c>
      <c r="C192" s="1" t="n">
        <v>45794</v>
      </c>
      <c r="D192" t="inlineStr">
        <is>
          <t>DALARNAS LÄN</t>
        </is>
      </c>
      <c r="E192" t="inlineStr">
        <is>
          <t>SMEDJEBACKEN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49895-2020</t>
        </is>
      </c>
      <c r="B193" s="1" t="n">
        <v>44108</v>
      </c>
      <c r="C193" s="1" t="n">
        <v>45794</v>
      </c>
      <c r="D193" t="inlineStr">
        <is>
          <t>DALARNAS LÄN</t>
        </is>
      </c>
      <c r="E193" t="inlineStr">
        <is>
          <t>SMEDJEBACKEN</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49888-2020</t>
        </is>
      </c>
      <c r="B194" s="1" t="n">
        <v>44108</v>
      </c>
      <c r="C194" s="1" t="n">
        <v>45794</v>
      </c>
      <c r="D194" t="inlineStr">
        <is>
          <t>DALARNAS LÄN</t>
        </is>
      </c>
      <c r="E194" t="inlineStr">
        <is>
          <t>SMEDJEBACKEN</t>
        </is>
      </c>
      <c r="G194" t="n">
        <v>7.7</v>
      </c>
      <c r="H194" t="n">
        <v>0</v>
      </c>
      <c r="I194" t="n">
        <v>0</v>
      </c>
      <c r="J194" t="n">
        <v>0</v>
      </c>
      <c r="K194" t="n">
        <v>0</v>
      </c>
      <c r="L194" t="n">
        <v>0</v>
      </c>
      <c r="M194" t="n">
        <v>0</v>
      </c>
      <c r="N194" t="n">
        <v>0</v>
      </c>
      <c r="O194" t="n">
        <v>0</v>
      </c>
      <c r="P194" t="n">
        <v>0</v>
      </c>
      <c r="Q194" t="n">
        <v>0</v>
      </c>
      <c r="R194" s="2" t="inlineStr"/>
    </row>
    <row r="195" ht="15" customHeight="1">
      <c r="A195" t="inlineStr">
        <is>
          <t>A 49896-2020</t>
        </is>
      </c>
      <c r="B195" s="1" t="n">
        <v>44108</v>
      </c>
      <c r="C195" s="1" t="n">
        <v>45794</v>
      </c>
      <c r="D195" t="inlineStr">
        <is>
          <t>DALARNAS LÄN</t>
        </is>
      </c>
      <c r="E195" t="inlineStr">
        <is>
          <t>SMEDJEBACKEN</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51761-2020</t>
        </is>
      </c>
      <c r="B196" s="1" t="n">
        <v>44115</v>
      </c>
      <c r="C196" s="1" t="n">
        <v>45794</v>
      </c>
      <c r="D196" t="inlineStr">
        <is>
          <t>DALARNAS LÄN</t>
        </is>
      </c>
      <c r="E196" t="inlineStr">
        <is>
          <t>SMEDJEBACKEN</t>
        </is>
      </c>
      <c r="G196" t="n">
        <v>10.6</v>
      </c>
      <c r="H196" t="n">
        <v>0</v>
      </c>
      <c r="I196" t="n">
        <v>0</v>
      </c>
      <c r="J196" t="n">
        <v>0</v>
      </c>
      <c r="K196" t="n">
        <v>0</v>
      </c>
      <c r="L196" t="n">
        <v>0</v>
      </c>
      <c r="M196" t="n">
        <v>0</v>
      </c>
      <c r="N196" t="n">
        <v>0</v>
      </c>
      <c r="O196" t="n">
        <v>0</v>
      </c>
      <c r="P196" t="n">
        <v>0</v>
      </c>
      <c r="Q196" t="n">
        <v>0</v>
      </c>
      <c r="R196" s="2" t="inlineStr"/>
    </row>
    <row r="197" ht="15" customHeight="1">
      <c r="A197" t="inlineStr">
        <is>
          <t>A 51770-2020</t>
        </is>
      </c>
      <c r="B197" s="1" t="n">
        <v>44115</v>
      </c>
      <c r="C197" s="1" t="n">
        <v>45794</v>
      </c>
      <c r="D197" t="inlineStr">
        <is>
          <t>DALARNAS LÄN</t>
        </is>
      </c>
      <c r="E197" t="inlineStr">
        <is>
          <t>SMEDJEBACKEN</t>
        </is>
      </c>
      <c r="G197" t="n">
        <v>0.8</v>
      </c>
      <c r="H197" t="n">
        <v>0</v>
      </c>
      <c r="I197" t="n">
        <v>0</v>
      </c>
      <c r="J197" t="n">
        <v>0</v>
      </c>
      <c r="K197" t="n">
        <v>0</v>
      </c>
      <c r="L197" t="n">
        <v>0</v>
      </c>
      <c r="M197" t="n">
        <v>0</v>
      </c>
      <c r="N197" t="n">
        <v>0</v>
      </c>
      <c r="O197" t="n">
        <v>0</v>
      </c>
      <c r="P197" t="n">
        <v>0</v>
      </c>
      <c r="Q197" t="n">
        <v>0</v>
      </c>
      <c r="R197" s="2" t="inlineStr"/>
    </row>
    <row r="198" ht="15" customHeight="1">
      <c r="A198" t="inlineStr">
        <is>
          <t>A 51775-2020</t>
        </is>
      </c>
      <c r="B198" s="1" t="n">
        <v>44115</v>
      </c>
      <c r="C198" s="1" t="n">
        <v>45794</v>
      </c>
      <c r="D198" t="inlineStr">
        <is>
          <t>DALARNAS LÄN</t>
        </is>
      </c>
      <c r="E198" t="inlineStr">
        <is>
          <t>SMEDJEBACKEN</t>
        </is>
      </c>
      <c r="G198" t="n">
        <v>0.5</v>
      </c>
      <c r="H198" t="n">
        <v>0</v>
      </c>
      <c r="I198" t="n">
        <v>0</v>
      </c>
      <c r="J198" t="n">
        <v>0</v>
      </c>
      <c r="K198" t="n">
        <v>0</v>
      </c>
      <c r="L198" t="n">
        <v>0</v>
      </c>
      <c r="M198" t="n">
        <v>0</v>
      </c>
      <c r="N198" t="n">
        <v>0</v>
      </c>
      <c r="O198" t="n">
        <v>0</v>
      </c>
      <c r="P198" t="n">
        <v>0</v>
      </c>
      <c r="Q198" t="n">
        <v>0</v>
      </c>
      <c r="R198" s="2" t="inlineStr"/>
    </row>
    <row r="199" ht="15" customHeight="1">
      <c r="A199" t="inlineStr">
        <is>
          <t>A 51774-2020</t>
        </is>
      </c>
      <c r="B199" s="1" t="n">
        <v>44115</v>
      </c>
      <c r="C199" s="1" t="n">
        <v>45794</v>
      </c>
      <c r="D199" t="inlineStr">
        <is>
          <t>DALARNAS LÄN</t>
        </is>
      </c>
      <c r="E199" t="inlineStr">
        <is>
          <t>SMEDJEBACKEN</t>
        </is>
      </c>
      <c r="G199" t="n">
        <v>0.3</v>
      </c>
      <c r="H199" t="n">
        <v>0</v>
      </c>
      <c r="I199" t="n">
        <v>0</v>
      </c>
      <c r="J199" t="n">
        <v>0</v>
      </c>
      <c r="K199" t="n">
        <v>0</v>
      </c>
      <c r="L199" t="n">
        <v>0</v>
      </c>
      <c r="M199" t="n">
        <v>0</v>
      </c>
      <c r="N199" t="n">
        <v>0</v>
      </c>
      <c r="O199" t="n">
        <v>0</v>
      </c>
      <c r="P199" t="n">
        <v>0</v>
      </c>
      <c r="Q199" t="n">
        <v>0</v>
      </c>
      <c r="R199" s="2" t="inlineStr"/>
    </row>
    <row r="200" ht="15" customHeight="1">
      <c r="A200" t="inlineStr">
        <is>
          <t>A 51776-2020</t>
        </is>
      </c>
      <c r="B200" s="1" t="n">
        <v>44116</v>
      </c>
      <c r="C200" s="1" t="n">
        <v>45794</v>
      </c>
      <c r="D200" t="inlineStr">
        <is>
          <t>DALARNAS LÄN</t>
        </is>
      </c>
      <c r="E200" t="inlineStr">
        <is>
          <t>SMEDJEBACKEN</t>
        </is>
      </c>
      <c r="G200" t="n">
        <v>2.5</v>
      </c>
      <c r="H200" t="n">
        <v>0</v>
      </c>
      <c r="I200" t="n">
        <v>0</v>
      </c>
      <c r="J200" t="n">
        <v>0</v>
      </c>
      <c r="K200" t="n">
        <v>0</v>
      </c>
      <c r="L200" t="n">
        <v>0</v>
      </c>
      <c r="M200" t="n">
        <v>0</v>
      </c>
      <c r="N200" t="n">
        <v>0</v>
      </c>
      <c r="O200" t="n">
        <v>0</v>
      </c>
      <c r="P200" t="n">
        <v>0</v>
      </c>
      <c r="Q200" t="n">
        <v>0</v>
      </c>
      <c r="R200" s="2" t="inlineStr"/>
    </row>
    <row r="201" ht="15" customHeight="1">
      <c r="A201" t="inlineStr">
        <is>
          <t>A 53575-2020</t>
        </is>
      </c>
      <c r="B201" s="1" t="n">
        <v>44124</v>
      </c>
      <c r="C201" s="1" t="n">
        <v>45794</v>
      </c>
      <c r="D201" t="inlineStr">
        <is>
          <t>DALARNAS LÄN</t>
        </is>
      </c>
      <c r="E201" t="inlineStr">
        <is>
          <t>SMEDJEBACKEN</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53572-2020</t>
        </is>
      </c>
      <c r="B202" s="1" t="n">
        <v>44124</v>
      </c>
      <c r="C202" s="1" t="n">
        <v>45794</v>
      </c>
      <c r="D202" t="inlineStr">
        <is>
          <t>DALARNAS LÄN</t>
        </is>
      </c>
      <c r="E202" t="inlineStr">
        <is>
          <t>SMEDJEBACKEN</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53577-2020</t>
        </is>
      </c>
      <c r="B203" s="1" t="n">
        <v>44124</v>
      </c>
      <c r="C203" s="1" t="n">
        <v>45794</v>
      </c>
      <c r="D203" t="inlineStr">
        <is>
          <t>DALARNAS LÄN</t>
        </is>
      </c>
      <c r="E203" t="inlineStr">
        <is>
          <t>SMEDJEBACKEN</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53570-2020</t>
        </is>
      </c>
      <c r="B204" s="1" t="n">
        <v>44124</v>
      </c>
      <c r="C204" s="1" t="n">
        <v>45794</v>
      </c>
      <c r="D204" t="inlineStr">
        <is>
          <t>DALARNAS LÄN</t>
        </is>
      </c>
      <c r="E204" t="inlineStr">
        <is>
          <t>SMEDJEBACKEN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53576-2020</t>
        </is>
      </c>
      <c r="B205" s="1" t="n">
        <v>44124</v>
      </c>
      <c r="C205" s="1" t="n">
        <v>45794</v>
      </c>
      <c r="D205" t="inlineStr">
        <is>
          <t>DALARNAS LÄN</t>
        </is>
      </c>
      <c r="E205" t="inlineStr">
        <is>
          <t>SMEDJEBACKEN</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53919-2020</t>
        </is>
      </c>
      <c r="B206" s="1" t="n">
        <v>44125</v>
      </c>
      <c r="C206" s="1" t="n">
        <v>45794</v>
      </c>
      <c r="D206" t="inlineStr">
        <is>
          <t>DALARNAS LÄN</t>
        </is>
      </c>
      <c r="E206" t="inlineStr">
        <is>
          <t>SMEDJEBACKEN</t>
        </is>
      </c>
      <c r="G206" t="n">
        <v>4</v>
      </c>
      <c r="H206" t="n">
        <v>0</v>
      </c>
      <c r="I206" t="n">
        <v>0</v>
      </c>
      <c r="J206" t="n">
        <v>0</v>
      </c>
      <c r="K206" t="n">
        <v>0</v>
      </c>
      <c r="L206" t="n">
        <v>0</v>
      </c>
      <c r="M206" t="n">
        <v>0</v>
      </c>
      <c r="N206" t="n">
        <v>0</v>
      </c>
      <c r="O206" t="n">
        <v>0</v>
      </c>
      <c r="P206" t="n">
        <v>0</v>
      </c>
      <c r="Q206" t="n">
        <v>0</v>
      </c>
      <c r="R206" s="2" t="inlineStr"/>
    </row>
    <row r="207" ht="15" customHeight="1">
      <c r="A207" t="inlineStr">
        <is>
          <t>A 54889-2020</t>
        </is>
      </c>
      <c r="B207" s="1" t="n">
        <v>44126</v>
      </c>
      <c r="C207" s="1" t="n">
        <v>45794</v>
      </c>
      <c r="D207" t="inlineStr">
        <is>
          <t>DALARNAS LÄN</t>
        </is>
      </c>
      <c r="E207" t="inlineStr">
        <is>
          <t>SMEDJEBACKEN</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54868-2020</t>
        </is>
      </c>
      <c r="B208" s="1" t="n">
        <v>44126</v>
      </c>
      <c r="C208" s="1" t="n">
        <v>45794</v>
      </c>
      <c r="D208" t="inlineStr">
        <is>
          <t>DALARNAS LÄN</t>
        </is>
      </c>
      <c r="E208" t="inlineStr">
        <is>
          <t>SMEDJEBACKEN</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54886-2020</t>
        </is>
      </c>
      <c r="B209" s="1" t="n">
        <v>44126</v>
      </c>
      <c r="C209" s="1" t="n">
        <v>45794</v>
      </c>
      <c r="D209" t="inlineStr">
        <is>
          <t>DALARNAS LÄN</t>
        </is>
      </c>
      <c r="E209" t="inlineStr">
        <is>
          <t>SMEDJEBACKEN</t>
        </is>
      </c>
      <c r="F209" t="inlineStr">
        <is>
          <t>Bergvik skog väst AB</t>
        </is>
      </c>
      <c r="G209" t="n">
        <v>8</v>
      </c>
      <c r="H209" t="n">
        <v>0</v>
      </c>
      <c r="I209" t="n">
        <v>0</v>
      </c>
      <c r="J209" t="n">
        <v>0</v>
      </c>
      <c r="K209" t="n">
        <v>0</v>
      </c>
      <c r="L209" t="n">
        <v>0</v>
      </c>
      <c r="M209" t="n">
        <v>0</v>
      </c>
      <c r="N209" t="n">
        <v>0</v>
      </c>
      <c r="O209" t="n">
        <v>0</v>
      </c>
      <c r="P209" t="n">
        <v>0</v>
      </c>
      <c r="Q209" t="n">
        <v>0</v>
      </c>
      <c r="R209" s="2" t="inlineStr"/>
    </row>
    <row r="210" ht="15" customHeight="1">
      <c r="A210" t="inlineStr">
        <is>
          <t>A 54867-2020</t>
        </is>
      </c>
      <c r="B210" s="1" t="n">
        <v>44126</v>
      </c>
      <c r="C210" s="1" t="n">
        <v>45794</v>
      </c>
      <c r="D210" t="inlineStr">
        <is>
          <t>DALARNAS LÄN</t>
        </is>
      </c>
      <c r="E210" t="inlineStr">
        <is>
          <t>SMEDJEBACKEN</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54894-2020</t>
        </is>
      </c>
      <c r="B211" s="1" t="n">
        <v>44126</v>
      </c>
      <c r="C211" s="1" t="n">
        <v>45794</v>
      </c>
      <c r="D211" t="inlineStr">
        <is>
          <t>DALARNAS LÄN</t>
        </is>
      </c>
      <c r="E211" t="inlineStr">
        <is>
          <t>SMEDJEBACKEN</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56372-2020</t>
        </is>
      </c>
      <c r="B212" s="1" t="n">
        <v>44136</v>
      </c>
      <c r="C212" s="1" t="n">
        <v>45794</v>
      </c>
      <c r="D212" t="inlineStr">
        <is>
          <t>DALARNAS LÄN</t>
        </is>
      </c>
      <c r="E212" t="inlineStr">
        <is>
          <t>SMEDJEBACKEN</t>
        </is>
      </c>
      <c r="F212" t="inlineStr">
        <is>
          <t>Kyrkan</t>
        </is>
      </c>
      <c r="G212" t="n">
        <v>1.5</v>
      </c>
      <c r="H212" t="n">
        <v>0</v>
      </c>
      <c r="I212" t="n">
        <v>0</v>
      </c>
      <c r="J212" t="n">
        <v>0</v>
      </c>
      <c r="K212" t="n">
        <v>0</v>
      </c>
      <c r="L212" t="n">
        <v>0</v>
      </c>
      <c r="M212" t="n">
        <v>0</v>
      </c>
      <c r="N212" t="n">
        <v>0</v>
      </c>
      <c r="O212" t="n">
        <v>0</v>
      </c>
      <c r="P212" t="n">
        <v>0</v>
      </c>
      <c r="Q212" t="n">
        <v>0</v>
      </c>
      <c r="R212" s="2" t="inlineStr"/>
    </row>
    <row r="213" ht="15" customHeight="1">
      <c r="A213" t="inlineStr">
        <is>
          <t>A 57904-2020</t>
        </is>
      </c>
      <c r="B213" s="1" t="n">
        <v>44141</v>
      </c>
      <c r="C213" s="1" t="n">
        <v>45794</v>
      </c>
      <c r="D213" t="inlineStr">
        <is>
          <t>DALARNAS LÄN</t>
        </is>
      </c>
      <c r="E213" t="inlineStr">
        <is>
          <t>SMEDJEBACKEN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59324-2020</t>
        </is>
      </c>
      <c r="B214" s="1" t="n">
        <v>44147</v>
      </c>
      <c r="C214" s="1" t="n">
        <v>45794</v>
      </c>
      <c r="D214" t="inlineStr">
        <is>
          <t>DALARNAS LÄN</t>
        </is>
      </c>
      <c r="E214" t="inlineStr">
        <is>
          <t>SMEDJEBACKEN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59381-2020</t>
        </is>
      </c>
      <c r="B215" s="1" t="n">
        <v>44148</v>
      </c>
      <c r="C215" s="1" t="n">
        <v>45794</v>
      </c>
      <c r="D215" t="inlineStr">
        <is>
          <t>DALARNAS LÄN</t>
        </is>
      </c>
      <c r="E215" t="inlineStr">
        <is>
          <t>SMEDJEBACKEN</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59536-2020</t>
        </is>
      </c>
      <c r="B216" s="1" t="n">
        <v>44148</v>
      </c>
      <c r="C216" s="1" t="n">
        <v>45794</v>
      </c>
      <c r="D216" t="inlineStr">
        <is>
          <t>DALARNAS LÄN</t>
        </is>
      </c>
      <c r="E216" t="inlineStr">
        <is>
          <t>SMEDJEBACKEN</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62215-2020</t>
        </is>
      </c>
      <c r="B217" s="1" t="n">
        <v>44159</v>
      </c>
      <c r="C217" s="1" t="n">
        <v>45794</v>
      </c>
      <c r="D217" t="inlineStr">
        <is>
          <t>DALARNAS LÄN</t>
        </is>
      </c>
      <c r="E217" t="inlineStr">
        <is>
          <t>SMEDJEBACKEN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62690-2020</t>
        </is>
      </c>
      <c r="B218" s="1" t="n">
        <v>44161</v>
      </c>
      <c r="C218" s="1" t="n">
        <v>45794</v>
      </c>
      <c r="D218" t="inlineStr">
        <is>
          <t>DALARNAS LÄN</t>
        </is>
      </c>
      <c r="E218" t="inlineStr">
        <is>
          <t>SMEDJEBACKEN</t>
        </is>
      </c>
      <c r="G218" t="n">
        <v>4.5</v>
      </c>
      <c r="H218" t="n">
        <v>0</v>
      </c>
      <c r="I218" t="n">
        <v>0</v>
      </c>
      <c r="J218" t="n">
        <v>0</v>
      </c>
      <c r="K218" t="n">
        <v>0</v>
      </c>
      <c r="L218" t="n">
        <v>0</v>
      </c>
      <c r="M218" t="n">
        <v>0</v>
      </c>
      <c r="N218" t="n">
        <v>0</v>
      </c>
      <c r="O218" t="n">
        <v>0</v>
      </c>
      <c r="P218" t="n">
        <v>0</v>
      </c>
      <c r="Q218" t="n">
        <v>0</v>
      </c>
      <c r="R218" s="2" t="inlineStr"/>
    </row>
    <row r="219" ht="15" customHeight="1">
      <c r="A219" t="inlineStr">
        <is>
          <t>A 63255-2020</t>
        </is>
      </c>
      <c r="B219" s="1" t="n">
        <v>44164</v>
      </c>
      <c r="C219" s="1" t="n">
        <v>45794</v>
      </c>
      <c r="D219" t="inlineStr">
        <is>
          <t>DALARNAS LÄN</t>
        </is>
      </c>
      <c r="E219" t="inlineStr">
        <is>
          <t>SMEDJEBACKEN</t>
        </is>
      </c>
      <c r="G219" t="n">
        <v>0.6</v>
      </c>
      <c r="H219" t="n">
        <v>0</v>
      </c>
      <c r="I219" t="n">
        <v>0</v>
      </c>
      <c r="J219" t="n">
        <v>0</v>
      </c>
      <c r="K219" t="n">
        <v>0</v>
      </c>
      <c r="L219" t="n">
        <v>0</v>
      </c>
      <c r="M219" t="n">
        <v>0</v>
      </c>
      <c r="N219" t="n">
        <v>0</v>
      </c>
      <c r="O219" t="n">
        <v>0</v>
      </c>
      <c r="P219" t="n">
        <v>0</v>
      </c>
      <c r="Q219" t="n">
        <v>0</v>
      </c>
      <c r="R219" s="2" t="inlineStr"/>
    </row>
    <row r="220" ht="15" customHeight="1">
      <c r="A220" t="inlineStr">
        <is>
          <t>A 63249-2020</t>
        </is>
      </c>
      <c r="B220" s="1" t="n">
        <v>44164</v>
      </c>
      <c r="C220" s="1" t="n">
        <v>45794</v>
      </c>
      <c r="D220" t="inlineStr">
        <is>
          <t>DALARNAS LÄN</t>
        </is>
      </c>
      <c r="E220" t="inlineStr">
        <is>
          <t>SMEDJEBACKEN</t>
        </is>
      </c>
      <c r="G220" t="n">
        <v>1.3</v>
      </c>
      <c r="H220" t="n">
        <v>0</v>
      </c>
      <c r="I220" t="n">
        <v>0</v>
      </c>
      <c r="J220" t="n">
        <v>0</v>
      </c>
      <c r="K220" t="n">
        <v>0</v>
      </c>
      <c r="L220" t="n">
        <v>0</v>
      </c>
      <c r="M220" t="n">
        <v>0</v>
      </c>
      <c r="N220" t="n">
        <v>0</v>
      </c>
      <c r="O220" t="n">
        <v>0</v>
      </c>
      <c r="P220" t="n">
        <v>0</v>
      </c>
      <c r="Q220" t="n">
        <v>0</v>
      </c>
      <c r="R220" s="2" t="inlineStr"/>
    </row>
    <row r="221" ht="15" customHeight="1">
      <c r="A221" t="inlineStr">
        <is>
          <t>A 63248-2020</t>
        </is>
      </c>
      <c r="B221" s="1" t="n">
        <v>44164</v>
      </c>
      <c r="C221" s="1" t="n">
        <v>45794</v>
      </c>
      <c r="D221" t="inlineStr">
        <is>
          <t>DALARNAS LÄN</t>
        </is>
      </c>
      <c r="E221" t="inlineStr">
        <is>
          <t>SMEDJEBACKEN</t>
        </is>
      </c>
      <c r="G221" t="n">
        <v>0.3</v>
      </c>
      <c r="H221" t="n">
        <v>0</v>
      </c>
      <c r="I221" t="n">
        <v>0</v>
      </c>
      <c r="J221" t="n">
        <v>0</v>
      </c>
      <c r="K221" t="n">
        <v>0</v>
      </c>
      <c r="L221" t="n">
        <v>0</v>
      </c>
      <c r="M221" t="n">
        <v>0</v>
      </c>
      <c r="N221" t="n">
        <v>0</v>
      </c>
      <c r="O221" t="n">
        <v>0</v>
      </c>
      <c r="P221" t="n">
        <v>0</v>
      </c>
      <c r="Q221" t="n">
        <v>0</v>
      </c>
      <c r="R221" s="2" t="inlineStr"/>
    </row>
    <row r="222" ht="15" customHeight="1">
      <c r="A222" t="inlineStr">
        <is>
          <t>A 63854-2020</t>
        </is>
      </c>
      <c r="B222" s="1" t="n">
        <v>44165</v>
      </c>
      <c r="C222" s="1" t="n">
        <v>45794</v>
      </c>
      <c r="D222" t="inlineStr">
        <is>
          <t>DALARNAS LÄN</t>
        </is>
      </c>
      <c r="E222" t="inlineStr">
        <is>
          <t>SMEDJEBACKEN</t>
        </is>
      </c>
      <c r="G222" t="n">
        <v>22.4</v>
      </c>
      <c r="H222" t="n">
        <v>0</v>
      </c>
      <c r="I222" t="n">
        <v>0</v>
      </c>
      <c r="J222" t="n">
        <v>0</v>
      </c>
      <c r="K222" t="n">
        <v>0</v>
      </c>
      <c r="L222" t="n">
        <v>0</v>
      </c>
      <c r="M222" t="n">
        <v>0</v>
      </c>
      <c r="N222" t="n">
        <v>0</v>
      </c>
      <c r="O222" t="n">
        <v>0</v>
      </c>
      <c r="P222" t="n">
        <v>0</v>
      </c>
      <c r="Q222" t="n">
        <v>0</v>
      </c>
      <c r="R222" s="2" t="inlineStr"/>
    </row>
    <row r="223" ht="15" customHeight="1">
      <c r="A223" t="inlineStr">
        <is>
          <t>A 66730-2020</t>
        </is>
      </c>
      <c r="B223" s="1" t="n">
        <v>44179</v>
      </c>
      <c r="C223" s="1" t="n">
        <v>45794</v>
      </c>
      <c r="D223" t="inlineStr">
        <is>
          <t>DALARNAS LÄN</t>
        </is>
      </c>
      <c r="E223" t="inlineStr">
        <is>
          <t>SMEDJEBACKEN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68784-2020</t>
        </is>
      </c>
      <c r="B224" s="1" t="n">
        <v>44187</v>
      </c>
      <c r="C224" s="1" t="n">
        <v>45794</v>
      </c>
      <c r="D224" t="inlineStr">
        <is>
          <t>DALARNAS LÄN</t>
        </is>
      </c>
      <c r="E224" t="inlineStr">
        <is>
          <t>SMEDJEBACKEN</t>
        </is>
      </c>
      <c r="G224" t="n">
        <v>2.5</v>
      </c>
      <c r="H224" t="n">
        <v>0</v>
      </c>
      <c r="I224" t="n">
        <v>0</v>
      </c>
      <c r="J224" t="n">
        <v>0</v>
      </c>
      <c r="K224" t="n">
        <v>0</v>
      </c>
      <c r="L224" t="n">
        <v>0</v>
      </c>
      <c r="M224" t="n">
        <v>0</v>
      </c>
      <c r="N224" t="n">
        <v>0</v>
      </c>
      <c r="O224" t="n">
        <v>0</v>
      </c>
      <c r="P224" t="n">
        <v>0</v>
      </c>
      <c r="Q224" t="n">
        <v>0</v>
      </c>
      <c r="R224" s="2" t="inlineStr"/>
    </row>
    <row r="225" ht="15" customHeight="1">
      <c r="A225" t="inlineStr">
        <is>
          <t>A 458-2021</t>
        </is>
      </c>
      <c r="B225" s="1" t="n">
        <v>44202</v>
      </c>
      <c r="C225" s="1" t="n">
        <v>45794</v>
      </c>
      <c r="D225" t="inlineStr">
        <is>
          <t>DALARNAS LÄN</t>
        </is>
      </c>
      <c r="E225" t="inlineStr">
        <is>
          <t>SMEDJEBACKEN</t>
        </is>
      </c>
      <c r="G225" t="n">
        <v>3.7</v>
      </c>
      <c r="H225" t="n">
        <v>0</v>
      </c>
      <c r="I225" t="n">
        <v>0</v>
      </c>
      <c r="J225" t="n">
        <v>0</v>
      </c>
      <c r="K225" t="n">
        <v>0</v>
      </c>
      <c r="L225" t="n">
        <v>0</v>
      </c>
      <c r="M225" t="n">
        <v>0</v>
      </c>
      <c r="N225" t="n">
        <v>0</v>
      </c>
      <c r="O225" t="n">
        <v>0</v>
      </c>
      <c r="P225" t="n">
        <v>0</v>
      </c>
      <c r="Q225" t="n">
        <v>0</v>
      </c>
      <c r="R225" s="2" t="inlineStr"/>
    </row>
    <row r="226" ht="15" customHeight="1">
      <c r="A226" t="inlineStr">
        <is>
          <t>A 2296-2021</t>
        </is>
      </c>
      <c r="B226" s="1" t="n">
        <v>44212</v>
      </c>
      <c r="C226" s="1" t="n">
        <v>45794</v>
      </c>
      <c r="D226" t="inlineStr">
        <is>
          <t>DALARNAS LÄN</t>
        </is>
      </c>
      <c r="E226" t="inlineStr">
        <is>
          <t>SMEDJEBACKEN</t>
        </is>
      </c>
      <c r="G226" t="n">
        <v>11.6</v>
      </c>
      <c r="H226" t="n">
        <v>0</v>
      </c>
      <c r="I226" t="n">
        <v>0</v>
      </c>
      <c r="J226" t="n">
        <v>0</v>
      </c>
      <c r="K226" t="n">
        <v>0</v>
      </c>
      <c r="L226" t="n">
        <v>0</v>
      </c>
      <c r="M226" t="n">
        <v>0</v>
      </c>
      <c r="N226" t="n">
        <v>0</v>
      </c>
      <c r="O226" t="n">
        <v>0</v>
      </c>
      <c r="P226" t="n">
        <v>0</v>
      </c>
      <c r="Q226" t="n">
        <v>0</v>
      </c>
      <c r="R226" s="2" t="inlineStr"/>
    </row>
    <row r="227" ht="15" customHeight="1">
      <c r="A227" t="inlineStr">
        <is>
          <t>A 5707-2021</t>
        </is>
      </c>
      <c r="B227" s="1" t="n">
        <v>44230</v>
      </c>
      <c r="C227" s="1" t="n">
        <v>45794</v>
      </c>
      <c r="D227" t="inlineStr">
        <is>
          <t>DALARNAS LÄN</t>
        </is>
      </c>
      <c r="E227" t="inlineStr">
        <is>
          <t>SMEDJEBACKEN</t>
        </is>
      </c>
      <c r="G227" t="n">
        <v>4.7</v>
      </c>
      <c r="H227" t="n">
        <v>0</v>
      </c>
      <c r="I227" t="n">
        <v>0</v>
      </c>
      <c r="J227" t="n">
        <v>0</v>
      </c>
      <c r="K227" t="n">
        <v>0</v>
      </c>
      <c r="L227" t="n">
        <v>0</v>
      </c>
      <c r="M227" t="n">
        <v>0</v>
      </c>
      <c r="N227" t="n">
        <v>0</v>
      </c>
      <c r="O227" t="n">
        <v>0</v>
      </c>
      <c r="P227" t="n">
        <v>0</v>
      </c>
      <c r="Q227" t="n">
        <v>0</v>
      </c>
      <c r="R227" s="2" t="inlineStr"/>
    </row>
    <row r="228" ht="15" customHeight="1">
      <c r="A228" t="inlineStr">
        <is>
          <t>A 5616-2021</t>
        </is>
      </c>
      <c r="B228" s="1" t="n">
        <v>44230</v>
      </c>
      <c r="C228" s="1" t="n">
        <v>45794</v>
      </c>
      <c r="D228" t="inlineStr">
        <is>
          <t>DALARNAS LÄN</t>
        </is>
      </c>
      <c r="E228" t="inlineStr">
        <is>
          <t>SMEDJEBACKEN</t>
        </is>
      </c>
      <c r="G228" t="n">
        <v>5</v>
      </c>
      <c r="H228" t="n">
        <v>0</v>
      </c>
      <c r="I228" t="n">
        <v>0</v>
      </c>
      <c r="J228" t="n">
        <v>0</v>
      </c>
      <c r="K228" t="n">
        <v>0</v>
      </c>
      <c r="L228" t="n">
        <v>0</v>
      </c>
      <c r="M228" t="n">
        <v>0</v>
      </c>
      <c r="N228" t="n">
        <v>0</v>
      </c>
      <c r="O228" t="n">
        <v>0</v>
      </c>
      <c r="P228" t="n">
        <v>0</v>
      </c>
      <c r="Q228" t="n">
        <v>0</v>
      </c>
      <c r="R228" s="2" t="inlineStr"/>
    </row>
    <row r="229" ht="15" customHeight="1">
      <c r="A229" t="inlineStr">
        <is>
          <t>A 6187-2021</t>
        </is>
      </c>
      <c r="B229" s="1" t="n">
        <v>44234</v>
      </c>
      <c r="C229" s="1" t="n">
        <v>45794</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6735-2021</t>
        </is>
      </c>
      <c r="B230" s="1" t="n">
        <v>44236</v>
      </c>
      <c r="C230" s="1" t="n">
        <v>45794</v>
      </c>
      <c r="D230" t="inlineStr">
        <is>
          <t>DALARNAS LÄN</t>
        </is>
      </c>
      <c r="E230" t="inlineStr">
        <is>
          <t>SMEDJEBACKEN</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10997-2021</t>
        </is>
      </c>
      <c r="B231" s="1" t="n">
        <v>44260</v>
      </c>
      <c r="C231" s="1" t="n">
        <v>45794</v>
      </c>
      <c r="D231" t="inlineStr">
        <is>
          <t>DALARNAS LÄN</t>
        </is>
      </c>
      <c r="E231" t="inlineStr">
        <is>
          <t>SMEDJEBACKEN</t>
        </is>
      </c>
      <c r="G231" t="n">
        <v>5.7</v>
      </c>
      <c r="H231" t="n">
        <v>0</v>
      </c>
      <c r="I231" t="n">
        <v>0</v>
      </c>
      <c r="J231" t="n">
        <v>0</v>
      </c>
      <c r="K231" t="n">
        <v>0</v>
      </c>
      <c r="L231" t="n">
        <v>0</v>
      </c>
      <c r="M231" t="n">
        <v>0</v>
      </c>
      <c r="N231" t="n">
        <v>0</v>
      </c>
      <c r="O231" t="n">
        <v>0</v>
      </c>
      <c r="P231" t="n">
        <v>0</v>
      </c>
      <c r="Q231" t="n">
        <v>0</v>
      </c>
      <c r="R231" s="2" t="inlineStr"/>
    </row>
    <row r="232" ht="15" customHeight="1">
      <c r="A232" t="inlineStr">
        <is>
          <t>A 10996-2021</t>
        </is>
      </c>
      <c r="B232" s="1" t="n">
        <v>44260</v>
      </c>
      <c r="C232" s="1" t="n">
        <v>45794</v>
      </c>
      <c r="D232" t="inlineStr">
        <is>
          <t>DALARNAS LÄN</t>
        </is>
      </c>
      <c r="E232" t="inlineStr">
        <is>
          <t>SMEDJEBACKEN</t>
        </is>
      </c>
      <c r="G232" t="n">
        <v>4</v>
      </c>
      <c r="H232" t="n">
        <v>0</v>
      </c>
      <c r="I232" t="n">
        <v>0</v>
      </c>
      <c r="J232" t="n">
        <v>0</v>
      </c>
      <c r="K232" t="n">
        <v>0</v>
      </c>
      <c r="L232" t="n">
        <v>0</v>
      </c>
      <c r="M232" t="n">
        <v>0</v>
      </c>
      <c r="N232" t="n">
        <v>0</v>
      </c>
      <c r="O232" t="n">
        <v>0</v>
      </c>
      <c r="P232" t="n">
        <v>0</v>
      </c>
      <c r="Q232" t="n">
        <v>0</v>
      </c>
      <c r="R232" s="2" t="inlineStr"/>
    </row>
    <row r="233" ht="15" customHeight="1">
      <c r="A233" t="inlineStr">
        <is>
          <t>A 11143-2021</t>
        </is>
      </c>
      <c r="B233" s="1" t="n">
        <v>44261</v>
      </c>
      <c r="C233" s="1" t="n">
        <v>45794</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11141-2021</t>
        </is>
      </c>
      <c r="B234" s="1" t="n">
        <v>44261</v>
      </c>
      <c r="C234" s="1" t="n">
        <v>45794</v>
      </c>
      <c r="D234" t="inlineStr">
        <is>
          <t>DALARNAS LÄN</t>
        </is>
      </c>
      <c r="E234" t="inlineStr">
        <is>
          <t>SMEDJEBACKEN</t>
        </is>
      </c>
      <c r="G234" t="n">
        <v>2.8</v>
      </c>
      <c r="H234" t="n">
        <v>0</v>
      </c>
      <c r="I234" t="n">
        <v>0</v>
      </c>
      <c r="J234" t="n">
        <v>0</v>
      </c>
      <c r="K234" t="n">
        <v>0</v>
      </c>
      <c r="L234" t="n">
        <v>0</v>
      </c>
      <c r="M234" t="n">
        <v>0</v>
      </c>
      <c r="N234" t="n">
        <v>0</v>
      </c>
      <c r="O234" t="n">
        <v>0</v>
      </c>
      <c r="P234" t="n">
        <v>0</v>
      </c>
      <c r="Q234" t="n">
        <v>0</v>
      </c>
      <c r="R234" s="2" t="inlineStr"/>
    </row>
    <row r="235" ht="15" customHeight="1">
      <c r="A235" t="inlineStr">
        <is>
          <t>A 11502-2021</t>
        </is>
      </c>
      <c r="B235" s="1" t="n">
        <v>44264</v>
      </c>
      <c r="C235" s="1" t="n">
        <v>45794</v>
      </c>
      <c r="D235" t="inlineStr">
        <is>
          <t>DALARNAS LÄN</t>
        </is>
      </c>
      <c r="E235" t="inlineStr">
        <is>
          <t>SMEDJEBACKEN</t>
        </is>
      </c>
      <c r="G235" t="n">
        <v>3.9</v>
      </c>
      <c r="H235" t="n">
        <v>0</v>
      </c>
      <c r="I235" t="n">
        <v>0</v>
      </c>
      <c r="J235" t="n">
        <v>0</v>
      </c>
      <c r="K235" t="n">
        <v>0</v>
      </c>
      <c r="L235" t="n">
        <v>0</v>
      </c>
      <c r="M235" t="n">
        <v>0</v>
      </c>
      <c r="N235" t="n">
        <v>0</v>
      </c>
      <c r="O235" t="n">
        <v>0</v>
      </c>
      <c r="P235" t="n">
        <v>0</v>
      </c>
      <c r="Q235" t="n">
        <v>0</v>
      </c>
      <c r="R235" s="2" t="inlineStr"/>
    </row>
    <row r="236" ht="15" customHeight="1">
      <c r="A236" t="inlineStr">
        <is>
          <t>A 11647-2021</t>
        </is>
      </c>
      <c r="B236" s="1" t="n">
        <v>44264</v>
      </c>
      <c r="C236" s="1" t="n">
        <v>45794</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12349-2021</t>
        </is>
      </c>
      <c r="B237" s="1" t="n">
        <v>44267</v>
      </c>
      <c r="C237" s="1" t="n">
        <v>45794</v>
      </c>
      <c r="D237" t="inlineStr">
        <is>
          <t>DALARNAS LÄN</t>
        </is>
      </c>
      <c r="E237" t="inlineStr">
        <is>
          <t>SMEDJEBACKEN</t>
        </is>
      </c>
      <c r="F237" t="inlineStr">
        <is>
          <t>Sveaskog</t>
        </is>
      </c>
      <c r="G237" t="n">
        <v>7.8</v>
      </c>
      <c r="H237" t="n">
        <v>0</v>
      </c>
      <c r="I237" t="n">
        <v>0</v>
      </c>
      <c r="J237" t="n">
        <v>0</v>
      </c>
      <c r="K237" t="n">
        <v>0</v>
      </c>
      <c r="L237" t="n">
        <v>0</v>
      </c>
      <c r="M237" t="n">
        <v>0</v>
      </c>
      <c r="N237" t="n">
        <v>0</v>
      </c>
      <c r="O237" t="n">
        <v>0</v>
      </c>
      <c r="P237" t="n">
        <v>0</v>
      </c>
      <c r="Q237" t="n">
        <v>0</v>
      </c>
      <c r="R237" s="2" t="inlineStr"/>
    </row>
    <row r="238" ht="15" customHeight="1">
      <c r="A238" t="inlineStr">
        <is>
          <t>A 14318-2021</t>
        </is>
      </c>
      <c r="B238" s="1" t="n">
        <v>44278</v>
      </c>
      <c r="C238" s="1" t="n">
        <v>45794</v>
      </c>
      <c r="D238" t="inlineStr">
        <is>
          <t>DALARNAS LÄN</t>
        </is>
      </c>
      <c r="E238" t="inlineStr">
        <is>
          <t>SMEDJEBACKEN</t>
        </is>
      </c>
      <c r="G238" t="n">
        <v>4.6</v>
      </c>
      <c r="H238" t="n">
        <v>0</v>
      </c>
      <c r="I238" t="n">
        <v>0</v>
      </c>
      <c r="J238" t="n">
        <v>0</v>
      </c>
      <c r="K238" t="n">
        <v>0</v>
      </c>
      <c r="L238" t="n">
        <v>0</v>
      </c>
      <c r="M238" t="n">
        <v>0</v>
      </c>
      <c r="N238" t="n">
        <v>0</v>
      </c>
      <c r="O238" t="n">
        <v>0</v>
      </c>
      <c r="P238" t="n">
        <v>0</v>
      </c>
      <c r="Q238" t="n">
        <v>0</v>
      </c>
      <c r="R238" s="2" t="inlineStr"/>
    </row>
    <row r="239" ht="15" customHeight="1">
      <c r="A239" t="inlineStr">
        <is>
          <t>A 15085-2021</t>
        </is>
      </c>
      <c r="B239" s="1" t="n">
        <v>44281</v>
      </c>
      <c r="C239" s="1" t="n">
        <v>45794</v>
      </c>
      <c r="D239" t="inlineStr">
        <is>
          <t>DALARNAS LÄN</t>
        </is>
      </c>
      <c r="E239" t="inlineStr">
        <is>
          <t>SMEDJEBACKEN</t>
        </is>
      </c>
      <c r="G239" t="n">
        <v>7.3</v>
      </c>
      <c r="H239" t="n">
        <v>0</v>
      </c>
      <c r="I239" t="n">
        <v>0</v>
      </c>
      <c r="J239" t="n">
        <v>0</v>
      </c>
      <c r="K239" t="n">
        <v>0</v>
      </c>
      <c r="L239" t="n">
        <v>0</v>
      </c>
      <c r="M239" t="n">
        <v>0</v>
      </c>
      <c r="N239" t="n">
        <v>0</v>
      </c>
      <c r="O239" t="n">
        <v>0</v>
      </c>
      <c r="P239" t="n">
        <v>0</v>
      </c>
      <c r="Q239" t="n">
        <v>0</v>
      </c>
      <c r="R239" s="2" t="inlineStr"/>
    </row>
    <row r="240" ht="15" customHeight="1">
      <c r="A240" t="inlineStr">
        <is>
          <t>A 15331-2021</t>
        </is>
      </c>
      <c r="B240" s="1" t="n">
        <v>44284</v>
      </c>
      <c r="C240" s="1" t="n">
        <v>45794</v>
      </c>
      <c r="D240" t="inlineStr">
        <is>
          <t>DALARNAS LÄN</t>
        </is>
      </c>
      <c r="E240" t="inlineStr">
        <is>
          <t>SMEDJEBACKEN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15727-2021</t>
        </is>
      </c>
      <c r="B241" s="1" t="n">
        <v>44286</v>
      </c>
      <c r="C241" s="1" t="n">
        <v>45794</v>
      </c>
      <c r="D241" t="inlineStr">
        <is>
          <t>DALARNAS LÄN</t>
        </is>
      </c>
      <c r="E241" t="inlineStr">
        <is>
          <t>SMEDJEBACKEN</t>
        </is>
      </c>
      <c r="G241" t="n">
        <v>1.9</v>
      </c>
      <c r="H241" t="n">
        <v>0</v>
      </c>
      <c r="I241" t="n">
        <v>0</v>
      </c>
      <c r="J241" t="n">
        <v>0</v>
      </c>
      <c r="K241" t="n">
        <v>0</v>
      </c>
      <c r="L241" t="n">
        <v>0</v>
      </c>
      <c r="M241" t="n">
        <v>0</v>
      </c>
      <c r="N241" t="n">
        <v>0</v>
      </c>
      <c r="O241" t="n">
        <v>0</v>
      </c>
      <c r="P241" t="n">
        <v>0</v>
      </c>
      <c r="Q241" t="n">
        <v>0</v>
      </c>
      <c r="R241" s="2" t="inlineStr"/>
    </row>
    <row r="242" ht="15" customHeight="1">
      <c r="A242" t="inlineStr">
        <is>
          <t>A 16129-2021</t>
        </is>
      </c>
      <c r="B242" s="1" t="n">
        <v>44291</v>
      </c>
      <c r="C242" s="1" t="n">
        <v>45794</v>
      </c>
      <c r="D242" t="inlineStr">
        <is>
          <t>DALARNAS LÄN</t>
        </is>
      </c>
      <c r="E242" t="inlineStr">
        <is>
          <t>SMEDJEBACKEN</t>
        </is>
      </c>
      <c r="G242" t="n">
        <v>2.3</v>
      </c>
      <c r="H242" t="n">
        <v>0</v>
      </c>
      <c r="I242" t="n">
        <v>0</v>
      </c>
      <c r="J242" t="n">
        <v>0</v>
      </c>
      <c r="K242" t="n">
        <v>0</v>
      </c>
      <c r="L242" t="n">
        <v>0</v>
      </c>
      <c r="M242" t="n">
        <v>0</v>
      </c>
      <c r="N242" t="n">
        <v>0</v>
      </c>
      <c r="O242" t="n">
        <v>0</v>
      </c>
      <c r="P242" t="n">
        <v>0</v>
      </c>
      <c r="Q242" t="n">
        <v>0</v>
      </c>
      <c r="R242" s="2" t="inlineStr"/>
    </row>
    <row r="243" ht="15" customHeight="1">
      <c r="A243" t="inlineStr">
        <is>
          <t>A 16842-2021</t>
        </is>
      </c>
      <c r="B243" s="1" t="n">
        <v>44295</v>
      </c>
      <c r="C243" s="1" t="n">
        <v>45794</v>
      </c>
      <c r="D243" t="inlineStr">
        <is>
          <t>DALARNAS LÄN</t>
        </is>
      </c>
      <c r="E243" t="inlineStr">
        <is>
          <t>SMEDJEBACKEN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17115-2021</t>
        </is>
      </c>
      <c r="B244" s="1" t="n">
        <v>44298</v>
      </c>
      <c r="C244" s="1" t="n">
        <v>45794</v>
      </c>
      <c r="D244" t="inlineStr">
        <is>
          <t>DALARNAS LÄN</t>
        </is>
      </c>
      <c r="E244" t="inlineStr">
        <is>
          <t>SMEDJEBACKEN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17107-2021</t>
        </is>
      </c>
      <c r="B245" s="1" t="n">
        <v>44298</v>
      </c>
      <c r="C245" s="1" t="n">
        <v>45794</v>
      </c>
      <c r="D245" t="inlineStr">
        <is>
          <t>DALARNAS LÄN</t>
        </is>
      </c>
      <c r="E245" t="inlineStr">
        <is>
          <t>SMEDJEBACKEN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17116-2021</t>
        </is>
      </c>
      <c r="B246" s="1" t="n">
        <v>44298</v>
      </c>
      <c r="C246" s="1" t="n">
        <v>45794</v>
      </c>
      <c r="D246" t="inlineStr">
        <is>
          <t>DALARNAS LÄN</t>
        </is>
      </c>
      <c r="E246" t="inlineStr">
        <is>
          <t>SMEDJEBACKEN</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17112-2021</t>
        </is>
      </c>
      <c r="B247" s="1" t="n">
        <v>44298</v>
      </c>
      <c r="C247" s="1" t="n">
        <v>45794</v>
      </c>
      <c r="D247" t="inlineStr">
        <is>
          <t>DALARNAS LÄN</t>
        </is>
      </c>
      <c r="E247" t="inlineStr">
        <is>
          <t>SMEDJEBACKEN</t>
        </is>
      </c>
      <c r="F247" t="inlineStr">
        <is>
          <t>Sveaskog</t>
        </is>
      </c>
      <c r="G247" t="n">
        <v>6.9</v>
      </c>
      <c r="H247" t="n">
        <v>0</v>
      </c>
      <c r="I247" t="n">
        <v>0</v>
      </c>
      <c r="J247" t="n">
        <v>0</v>
      </c>
      <c r="K247" t="n">
        <v>0</v>
      </c>
      <c r="L247" t="n">
        <v>0</v>
      </c>
      <c r="M247" t="n">
        <v>0</v>
      </c>
      <c r="N247" t="n">
        <v>0</v>
      </c>
      <c r="O247" t="n">
        <v>0</v>
      </c>
      <c r="P247" t="n">
        <v>0</v>
      </c>
      <c r="Q247" t="n">
        <v>0</v>
      </c>
      <c r="R247" s="2" t="inlineStr"/>
    </row>
    <row r="248" ht="15" customHeight="1">
      <c r="A248" t="inlineStr">
        <is>
          <t>A 18120-2021</t>
        </is>
      </c>
      <c r="B248" s="1" t="n">
        <v>44302</v>
      </c>
      <c r="C248" s="1" t="n">
        <v>45794</v>
      </c>
      <c r="D248" t="inlineStr">
        <is>
          <t>DALARNAS LÄN</t>
        </is>
      </c>
      <c r="E248" t="inlineStr">
        <is>
          <t>SMEDJEBACKEN</t>
        </is>
      </c>
      <c r="G248" t="n">
        <v>0.9</v>
      </c>
      <c r="H248" t="n">
        <v>0</v>
      </c>
      <c r="I248" t="n">
        <v>0</v>
      </c>
      <c r="J248" t="n">
        <v>0</v>
      </c>
      <c r="K248" t="n">
        <v>0</v>
      </c>
      <c r="L248" t="n">
        <v>0</v>
      </c>
      <c r="M248" t="n">
        <v>0</v>
      </c>
      <c r="N248" t="n">
        <v>0</v>
      </c>
      <c r="O248" t="n">
        <v>0</v>
      </c>
      <c r="P248" t="n">
        <v>0</v>
      </c>
      <c r="Q248" t="n">
        <v>0</v>
      </c>
      <c r="R248" s="2" t="inlineStr"/>
    </row>
    <row r="249" ht="15" customHeight="1">
      <c r="A249" t="inlineStr">
        <is>
          <t>A 18198-2021</t>
        </is>
      </c>
      <c r="B249" s="1" t="n">
        <v>44302</v>
      </c>
      <c r="C249" s="1" t="n">
        <v>45794</v>
      </c>
      <c r="D249" t="inlineStr">
        <is>
          <t>DALARNAS LÄN</t>
        </is>
      </c>
      <c r="E249" t="inlineStr">
        <is>
          <t>SMEDJEBACKEN</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18133-2021</t>
        </is>
      </c>
      <c r="B250" s="1" t="n">
        <v>44302</v>
      </c>
      <c r="C250" s="1" t="n">
        <v>45794</v>
      </c>
      <c r="D250" t="inlineStr">
        <is>
          <t>DALARNAS LÄN</t>
        </is>
      </c>
      <c r="E250" t="inlineStr">
        <is>
          <t>SMEDJEBACKEN</t>
        </is>
      </c>
      <c r="G250" t="n">
        <v>0.7</v>
      </c>
      <c r="H250" t="n">
        <v>0</v>
      </c>
      <c r="I250" t="n">
        <v>0</v>
      </c>
      <c r="J250" t="n">
        <v>0</v>
      </c>
      <c r="K250" t="n">
        <v>0</v>
      </c>
      <c r="L250" t="n">
        <v>0</v>
      </c>
      <c r="M250" t="n">
        <v>0</v>
      </c>
      <c r="N250" t="n">
        <v>0</v>
      </c>
      <c r="O250" t="n">
        <v>0</v>
      </c>
      <c r="P250" t="n">
        <v>0</v>
      </c>
      <c r="Q250" t="n">
        <v>0</v>
      </c>
      <c r="R250" s="2" t="inlineStr"/>
    </row>
    <row r="251" ht="15" customHeight="1">
      <c r="A251" t="inlineStr">
        <is>
          <t>A 18369-2021</t>
        </is>
      </c>
      <c r="B251" s="1" t="n">
        <v>44305</v>
      </c>
      <c r="C251" s="1" t="n">
        <v>45794</v>
      </c>
      <c r="D251" t="inlineStr">
        <is>
          <t>DALARNAS LÄN</t>
        </is>
      </c>
      <c r="E251" t="inlineStr">
        <is>
          <t>SMEDJEBACKEN</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18373-2021</t>
        </is>
      </c>
      <c r="B252" s="1" t="n">
        <v>44305</v>
      </c>
      <c r="C252" s="1" t="n">
        <v>45794</v>
      </c>
      <c r="D252" t="inlineStr">
        <is>
          <t>DALARNAS LÄN</t>
        </is>
      </c>
      <c r="E252" t="inlineStr">
        <is>
          <t>SMEDJEBACKEN</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18505-2021</t>
        </is>
      </c>
      <c r="B253" s="1" t="n">
        <v>44306</v>
      </c>
      <c r="C253" s="1" t="n">
        <v>45794</v>
      </c>
      <c r="D253" t="inlineStr">
        <is>
          <t>DALARNAS LÄN</t>
        </is>
      </c>
      <c r="E253" t="inlineStr">
        <is>
          <t>SMEDJEBACKEN</t>
        </is>
      </c>
      <c r="G253" t="n">
        <v>0.8</v>
      </c>
      <c r="H253" t="n">
        <v>0</v>
      </c>
      <c r="I253" t="n">
        <v>0</v>
      </c>
      <c r="J253" t="n">
        <v>0</v>
      </c>
      <c r="K253" t="n">
        <v>0</v>
      </c>
      <c r="L253" t="n">
        <v>0</v>
      </c>
      <c r="M253" t="n">
        <v>0</v>
      </c>
      <c r="N253" t="n">
        <v>0</v>
      </c>
      <c r="O253" t="n">
        <v>0</v>
      </c>
      <c r="P253" t="n">
        <v>0</v>
      </c>
      <c r="Q253" t="n">
        <v>0</v>
      </c>
      <c r="R253" s="2" t="inlineStr"/>
    </row>
    <row r="254" ht="15" customHeight="1">
      <c r="A254" t="inlineStr">
        <is>
          <t>A 18749-2021</t>
        </is>
      </c>
      <c r="B254" s="1" t="n">
        <v>44307</v>
      </c>
      <c r="C254" s="1" t="n">
        <v>45794</v>
      </c>
      <c r="D254" t="inlineStr">
        <is>
          <t>DALARNAS LÄN</t>
        </is>
      </c>
      <c r="E254" t="inlineStr">
        <is>
          <t>SMEDJEBACKEN</t>
        </is>
      </c>
      <c r="F254" t="inlineStr">
        <is>
          <t>Övriga Aktiebolag</t>
        </is>
      </c>
      <c r="G254" t="n">
        <v>10.4</v>
      </c>
      <c r="H254" t="n">
        <v>0</v>
      </c>
      <c r="I254" t="n">
        <v>0</v>
      </c>
      <c r="J254" t="n">
        <v>0</v>
      </c>
      <c r="K254" t="n">
        <v>0</v>
      </c>
      <c r="L254" t="n">
        <v>0</v>
      </c>
      <c r="M254" t="n">
        <v>0</v>
      </c>
      <c r="N254" t="n">
        <v>0</v>
      </c>
      <c r="O254" t="n">
        <v>0</v>
      </c>
      <c r="P254" t="n">
        <v>0</v>
      </c>
      <c r="Q254" t="n">
        <v>0</v>
      </c>
      <c r="R254" s="2" t="inlineStr"/>
    </row>
    <row r="255" ht="15" customHeight="1">
      <c r="A255" t="inlineStr">
        <is>
          <t>A 18968-2021</t>
        </is>
      </c>
      <c r="B255" s="1" t="n">
        <v>44308</v>
      </c>
      <c r="C255" s="1" t="n">
        <v>45794</v>
      </c>
      <c r="D255" t="inlineStr">
        <is>
          <t>DALARNAS LÄN</t>
        </is>
      </c>
      <c r="E255" t="inlineStr">
        <is>
          <t>SMEDJEBACKEN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19515-2021</t>
        </is>
      </c>
      <c r="B256" s="1" t="n">
        <v>44312</v>
      </c>
      <c r="C256" s="1" t="n">
        <v>45794</v>
      </c>
      <c r="D256" t="inlineStr">
        <is>
          <t>DALARNAS LÄN</t>
        </is>
      </c>
      <c r="E256" t="inlineStr">
        <is>
          <t>SMEDJEBACKEN</t>
        </is>
      </c>
      <c r="G256" t="n">
        <v>1.1</v>
      </c>
      <c r="H256" t="n">
        <v>0</v>
      </c>
      <c r="I256" t="n">
        <v>0</v>
      </c>
      <c r="J256" t="n">
        <v>0</v>
      </c>
      <c r="K256" t="n">
        <v>0</v>
      </c>
      <c r="L256" t="n">
        <v>0</v>
      </c>
      <c r="M256" t="n">
        <v>0</v>
      </c>
      <c r="N256" t="n">
        <v>0</v>
      </c>
      <c r="O256" t="n">
        <v>0</v>
      </c>
      <c r="P256" t="n">
        <v>0</v>
      </c>
      <c r="Q256" t="n">
        <v>0</v>
      </c>
      <c r="R256" s="2" t="inlineStr"/>
    </row>
    <row r="257" ht="15" customHeight="1">
      <c r="A257" t="inlineStr">
        <is>
          <t>A 19519-2021</t>
        </is>
      </c>
      <c r="B257" s="1" t="n">
        <v>44312</v>
      </c>
      <c r="C257" s="1" t="n">
        <v>45794</v>
      </c>
      <c r="D257" t="inlineStr">
        <is>
          <t>DALARNAS LÄN</t>
        </is>
      </c>
      <c r="E257" t="inlineStr">
        <is>
          <t>SMEDJEBACKEN</t>
        </is>
      </c>
      <c r="G257" t="n">
        <v>4.1</v>
      </c>
      <c r="H257" t="n">
        <v>0</v>
      </c>
      <c r="I257" t="n">
        <v>0</v>
      </c>
      <c r="J257" t="n">
        <v>0</v>
      </c>
      <c r="K257" t="n">
        <v>0</v>
      </c>
      <c r="L257" t="n">
        <v>0</v>
      </c>
      <c r="M257" t="n">
        <v>0</v>
      </c>
      <c r="N257" t="n">
        <v>0</v>
      </c>
      <c r="O257" t="n">
        <v>0</v>
      </c>
      <c r="P257" t="n">
        <v>0</v>
      </c>
      <c r="Q257" t="n">
        <v>0</v>
      </c>
      <c r="R257" s="2" t="inlineStr"/>
    </row>
    <row r="258" ht="15" customHeight="1">
      <c r="A258" t="inlineStr">
        <is>
          <t>A 20625-2021</t>
        </is>
      </c>
      <c r="B258" s="1" t="n">
        <v>44316</v>
      </c>
      <c r="C258" s="1" t="n">
        <v>45794</v>
      </c>
      <c r="D258" t="inlineStr">
        <is>
          <t>DALARNAS LÄN</t>
        </is>
      </c>
      <c r="E258" t="inlineStr">
        <is>
          <t>SMEDJEBACKEN</t>
        </is>
      </c>
      <c r="G258" t="n">
        <v>1.5</v>
      </c>
      <c r="H258" t="n">
        <v>0</v>
      </c>
      <c r="I258" t="n">
        <v>0</v>
      </c>
      <c r="J258" t="n">
        <v>0</v>
      </c>
      <c r="K258" t="n">
        <v>0</v>
      </c>
      <c r="L258" t="n">
        <v>0</v>
      </c>
      <c r="M258" t="n">
        <v>0</v>
      </c>
      <c r="N258" t="n">
        <v>0</v>
      </c>
      <c r="O258" t="n">
        <v>0</v>
      </c>
      <c r="P258" t="n">
        <v>0</v>
      </c>
      <c r="Q258" t="n">
        <v>0</v>
      </c>
      <c r="R258" s="2" t="inlineStr"/>
    </row>
    <row r="259" ht="15" customHeight="1">
      <c r="A259" t="inlineStr">
        <is>
          <t>A 20779-2021</t>
        </is>
      </c>
      <c r="B259" s="1" t="n">
        <v>44316</v>
      </c>
      <c r="C259" s="1" t="n">
        <v>45794</v>
      </c>
      <c r="D259" t="inlineStr">
        <is>
          <t>DALARNAS LÄN</t>
        </is>
      </c>
      <c r="E259" t="inlineStr">
        <is>
          <t>SMEDJEBACKEN</t>
        </is>
      </c>
      <c r="G259" t="n">
        <v>5.1</v>
      </c>
      <c r="H259" t="n">
        <v>0</v>
      </c>
      <c r="I259" t="n">
        <v>0</v>
      </c>
      <c r="J259" t="n">
        <v>0</v>
      </c>
      <c r="K259" t="n">
        <v>0</v>
      </c>
      <c r="L259" t="n">
        <v>0</v>
      </c>
      <c r="M259" t="n">
        <v>0</v>
      </c>
      <c r="N259" t="n">
        <v>0</v>
      </c>
      <c r="O259" t="n">
        <v>0</v>
      </c>
      <c r="P259" t="n">
        <v>0</v>
      </c>
      <c r="Q259" t="n">
        <v>0</v>
      </c>
      <c r="R259" s="2" t="inlineStr"/>
    </row>
    <row r="260" ht="15" customHeight="1">
      <c r="A260" t="inlineStr">
        <is>
          <t>A 20790-2021</t>
        </is>
      </c>
      <c r="B260" s="1" t="n">
        <v>44316</v>
      </c>
      <c r="C260" s="1" t="n">
        <v>45794</v>
      </c>
      <c r="D260" t="inlineStr">
        <is>
          <t>DALARNAS LÄN</t>
        </is>
      </c>
      <c r="E260" t="inlineStr">
        <is>
          <t>SMEDJEBACKEN</t>
        </is>
      </c>
      <c r="G260" t="n">
        <v>2</v>
      </c>
      <c r="H260" t="n">
        <v>0</v>
      </c>
      <c r="I260" t="n">
        <v>0</v>
      </c>
      <c r="J260" t="n">
        <v>0</v>
      </c>
      <c r="K260" t="n">
        <v>0</v>
      </c>
      <c r="L260" t="n">
        <v>0</v>
      </c>
      <c r="M260" t="n">
        <v>0</v>
      </c>
      <c r="N260" t="n">
        <v>0</v>
      </c>
      <c r="O260" t="n">
        <v>0</v>
      </c>
      <c r="P260" t="n">
        <v>0</v>
      </c>
      <c r="Q260" t="n">
        <v>0</v>
      </c>
      <c r="R260" s="2" t="inlineStr"/>
    </row>
    <row r="261" ht="15" customHeight="1">
      <c r="A261" t="inlineStr">
        <is>
          <t>A 20990-2021</t>
        </is>
      </c>
      <c r="B261" s="1" t="n">
        <v>44319</v>
      </c>
      <c r="C261" s="1" t="n">
        <v>45794</v>
      </c>
      <c r="D261" t="inlineStr">
        <is>
          <t>DALARNAS LÄN</t>
        </is>
      </c>
      <c r="E261" t="inlineStr">
        <is>
          <t>SMEDJEBACKEN</t>
        </is>
      </c>
      <c r="F261" t="inlineStr">
        <is>
          <t>Kyrkan</t>
        </is>
      </c>
      <c r="G261" t="n">
        <v>1.4</v>
      </c>
      <c r="H261" t="n">
        <v>0</v>
      </c>
      <c r="I261" t="n">
        <v>0</v>
      </c>
      <c r="J261" t="n">
        <v>0</v>
      </c>
      <c r="K261" t="n">
        <v>0</v>
      </c>
      <c r="L261" t="n">
        <v>0</v>
      </c>
      <c r="M261" t="n">
        <v>0</v>
      </c>
      <c r="N261" t="n">
        <v>0</v>
      </c>
      <c r="O261" t="n">
        <v>0</v>
      </c>
      <c r="P261" t="n">
        <v>0</v>
      </c>
      <c r="Q261" t="n">
        <v>0</v>
      </c>
      <c r="R261" s="2" t="inlineStr"/>
    </row>
    <row r="262" ht="15" customHeight="1">
      <c r="A262" t="inlineStr">
        <is>
          <t>A 21429-2021</t>
        </is>
      </c>
      <c r="B262" s="1" t="n">
        <v>44321</v>
      </c>
      <c r="C262" s="1" t="n">
        <v>45794</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21424-2021</t>
        </is>
      </c>
      <c r="B263" s="1" t="n">
        <v>44321</v>
      </c>
      <c r="C263" s="1" t="n">
        <v>45794</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21468-2021</t>
        </is>
      </c>
      <c r="B264" s="1" t="n">
        <v>44321</v>
      </c>
      <c r="C264" s="1" t="n">
        <v>45794</v>
      </c>
      <c r="D264" t="inlineStr">
        <is>
          <t>DALARNAS LÄN</t>
        </is>
      </c>
      <c r="E264" t="inlineStr">
        <is>
          <t>SMEDJEBACKEN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21414-2021</t>
        </is>
      </c>
      <c r="B265" s="1" t="n">
        <v>44321</v>
      </c>
      <c r="C265" s="1" t="n">
        <v>45794</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21451-2021</t>
        </is>
      </c>
      <c r="B266" s="1" t="n">
        <v>44321</v>
      </c>
      <c r="C266" s="1" t="n">
        <v>45794</v>
      </c>
      <c r="D266" t="inlineStr">
        <is>
          <t>DALARNAS LÄN</t>
        </is>
      </c>
      <c r="E266" t="inlineStr">
        <is>
          <t>SMEDJEBACKEN</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23040-2021</t>
        </is>
      </c>
      <c r="B267" s="1" t="n">
        <v>44329</v>
      </c>
      <c r="C267" s="1" t="n">
        <v>45794</v>
      </c>
      <c r="D267" t="inlineStr">
        <is>
          <t>DALARNAS LÄN</t>
        </is>
      </c>
      <c r="E267" t="inlineStr">
        <is>
          <t>SMEDJEBACKEN</t>
        </is>
      </c>
      <c r="F267" t="inlineStr">
        <is>
          <t>Övriga Aktiebolag</t>
        </is>
      </c>
      <c r="G267" t="n">
        <v>6</v>
      </c>
      <c r="H267" t="n">
        <v>0</v>
      </c>
      <c r="I267" t="n">
        <v>0</v>
      </c>
      <c r="J267" t="n">
        <v>0</v>
      </c>
      <c r="K267" t="n">
        <v>0</v>
      </c>
      <c r="L267" t="n">
        <v>0</v>
      </c>
      <c r="M267" t="n">
        <v>0</v>
      </c>
      <c r="N267" t="n">
        <v>0</v>
      </c>
      <c r="O267" t="n">
        <v>0</v>
      </c>
      <c r="P267" t="n">
        <v>0</v>
      </c>
      <c r="Q267" t="n">
        <v>0</v>
      </c>
      <c r="R267" s="2" t="inlineStr"/>
    </row>
    <row r="268" ht="15" customHeight="1">
      <c r="A268" t="inlineStr">
        <is>
          <t>A 23156-2021</t>
        </is>
      </c>
      <c r="B268" s="1" t="n">
        <v>44332</v>
      </c>
      <c r="C268" s="1" t="n">
        <v>45794</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23233-2021</t>
        </is>
      </c>
      <c r="B269" s="1" t="n">
        <v>44333</v>
      </c>
      <c r="C269" s="1" t="n">
        <v>45794</v>
      </c>
      <c r="D269" t="inlineStr">
        <is>
          <t>DALARNAS LÄN</t>
        </is>
      </c>
      <c r="E269" t="inlineStr">
        <is>
          <t>SMEDJEBACKEN</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23251-2021</t>
        </is>
      </c>
      <c r="B270" s="1" t="n">
        <v>44333</v>
      </c>
      <c r="C270" s="1" t="n">
        <v>45794</v>
      </c>
      <c r="D270" t="inlineStr">
        <is>
          <t>DALARNAS LÄN</t>
        </is>
      </c>
      <c r="E270" t="inlineStr">
        <is>
          <t>SMEDJEBACKEN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23220-2021</t>
        </is>
      </c>
      <c r="B271" s="1" t="n">
        <v>44333</v>
      </c>
      <c r="C271" s="1" t="n">
        <v>45794</v>
      </c>
      <c r="D271" t="inlineStr">
        <is>
          <t>DALARNAS LÄN</t>
        </is>
      </c>
      <c r="E271" t="inlineStr">
        <is>
          <t>SMEDJEBACKEN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23257-2021</t>
        </is>
      </c>
      <c r="B272" s="1" t="n">
        <v>44333</v>
      </c>
      <c r="C272" s="1" t="n">
        <v>45794</v>
      </c>
      <c r="D272" t="inlineStr">
        <is>
          <t>DALARNAS LÄN</t>
        </is>
      </c>
      <c r="E272" t="inlineStr">
        <is>
          <t>SMEDJEBACKEN</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25366-2021</t>
        </is>
      </c>
      <c r="B273" s="1" t="n">
        <v>44342</v>
      </c>
      <c r="C273" s="1" t="n">
        <v>45794</v>
      </c>
      <c r="D273" t="inlineStr">
        <is>
          <t>DALARNAS LÄN</t>
        </is>
      </c>
      <c r="E273" t="inlineStr">
        <is>
          <t>SMEDJEBACKEN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25361-2021</t>
        </is>
      </c>
      <c r="B274" s="1" t="n">
        <v>44342</v>
      </c>
      <c r="C274" s="1" t="n">
        <v>45794</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25419-2021</t>
        </is>
      </c>
      <c r="B275" s="1" t="n">
        <v>44342</v>
      </c>
      <c r="C275" s="1" t="n">
        <v>45794</v>
      </c>
      <c r="D275" t="inlineStr">
        <is>
          <t>DALARNAS LÄN</t>
        </is>
      </c>
      <c r="E275" t="inlineStr">
        <is>
          <t>SMEDJEBACKEN</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25437-2021</t>
        </is>
      </c>
      <c r="B276" s="1" t="n">
        <v>44342</v>
      </c>
      <c r="C276" s="1" t="n">
        <v>45794</v>
      </c>
      <c r="D276" t="inlineStr">
        <is>
          <t>DALARNAS LÄN</t>
        </is>
      </c>
      <c r="E276" t="inlineStr">
        <is>
          <t>SMEDJEBACKEN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25430-2021</t>
        </is>
      </c>
      <c r="B277" s="1" t="n">
        <v>44342</v>
      </c>
      <c r="C277" s="1" t="n">
        <v>45794</v>
      </c>
      <c r="D277" t="inlineStr">
        <is>
          <t>DALARNAS LÄN</t>
        </is>
      </c>
      <c r="E277" t="inlineStr">
        <is>
          <t>SMEDJEBACKEN</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27621-2021</t>
        </is>
      </c>
      <c r="B278" s="1" t="n">
        <v>44354</v>
      </c>
      <c r="C278" s="1" t="n">
        <v>45794</v>
      </c>
      <c r="D278" t="inlineStr">
        <is>
          <t>DALARNAS LÄN</t>
        </is>
      </c>
      <c r="E278" t="inlineStr">
        <is>
          <t>SMEDJEBACKEN</t>
        </is>
      </c>
      <c r="G278" t="n">
        <v>4.5</v>
      </c>
      <c r="H278" t="n">
        <v>0</v>
      </c>
      <c r="I278" t="n">
        <v>0</v>
      </c>
      <c r="J278" t="n">
        <v>0</v>
      </c>
      <c r="K278" t="n">
        <v>0</v>
      </c>
      <c r="L278" t="n">
        <v>0</v>
      </c>
      <c r="M278" t="n">
        <v>0</v>
      </c>
      <c r="N278" t="n">
        <v>0</v>
      </c>
      <c r="O278" t="n">
        <v>0</v>
      </c>
      <c r="P278" t="n">
        <v>0</v>
      </c>
      <c r="Q278" t="n">
        <v>0</v>
      </c>
      <c r="R278" s="2" t="inlineStr"/>
    </row>
    <row r="279" ht="15" customHeight="1">
      <c r="A279" t="inlineStr">
        <is>
          <t>A 27611-2021</t>
        </is>
      </c>
      <c r="B279" s="1" t="n">
        <v>44354</v>
      </c>
      <c r="C279" s="1" t="n">
        <v>45794</v>
      </c>
      <c r="D279" t="inlineStr">
        <is>
          <t>DALARNAS LÄN</t>
        </is>
      </c>
      <c r="E279" t="inlineStr">
        <is>
          <t>SMEDJEBACKEN</t>
        </is>
      </c>
      <c r="G279" t="n">
        <v>0.9</v>
      </c>
      <c r="H279" t="n">
        <v>0</v>
      </c>
      <c r="I279" t="n">
        <v>0</v>
      </c>
      <c r="J279" t="n">
        <v>0</v>
      </c>
      <c r="K279" t="n">
        <v>0</v>
      </c>
      <c r="L279" t="n">
        <v>0</v>
      </c>
      <c r="M279" t="n">
        <v>0</v>
      </c>
      <c r="N279" t="n">
        <v>0</v>
      </c>
      <c r="O279" t="n">
        <v>0</v>
      </c>
      <c r="P279" t="n">
        <v>0</v>
      </c>
      <c r="Q279" t="n">
        <v>0</v>
      </c>
      <c r="R279" s="2" t="inlineStr"/>
    </row>
    <row r="280" ht="15" customHeight="1">
      <c r="A280" t="inlineStr">
        <is>
          <t>A 28021-2021</t>
        </is>
      </c>
      <c r="B280" s="1" t="n">
        <v>44355</v>
      </c>
      <c r="C280" s="1" t="n">
        <v>45794</v>
      </c>
      <c r="D280" t="inlineStr">
        <is>
          <t>DALARNAS LÄN</t>
        </is>
      </c>
      <c r="E280" t="inlineStr">
        <is>
          <t>SMEDJEBACKEN</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28037-2021</t>
        </is>
      </c>
      <c r="B281" s="1" t="n">
        <v>44355</v>
      </c>
      <c r="C281" s="1" t="n">
        <v>45794</v>
      </c>
      <c r="D281" t="inlineStr">
        <is>
          <t>DALARNAS LÄN</t>
        </is>
      </c>
      <c r="E281" t="inlineStr">
        <is>
          <t>SMEDJEBACKEN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28024-2021</t>
        </is>
      </c>
      <c r="B282" s="1" t="n">
        <v>44355</v>
      </c>
      <c r="C282" s="1" t="n">
        <v>45794</v>
      </c>
      <c r="D282" t="inlineStr">
        <is>
          <t>DALARNAS LÄN</t>
        </is>
      </c>
      <c r="E282" t="inlineStr">
        <is>
          <t>SMEDJEBACKEN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28049-2021</t>
        </is>
      </c>
      <c r="B283" s="1" t="n">
        <v>44355</v>
      </c>
      <c r="C283" s="1" t="n">
        <v>45794</v>
      </c>
      <c r="D283" t="inlineStr">
        <is>
          <t>DALARNAS LÄN</t>
        </is>
      </c>
      <c r="E283" t="inlineStr">
        <is>
          <t>SMEDJEBACKEN</t>
        </is>
      </c>
      <c r="F283" t="inlineStr">
        <is>
          <t>Sveaskog</t>
        </is>
      </c>
      <c r="G283" t="n">
        <v>2.4</v>
      </c>
      <c r="H283" t="n">
        <v>0</v>
      </c>
      <c r="I283" t="n">
        <v>0</v>
      </c>
      <c r="J283" t="n">
        <v>0</v>
      </c>
      <c r="K283" t="n">
        <v>0</v>
      </c>
      <c r="L283" t="n">
        <v>0</v>
      </c>
      <c r="M283" t="n">
        <v>0</v>
      </c>
      <c r="N283" t="n">
        <v>0</v>
      </c>
      <c r="O283" t="n">
        <v>0</v>
      </c>
      <c r="P283" t="n">
        <v>0</v>
      </c>
      <c r="Q283" t="n">
        <v>0</v>
      </c>
      <c r="R283" s="2" t="inlineStr"/>
    </row>
    <row r="284" ht="15" customHeight="1">
      <c r="A284" t="inlineStr">
        <is>
          <t>A 28008-2021</t>
        </is>
      </c>
      <c r="B284" s="1" t="n">
        <v>44355</v>
      </c>
      <c r="C284" s="1" t="n">
        <v>45794</v>
      </c>
      <c r="D284" t="inlineStr">
        <is>
          <t>DALARNAS LÄN</t>
        </is>
      </c>
      <c r="E284" t="inlineStr">
        <is>
          <t>SMEDJEBACKEN</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28017-2021</t>
        </is>
      </c>
      <c r="B285" s="1" t="n">
        <v>44355</v>
      </c>
      <c r="C285" s="1" t="n">
        <v>45794</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28029-2021</t>
        </is>
      </c>
      <c r="B286" s="1" t="n">
        <v>44355</v>
      </c>
      <c r="C286" s="1" t="n">
        <v>45794</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28041-2021</t>
        </is>
      </c>
      <c r="B287" s="1" t="n">
        <v>44355</v>
      </c>
      <c r="C287" s="1" t="n">
        <v>45794</v>
      </c>
      <c r="D287" t="inlineStr">
        <is>
          <t>DALARNAS LÄN</t>
        </is>
      </c>
      <c r="E287" t="inlineStr">
        <is>
          <t>SMEDJEBACKEN</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28089-2021</t>
        </is>
      </c>
      <c r="B288" s="1" t="n">
        <v>44355</v>
      </c>
      <c r="C288" s="1" t="n">
        <v>45794</v>
      </c>
      <c r="D288" t="inlineStr">
        <is>
          <t>DALARNAS LÄN</t>
        </is>
      </c>
      <c r="E288" t="inlineStr">
        <is>
          <t>SMEDJEBACKEN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28030-2021</t>
        </is>
      </c>
      <c r="B289" s="1" t="n">
        <v>44355</v>
      </c>
      <c r="C289" s="1" t="n">
        <v>45794</v>
      </c>
      <c r="D289" t="inlineStr">
        <is>
          <t>DALARNAS LÄN</t>
        </is>
      </c>
      <c r="E289" t="inlineStr">
        <is>
          <t>SMEDJEBACKEN</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28675-2021</t>
        </is>
      </c>
      <c r="B290" s="1" t="n">
        <v>44357</v>
      </c>
      <c r="C290" s="1" t="n">
        <v>45794</v>
      </c>
      <c r="D290" t="inlineStr">
        <is>
          <t>DALARNAS LÄN</t>
        </is>
      </c>
      <c r="E290" t="inlineStr">
        <is>
          <t>SMEDJEBACKEN</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30907-2021</t>
        </is>
      </c>
      <c r="B291" s="1" t="n">
        <v>44365</v>
      </c>
      <c r="C291" s="1" t="n">
        <v>45794</v>
      </c>
      <c r="D291" t="inlineStr">
        <is>
          <t>DALARNAS LÄN</t>
        </is>
      </c>
      <c r="E291" t="inlineStr">
        <is>
          <t>SMEDJEBACKEN</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32130-2021</t>
        </is>
      </c>
      <c r="B292" s="1" t="n">
        <v>44371</v>
      </c>
      <c r="C292" s="1" t="n">
        <v>45794</v>
      </c>
      <c r="D292" t="inlineStr">
        <is>
          <t>DALARNAS LÄN</t>
        </is>
      </c>
      <c r="E292" t="inlineStr">
        <is>
          <t>SMEDJEBACKEN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32985-2021</t>
        </is>
      </c>
      <c r="B293" s="1" t="n">
        <v>44376</v>
      </c>
      <c r="C293" s="1" t="n">
        <v>45794</v>
      </c>
      <c r="D293" t="inlineStr">
        <is>
          <t>DALARNAS LÄN</t>
        </is>
      </c>
      <c r="E293" t="inlineStr">
        <is>
          <t>SMEDJEBACKEN</t>
        </is>
      </c>
      <c r="G293" t="n">
        <v>5</v>
      </c>
      <c r="H293" t="n">
        <v>0</v>
      </c>
      <c r="I293" t="n">
        <v>0</v>
      </c>
      <c r="J293" t="n">
        <v>0</v>
      </c>
      <c r="K293" t="n">
        <v>0</v>
      </c>
      <c r="L293" t="n">
        <v>0</v>
      </c>
      <c r="M293" t="n">
        <v>0</v>
      </c>
      <c r="N293" t="n">
        <v>0</v>
      </c>
      <c r="O293" t="n">
        <v>0</v>
      </c>
      <c r="P293" t="n">
        <v>0</v>
      </c>
      <c r="Q293" t="n">
        <v>0</v>
      </c>
      <c r="R293" s="2" t="inlineStr"/>
    </row>
    <row r="294" ht="15" customHeight="1">
      <c r="A294" t="inlineStr">
        <is>
          <t>A 33489-2021</t>
        </is>
      </c>
      <c r="B294" s="1" t="n">
        <v>44377</v>
      </c>
      <c r="C294" s="1" t="n">
        <v>45794</v>
      </c>
      <c r="D294" t="inlineStr">
        <is>
          <t>DALARNAS LÄN</t>
        </is>
      </c>
      <c r="E294" t="inlineStr">
        <is>
          <t>SMEDJEBACKEN</t>
        </is>
      </c>
      <c r="G294" t="n">
        <v>1.8</v>
      </c>
      <c r="H294" t="n">
        <v>0</v>
      </c>
      <c r="I294" t="n">
        <v>0</v>
      </c>
      <c r="J294" t="n">
        <v>0</v>
      </c>
      <c r="K294" t="n">
        <v>0</v>
      </c>
      <c r="L294" t="n">
        <v>0</v>
      </c>
      <c r="M294" t="n">
        <v>0</v>
      </c>
      <c r="N294" t="n">
        <v>0</v>
      </c>
      <c r="O294" t="n">
        <v>0</v>
      </c>
      <c r="P294" t="n">
        <v>0</v>
      </c>
      <c r="Q294" t="n">
        <v>0</v>
      </c>
      <c r="R294" s="2" t="inlineStr"/>
    </row>
    <row r="295" ht="15" customHeight="1">
      <c r="A295" t="inlineStr">
        <is>
          <t>A 34822-2021</t>
        </is>
      </c>
      <c r="B295" s="1" t="n">
        <v>44383</v>
      </c>
      <c r="C295" s="1" t="n">
        <v>45794</v>
      </c>
      <c r="D295" t="inlineStr">
        <is>
          <t>DALARNAS LÄN</t>
        </is>
      </c>
      <c r="E295" t="inlineStr">
        <is>
          <t>SMEDJEBACKEN</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36393-2021</t>
        </is>
      </c>
      <c r="B296" s="1" t="n">
        <v>44390</v>
      </c>
      <c r="C296" s="1" t="n">
        <v>45794</v>
      </c>
      <c r="D296" t="inlineStr">
        <is>
          <t>DALARNAS LÄN</t>
        </is>
      </c>
      <c r="E296" t="inlineStr">
        <is>
          <t>SMEDJEBACKEN</t>
        </is>
      </c>
      <c r="F296" t="inlineStr">
        <is>
          <t>Bergvik skog väst AB</t>
        </is>
      </c>
      <c r="G296" t="n">
        <v>4.7</v>
      </c>
      <c r="H296" t="n">
        <v>0</v>
      </c>
      <c r="I296" t="n">
        <v>0</v>
      </c>
      <c r="J296" t="n">
        <v>0</v>
      </c>
      <c r="K296" t="n">
        <v>0</v>
      </c>
      <c r="L296" t="n">
        <v>0</v>
      </c>
      <c r="M296" t="n">
        <v>0</v>
      </c>
      <c r="N296" t="n">
        <v>0</v>
      </c>
      <c r="O296" t="n">
        <v>0</v>
      </c>
      <c r="P296" t="n">
        <v>0</v>
      </c>
      <c r="Q296" t="n">
        <v>0</v>
      </c>
      <c r="R296" s="2" t="inlineStr"/>
    </row>
    <row r="297" ht="15" customHeight="1">
      <c r="A297" t="inlineStr">
        <is>
          <t>A 36385-2021</t>
        </is>
      </c>
      <c r="B297" s="1" t="n">
        <v>44390</v>
      </c>
      <c r="C297" s="1" t="n">
        <v>45794</v>
      </c>
      <c r="D297" t="inlineStr">
        <is>
          <t>DALARNAS LÄN</t>
        </is>
      </c>
      <c r="E297" t="inlineStr">
        <is>
          <t>SMEDJEBACKEN</t>
        </is>
      </c>
      <c r="G297" t="n">
        <v>4.2</v>
      </c>
      <c r="H297" t="n">
        <v>0</v>
      </c>
      <c r="I297" t="n">
        <v>0</v>
      </c>
      <c r="J297" t="n">
        <v>0</v>
      </c>
      <c r="K297" t="n">
        <v>0</v>
      </c>
      <c r="L297" t="n">
        <v>0</v>
      </c>
      <c r="M297" t="n">
        <v>0</v>
      </c>
      <c r="N297" t="n">
        <v>0</v>
      </c>
      <c r="O297" t="n">
        <v>0</v>
      </c>
      <c r="P297" t="n">
        <v>0</v>
      </c>
      <c r="Q297" t="n">
        <v>0</v>
      </c>
      <c r="R297" s="2" t="inlineStr"/>
    </row>
    <row r="298" ht="15" customHeight="1">
      <c r="A298" t="inlineStr">
        <is>
          <t>A 36360-2021</t>
        </is>
      </c>
      <c r="B298" s="1" t="n">
        <v>44390</v>
      </c>
      <c r="C298" s="1" t="n">
        <v>45794</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37851-2021</t>
        </is>
      </c>
      <c r="B299" s="1" t="n">
        <v>44403</v>
      </c>
      <c r="C299" s="1" t="n">
        <v>45794</v>
      </c>
      <c r="D299" t="inlineStr">
        <is>
          <t>DALARNAS LÄN</t>
        </is>
      </c>
      <c r="E299" t="inlineStr">
        <is>
          <t>SMEDJEBACKEN</t>
        </is>
      </c>
      <c r="G299" t="n">
        <v>2.9</v>
      </c>
      <c r="H299" t="n">
        <v>0</v>
      </c>
      <c r="I299" t="n">
        <v>0</v>
      </c>
      <c r="J299" t="n">
        <v>0</v>
      </c>
      <c r="K299" t="n">
        <v>0</v>
      </c>
      <c r="L299" t="n">
        <v>0</v>
      </c>
      <c r="M299" t="n">
        <v>0</v>
      </c>
      <c r="N299" t="n">
        <v>0</v>
      </c>
      <c r="O299" t="n">
        <v>0</v>
      </c>
      <c r="P299" t="n">
        <v>0</v>
      </c>
      <c r="Q299" t="n">
        <v>0</v>
      </c>
      <c r="R299" s="2" t="inlineStr"/>
    </row>
    <row r="300" ht="15" customHeight="1">
      <c r="A300" t="inlineStr">
        <is>
          <t>A 38680-2021</t>
        </is>
      </c>
      <c r="B300" s="1" t="n">
        <v>44410</v>
      </c>
      <c r="C300" s="1" t="n">
        <v>45794</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38800-2021</t>
        </is>
      </c>
      <c r="B301" s="1" t="n">
        <v>44410</v>
      </c>
      <c r="C301" s="1" t="n">
        <v>45794</v>
      </c>
      <c r="D301" t="inlineStr">
        <is>
          <t>DALARNAS LÄN</t>
        </is>
      </c>
      <c r="E301" t="inlineStr">
        <is>
          <t>SMEDJEBACKEN</t>
        </is>
      </c>
      <c r="G301" t="n">
        <v>1.4</v>
      </c>
      <c r="H301" t="n">
        <v>0</v>
      </c>
      <c r="I301" t="n">
        <v>0</v>
      </c>
      <c r="J301" t="n">
        <v>0</v>
      </c>
      <c r="K301" t="n">
        <v>0</v>
      </c>
      <c r="L301" t="n">
        <v>0</v>
      </c>
      <c r="M301" t="n">
        <v>0</v>
      </c>
      <c r="N301" t="n">
        <v>0</v>
      </c>
      <c r="O301" t="n">
        <v>0</v>
      </c>
      <c r="P301" t="n">
        <v>0</v>
      </c>
      <c r="Q301" t="n">
        <v>0</v>
      </c>
      <c r="R301" s="2" t="inlineStr"/>
    </row>
    <row r="302" ht="15" customHeight="1">
      <c r="A302" t="inlineStr">
        <is>
          <t>A 38797-2021</t>
        </is>
      </c>
      <c r="B302" s="1" t="n">
        <v>44410</v>
      </c>
      <c r="C302" s="1" t="n">
        <v>45794</v>
      </c>
      <c r="D302" t="inlineStr">
        <is>
          <t>DALARNAS LÄN</t>
        </is>
      </c>
      <c r="E302" t="inlineStr">
        <is>
          <t>SMEDJEBACKEN</t>
        </is>
      </c>
      <c r="G302" t="n">
        <v>1.5</v>
      </c>
      <c r="H302" t="n">
        <v>0</v>
      </c>
      <c r="I302" t="n">
        <v>0</v>
      </c>
      <c r="J302" t="n">
        <v>0</v>
      </c>
      <c r="K302" t="n">
        <v>0</v>
      </c>
      <c r="L302" t="n">
        <v>0</v>
      </c>
      <c r="M302" t="n">
        <v>0</v>
      </c>
      <c r="N302" t="n">
        <v>0</v>
      </c>
      <c r="O302" t="n">
        <v>0</v>
      </c>
      <c r="P302" t="n">
        <v>0</v>
      </c>
      <c r="Q302" t="n">
        <v>0</v>
      </c>
      <c r="R302" s="2" t="inlineStr"/>
    </row>
    <row r="303" ht="15" customHeight="1">
      <c r="A303" t="inlineStr">
        <is>
          <t>A 38803-2021</t>
        </is>
      </c>
      <c r="B303" s="1" t="n">
        <v>44410</v>
      </c>
      <c r="C303" s="1" t="n">
        <v>45794</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39085-2021</t>
        </is>
      </c>
      <c r="B304" s="1" t="n">
        <v>44412</v>
      </c>
      <c r="C304" s="1" t="n">
        <v>45794</v>
      </c>
      <c r="D304" t="inlineStr">
        <is>
          <t>DALARNAS LÄN</t>
        </is>
      </c>
      <c r="E304" t="inlineStr">
        <is>
          <t>SMEDJEBACKEN</t>
        </is>
      </c>
      <c r="G304" t="n">
        <v>5.2</v>
      </c>
      <c r="H304" t="n">
        <v>0</v>
      </c>
      <c r="I304" t="n">
        <v>0</v>
      </c>
      <c r="J304" t="n">
        <v>0</v>
      </c>
      <c r="K304" t="n">
        <v>0</v>
      </c>
      <c r="L304" t="n">
        <v>0</v>
      </c>
      <c r="M304" t="n">
        <v>0</v>
      </c>
      <c r="N304" t="n">
        <v>0</v>
      </c>
      <c r="O304" t="n">
        <v>0</v>
      </c>
      <c r="P304" t="n">
        <v>0</v>
      </c>
      <c r="Q304" t="n">
        <v>0</v>
      </c>
      <c r="R304" s="2" t="inlineStr"/>
    </row>
    <row r="305" ht="15" customHeight="1">
      <c r="A305" t="inlineStr">
        <is>
          <t>A 39713-2021</t>
        </is>
      </c>
      <c r="B305" s="1" t="n">
        <v>44414</v>
      </c>
      <c r="C305" s="1" t="n">
        <v>45794</v>
      </c>
      <c r="D305" t="inlineStr">
        <is>
          <t>DALARNAS LÄN</t>
        </is>
      </c>
      <c r="E305" t="inlineStr">
        <is>
          <t>SMEDJEBACKEN</t>
        </is>
      </c>
      <c r="G305" t="n">
        <v>4.1</v>
      </c>
      <c r="H305" t="n">
        <v>0</v>
      </c>
      <c r="I305" t="n">
        <v>0</v>
      </c>
      <c r="J305" t="n">
        <v>0</v>
      </c>
      <c r="K305" t="n">
        <v>0</v>
      </c>
      <c r="L305" t="n">
        <v>0</v>
      </c>
      <c r="M305" t="n">
        <v>0</v>
      </c>
      <c r="N305" t="n">
        <v>0</v>
      </c>
      <c r="O305" t="n">
        <v>0</v>
      </c>
      <c r="P305" t="n">
        <v>0</v>
      </c>
      <c r="Q305" t="n">
        <v>0</v>
      </c>
      <c r="R305" s="2" t="inlineStr"/>
    </row>
    <row r="306" ht="15" customHeight="1">
      <c r="A306" t="inlineStr">
        <is>
          <t>A 39731-2021</t>
        </is>
      </c>
      <c r="B306" s="1" t="n">
        <v>44414</v>
      </c>
      <c r="C306" s="1" t="n">
        <v>45794</v>
      </c>
      <c r="D306" t="inlineStr">
        <is>
          <t>DALARNAS LÄN</t>
        </is>
      </c>
      <c r="E306" t="inlineStr">
        <is>
          <t>SMEDJEBACKEN</t>
        </is>
      </c>
      <c r="G306" t="n">
        <v>3.2</v>
      </c>
      <c r="H306" t="n">
        <v>0</v>
      </c>
      <c r="I306" t="n">
        <v>0</v>
      </c>
      <c r="J306" t="n">
        <v>0</v>
      </c>
      <c r="K306" t="n">
        <v>0</v>
      </c>
      <c r="L306" t="n">
        <v>0</v>
      </c>
      <c r="M306" t="n">
        <v>0</v>
      </c>
      <c r="N306" t="n">
        <v>0</v>
      </c>
      <c r="O306" t="n">
        <v>0</v>
      </c>
      <c r="P306" t="n">
        <v>0</v>
      </c>
      <c r="Q306" t="n">
        <v>0</v>
      </c>
      <c r="R306" s="2" t="inlineStr"/>
    </row>
    <row r="307" ht="15" customHeight="1">
      <c r="A307" t="inlineStr">
        <is>
          <t>A 39719-2021</t>
        </is>
      </c>
      <c r="B307" s="1" t="n">
        <v>44414</v>
      </c>
      <c r="C307" s="1" t="n">
        <v>45794</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39734-2021</t>
        </is>
      </c>
      <c r="B308" s="1" t="n">
        <v>44414</v>
      </c>
      <c r="C308" s="1" t="n">
        <v>45794</v>
      </c>
      <c r="D308" t="inlineStr">
        <is>
          <t>DALARNAS LÄN</t>
        </is>
      </c>
      <c r="E308" t="inlineStr">
        <is>
          <t>SMEDJEBACKEN</t>
        </is>
      </c>
      <c r="G308" t="n">
        <v>4.4</v>
      </c>
      <c r="H308" t="n">
        <v>0</v>
      </c>
      <c r="I308" t="n">
        <v>0</v>
      </c>
      <c r="J308" t="n">
        <v>0</v>
      </c>
      <c r="K308" t="n">
        <v>0</v>
      </c>
      <c r="L308" t="n">
        <v>0</v>
      </c>
      <c r="M308" t="n">
        <v>0</v>
      </c>
      <c r="N308" t="n">
        <v>0</v>
      </c>
      <c r="O308" t="n">
        <v>0</v>
      </c>
      <c r="P308" t="n">
        <v>0</v>
      </c>
      <c r="Q308" t="n">
        <v>0</v>
      </c>
      <c r="R308" s="2" t="inlineStr"/>
    </row>
    <row r="309" ht="15" customHeight="1">
      <c r="A309" t="inlineStr">
        <is>
          <t>A 39726-2021</t>
        </is>
      </c>
      <c r="B309" s="1" t="n">
        <v>44414</v>
      </c>
      <c r="C309" s="1" t="n">
        <v>45794</v>
      </c>
      <c r="D309" t="inlineStr">
        <is>
          <t>DALARNAS LÄN</t>
        </is>
      </c>
      <c r="E309" t="inlineStr">
        <is>
          <t>SMEDJEBACKEN</t>
        </is>
      </c>
      <c r="G309" t="n">
        <v>10.6</v>
      </c>
      <c r="H309" t="n">
        <v>0</v>
      </c>
      <c r="I309" t="n">
        <v>0</v>
      </c>
      <c r="J309" t="n">
        <v>0</v>
      </c>
      <c r="K309" t="n">
        <v>0</v>
      </c>
      <c r="L309" t="n">
        <v>0</v>
      </c>
      <c r="M309" t="n">
        <v>0</v>
      </c>
      <c r="N309" t="n">
        <v>0</v>
      </c>
      <c r="O309" t="n">
        <v>0</v>
      </c>
      <c r="P309" t="n">
        <v>0</v>
      </c>
      <c r="Q309" t="n">
        <v>0</v>
      </c>
      <c r="R309" s="2" t="inlineStr"/>
    </row>
    <row r="310" ht="15" customHeight="1">
      <c r="A310" t="inlineStr">
        <is>
          <t>A 39535-2021</t>
        </is>
      </c>
      <c r="B310" s="1" t="n">
        <v>44416</v>
      </c>
      <c r="C310" s="1" t="n">
        <v>45794</v>
      </c>
      <c r="D310" t="inlineStr">
        <is>
          <t>DALARNAS LÄN</t>
        </is>
      </c>
      <c r="E310" t="inlineStr">
        <is>
          <t>SMEDJEBACKEN</t>
        </is>
      </c>
      <c r="G310" t="n">
        <v>2.6</v>
      </c>
      <c r="H310" t="n">
        <v>0</v>
      </c>
      <c r="I310" t="n">
        <v>0</v>
      </c>
      <c r="J310" t="n">
        <v>0</v>
      </c>
      <c r="K310" t="n">
        <v>0</v>
      </c>
      <c r="L310" t="n">
        <v>0</v>
      </c>
      <c r="M310" t="n">
        <v>0</v>
      </c>
      <c r="N310" t="n">
        <v>0</v>
      </c>
      <c r="O310" t="n">
        <v>0</v>
      </c>
      <c r="P310" t="n">
        <v>0</v>
      </c>
      <c r="Q310" t="n">
        <v>0</v>
      </c>
      <c r="R310" s="2" t="inlineStr"/>
    </row>
    <row r="311" ht="15" customHeight="1">
      <c r="A311" t="inlineStr">
        <is>
          <t>A 39536-2021</t>
        </is>
      </c>
      <c r="B311" s="1" t="n">
        <v>44416</v>
      </c>
      <c r="C311" s="1" t="n">
        <v>45794</v>
      </c>
      <c r="D311" t="inlineStr">
        <is>
          <t>DALARNAS LÄN</t>
        </is>
      </c>
      <c r="E311" t="inlineStr">
        <is>
          <t>SMEDJEBACKEN</t>
        </is>
      </c>
      <c r="G311" t="n">
        <v>5.1</v>
      </c>
      <c r="H311" t="n">
        <v>0</v>
      </c>
      <c r="I311" t="n">
        <v>0</v>
      </c>
      <c r="J311" t="n">
        <v>0</v>
      </c>
      <c r="K311" t="n">
        <v>0</v>
      </c>
      <c r="L311" t="n">
        <v>0</v>
      </c>
      <c r="M311" t="n">
        <v>0</v>
      </c>
      <c r="N311" t="n">
        <v>0</v>
      </c>
      <c r="O311" t="n">
        <v>0</v>
      </c>
      <c r="P311" t="n">
        <v>0</v>
      </c>
      <c r="Q311" t="n">
        <v>0</v>
      </c>
      <c r="R311" s="2" t="inlineStr"/>
    </row>
    <row r="312" ht="15" customHeight="1">
      <c r="A312" t="inlineStr">
        <is>
          <t>A 39599-2021</t>
        </is>
      </c>
      <c r="B312" s="1" t="n">
        <v>44417</v>
      </c>
      <c r="C312" s="1" t="n">
        <v>45794</v>
      </c>
      <c r="D312" t="inlineStr">
        <is>
          <t>DALARNAS LÄN</t>
        </is>
      </c>
      <c r="E312" t="inlineStr">
        <is>
          <t>SMEDJEBACKEN</t>
        </is>
      </c>
      <c r="G312" t="n">
        <v>2.4</v>
      </c>
      <c r="H312" t="n">
        <v>0</v>
      </c>
      <c r="I312" t="n">
        <v>0</v>
      </c>
      <c r="J312" t="n">
        <v>0</v>
      </c>
      <c r="K312" t="n">
        <v>0</v>
      </c>
      <c r="L312" t="n">
        <v>0</v>
      </c>
      <c r="M312" t="n">
        <v>0</v>
      </c>
      <c r="N312" t="n">
        <v>0</v>
      </c>
      <c r="O312" t="n">
        <v>0</v>
      </c>
      <c r="P312" t="n">
        <v>0</v>
      </c>
      <c r="Q312" t="n">
        <v>0</v>
      </c>
      <c r="R312" s="2" t="inlineStr"/>
    </row>
    <row r="313" ht="15" customHeight="1">
      <c r="A313" t="inlineStr">
        <is>
          <t>A 39604-2021</t>
        </is>
      </c>
      <c r="B313" s="1" t="n">
        <v>44417</v>
      </c>
      <c r="C313" s="1" t="n">
        <v>45794</v>
      </c>
      <c r="D313" t="inlineStr">
        <is>
          <t>DALARNAS LÄN</t>
        </is>
      </c>
      <c r="E313" t="inlineStr">
        <is>
          <t>SMEDJEBACKEN</t>
        </is>
      </c>
      <c r="G313" t="n">
        <v>1.6</v>
      </c>
      <c r="H313" t="n">
        <v>0</v>
      </c>
      <c r="I313" t="n">
        <v>0</v>
      </c>
      <c r="J313" t="n">
        <v>0</v>
      </c>
      <c r="K313" t="n">
        <v>0</v>
      </c>
      <c r="L313" t="n">
        <v>0</v>
      </c>
      <c r="M313" t="n">
        <v>0</v>
      </c>
      <c r="N313" t="n">
        <v>0</v>
      </c>
      <c r="O313" t="n">
        <v>0</v>
      </c>
      <c r="P313" t="n">
        <v>0</v>
      </c>
      <c r="Q313" t="n">
        <v>0</v>
      </c>
      <c r="R313" s="2" t="inlineStr"/>
    </row>
    <row r="314" ht="15" customHeight="1">
      <c r="A314" t="inlineStr">
        <is>
          <t>A 39816-2021</t>
        </is>
      </c>
      <c r="B314" s="1" t="n">
        <v>44417</v>
      </c>
      <c r="C314" s="1" t="n">
        <v>45794</v>
      </c>
      <c r="D314" t="inlineStr">
        <is>
          <t>DALARNAS LÄN</t>
        </is>
      </c>
      <c r="E314" t="inlineStr">
        <is>
          <t>SMEDJEBACKEN</t>
        </is>
      </c>
      <c r="G314" t="n">
        <v>3.1</v>
      </c>
      <c r="H314" t="n">
        <v>0</v>
      </c>
      <c r="I314" t="n">
        <v>0</v>
      </c>
      <c r="J314" t="n">
        <v>0</v>
      </c>
      <c r="K314" t="n">
        <v>0</v>
      </c>
      <c r="L314" t="n">
        <v>0</v>
      </c>
      <c r="M314" t="n">
        <v>0</v>
      </c>
      <c r="N314" t="n">
        <v>0</v>
      </c>
      <c r="O314" t="n">
        <v>0</v>
      </c>
      <c r="P314" t="n">
        <v>0</v>
      </c>
      <c r="Q314" t="n">
        <v>0</v>
      </c>
      <c r="R314" s="2" t="inlineStr"/>
    </row>
    <row r="315" ht="15" customHeight="1">
      <c r="A315" t="inlineStr">
        <is>
          <t>A 40561-2021</t>
        </is>
      </c>
      <c r="B315" s="1" t="n">
        <v>44420</v>
      </c>
      <c r="C315" s="1" t="n">
        <v>45794</v>
      </c>
      <c r="D315" t="inlineStr">
        <is>
          <t>DALARNAS LÄN</t>
        </is>
      </c>
      <c r="E315" t="inlineStr">
        <is>
          <t>SMEDJEBACKEN</t>
        </is>
      </c>
      <c r="G315" t="n">
        <v>0.5</v>
      </c>
      <c r="H315" t="n">
        <v>0</v>
      </c>
      <c r="I315" t="n">
        <v>0</v>
      </c>
      <c r="J315" t="n">
        <v>0</v>
      </c>
      <c r="K315" t="n">
        <v>0</v>
      </c>
      <c r="L315" t="n">
        <v>0</v>
      </c>
      <c r="M315" t="n">
        <v>0</v>
      </c>
      <c r="N315" t="n">
        <v>0</v>
      </c>
      <c r="O315" t="n">
        <v>0</v>
      </c>
      <c r="P315" t="n">
        <v>0</v>
      </c>
      <c r="Q315" t="n">
        <v>0</v>
      </c>
      <c r="R315" s="2" t="inlineStr"/>
    </row>
    <row r="316" ht="15" customHeight="1">
      <c r="A316" t="inlineStr">
        <is>
          <t>A 40768-2021</t>
        </is>
      </c>
      <c r="B316" s="1" t="n">
        <v>44420</v>
      </c>
      <c r="C316" s="1" t="n">
        <v>45794</v>
      </c>
      <c r="D316" t="inlineStr">
        <is>
          <t>DALARNAS LÄN</t>
        </is>
      </c>
      <c r="E316" t="inlineStr">
        <is>
          <t>SMEDJEBACKEN</t>
        </is>
      </c>
      <c r="G316" t="n">
        <v>0.8</v>
      </c>
      <c r="H316" t="n">
        <v>0</v>
      </c>
      <c r="I316" t="n">
        <v>0</v>
      </c>
      <c r="J316" t="n">
        <v>0</v>
      </c>
      <c r="K316" t="n">
        <v>0</v>
      </c>
      <c r="L316" t="n">
        <v>0</v>
      </c>
      <c r="M316" t="n">
        <v>0</v>
      </c>
      <c r="N316" t="n">
        <v>0</v>
      </c>
      <c r="O316" t="n">
        <v>0</v>
      </c>
      <c r="P316" t="n">
        <v>0</v>
      </c>
      <c r="Q316" t="n">
        <v>0</v>
      </c>
      <c r="R316" s="2" t="inlineStr"/>
    </row>
    <row r="317" ht="15" customHeight="1">
      <c r="A317" t="inlineStr">
        <is>
          <t>A 41303-2021</t>
        </is>
      </c>
      <c r="B317" s="1" t="n">
        <v>44424</v>
      </c>
      <c r="C317" s="1" t="n">
        <v>45794</v>
      </c>
      <c r="D317" t="inlineStr">
        <is>
          <t>DALARNAS LÄN</t>
        </is>
      </c>
      <c r="E317" t="inlineStr">
        <is>
          <t>SMEDJEBACKEN</t>
        </is>
      </c>
      <c r="G317" t="n">
        <v>3.7</v>
      </c>
      <c r="H317" t="n">
        <v>0</v>
      </c>
      <c r="I317" t="n">
        <v>0</v>
      </c>
      <c r="J317" t="n">
        <v>0</v>
      </c>
      <c r="K317" t="n">
        <v>0</v>
      </c>
      <c r="L317" t="n">
        <v>0</v>
      </c>
      <c r="M317" t="n">
        <v>0</v>
      </c>
      <c r="N317" t="n">
        <v>0</v>
      </c>
      <c r="O317" t="n">
        <v>0</v>
      </c>
      <c r="P317" t="n">
        <v>0</v>
      </c>
      <c r="Q317" t="n">
        <v>0</v>
      </c>
      <c r="R317" s="2" t="inlineStr"/>
    </row>
    <row r="318" ht="15" customHeight="1">
      <c r="A318" t="inlineStr">
        <is>
          <t>A 42290-2021</t>
        </is>
      </c>
      <c r="B318" s="1" t="n">
        <v>44426</v>
      </c>
      <c r="C318" s="1" t="n">
        <v>45794</v>
      </c>
      <c r="D318" t="inlineStr">
        <is>
          <t>DALARNAS LÄN</t>
        </is>
      </c>
      <c r="E318" t="inlineStr">
        <is>
          <t>SMEDJEBACKEN</t>
        </is>
      </c>
      <c r="F318" t="inlineStr">
        <is>
          <t>Bergvik skog väst AB</t>
        </is>
      </c>
      <c r="G318" t="n">
        <v>5.5</v>
      </c>
      <c r="H318" t="n">
        <v>0</v>
      </c>
      <c r="I318" t="n">
        <v>0</v>
      </c>
      <c r="J318" t="n">
        <v>0</v>
      </c>
      <c r="K318" t="n">
        <v>0</v>
      </c>
      <c r="L318" t="n">
        <v>0</v>
      </c>
      <c r="M318" t="n">
        <v>0</v>
      </c>
      <c r="N318" t="n">
        <v>0</v>
      </c>
      <c r="O318" t="n">
        <v>0</v>
      </c>
      <c r="P318" t="n">
        <v>0</v>
      </c>
      <c r="Q318" t="n">
        <v>0</v>
      </c>
      <c r="R318" s="2" t="inlineStr"/>
    </row>
    <row r="319" ht="15" customHeight="1">
      <c r="A319" t="inlineStr">
        <is>
          <t>A 42418-2021</t>
        </is>
      </c>
      <c r="B319" s="1" t="n">
        <v>44427</v>
      </c>
      <c r="C319" s="1" t="n">
        <v>45794</v>
      </c>
      <c r="D319" t="inlineStr">
        <is>
          <t>DALARNAS LÄN</t>
        </is>
      </c>
      <c r="E319" t="inlineStr">
        <is>
          <t>SMEDJEBACKEN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43137-2021</t>
        </is>
      </c>
      <c r="B320" s="1" t="n">
        <v>44431</v>
      </c>
      <c r="C320" s="1" t="n">
        <v>45794</v>
      </c>
      <c r="D320" t="inlineStr">
        <is>
          <t>DALARNAS LÄN</t>
        </is>
      </c>
      <c r="E320" t="inlineStr">
        <is>
          <t>SMEDJEBACKEN</t>
        </is>
      </c>
      <c r="G320" t="n">
        <v>0.9</v>
      </c>
      <c r="H320" t="n">
        <v>0</v>
      </c>
      <c r="I320" t="n">
        <v>0</v>
      </c>
      <c r="J320" t="n">
        <v>0</v>
      </c>
      <c r="K320" t="n">
        <v>0</v>
      </c>
      <c r="L320" t="n">
        <v>0</v>
      </c>
      <c r="M320" t="n">
        <v>0</v>
      </c>
      <c r="N320" t="n">
        <v>0</v>
      </c>
      <c r="O320" t="n">
        <v>0</v>
      </c>
      <c r="P320" t="n">
        <v>0</v>
      </c>
      <c r="Q320" t="n">
        <v>0</v>
      </c>
      <c r="R320" s="2" t="inlineStr"/>
    </row>
    <row r="321" ht="15" customHeight="1">
      <c r="A321" t="inlineStr">
        <is>
          <t>A 43135-2021</t>
        </is>
      </c>
      <c r="B321" s="1" t="n">
        <v>44431</v>
      </c>
      <c r="C321" s="1" t="n">
        <v>45794</v>
      </c>
      <c r="D321" t="inlineStr">
        <is>
          <t>DALARNAS LÄN</t>
        </is>
      </c>
      <c r="E321" t="inlineStr">
        <is>
          <t>SMEDJEBACKEN</t>
        </is>
      </c>
      <c r="G321" t="n">
        <v>1.3</v>
      </c>
      <c r="H321" t="n">
        <v>0</v>
      </c>
      <c r="I321" t="n">
        <v>0</v>
      </c>
      <c r="J321" t="n">
        <v>0</v>
      </c>
      <c r="K321" t="n">
        <v>0</v>
      </c>
      <c r="L321" t="n">
        <v>0</v>
      </c>
      <c r="M321" t="n">
        <v>0</v>
      </c>
      <c r="N321" t="n">
        <v>0</v>
      </c>
      <c r="O321" t="n">
        <v>0</v>
      </c>
      <c r="P321" t="n">
        <v>0</v>
      </c>
      <c r="Q321" t="n">
        <v>0</v>
      </c>
      <c r="R321" s="2" t="inlineStr"/>
    </row>
    <row r="322" ht="15" customHeight="1">
      <c r="A322" t="inlineStr">
        <is>
          <t>A 43375-2021</t>
        </is>
      </c>
      <c r="B322" s="1" t="n">
        <v>44432</v>
      </c>
      <c r="C322" s="1" t="n">
        <v>45794</v>
      </c>
      <c r="D322" t="inlineStr">
        <is>
          <t>DALARNAS LÄN</t>
        </is>
      </c>
      <c r="E322" t="inlineStr">
        <is>
          <t>SMEDJEBACKEN</t>
        </is>
      </c>
      <c r="G322" t="n">
        <v>1.9</v>
      </c>
      <c r="H322" t="n">
        <v>0</v>
      </c>
      <c r="I322" t="n">
        <v>0</v>
      </c>
      <c r="J322" t="n">
        <v>0</v>
      </c>
      <c r="K322" t="n">
        <v>0</v>
      </c>
      <c r="L322" t="n">
        <v>0</v>
      </c>
      <c r="M322" t="n">
        <v>0</v>
      </c>
      <c r="N322" t="n">
        <v>0</v>
      </c>
      <c r="O322" t="n">
        <v>0</v>
      </c>
      <c r="P322" t="n">
        <v>0</v>
      </c>
      <c r="Q322" t="n">
        <v>0</v>
      </c>
      <c r="R322" s="2" t="inlineStr"/>
    </row>
    <row r="323" ht="15" customHeight="1">
      <c r="A323" t="inlineStr">
        <is>
          <t>A 44126-2021</t>
        </is>
      </c>
      <c r="B323" s="1" t="n">
        <v>44434</v>
      </c>
      <c r="C323" s="1" t="n">
        <v>45794</v>
      </c>
      <c r="D323" t="inlineStr">
        <is>
          <t>DALARNAS LÄN</t>
        </is>
      </c>
      <c r="E323" t="inlineStr">
        <is>
          <t>SMEDJEBACKEN</t>
        </is>
      </c>
      <c r="G323" t="n">
        <v>0.3</v>
      </c>
      <c r="H323" t="n">
        <v>0</v>
      </c>
      <c r="I323" t="n">
        <v>0</v>
      </c>
      <c r="J323" t="n">
        <v>0</v>
      </c>
      <c r="K323" t="n">
        <v>0</v>
      </c>
      <c r="L323" t="n">
        <v>0</v>
      </c>
      <c r="M323" t="n">
        <v>0</v>
      </c>
      <c r="N323" t="n">
        <v>0</v>
      </c>
      <c r="O323" t="n">
        <v>0</v>
      </c>
      <c r="P323" t="n">
        <v>0</v>
      </c>
      <c r="Q323" t="n">
        <v>0</v>
      </c>
      <c r="R323" s="2" t="inlineStr"/>
    </row>
    <row r="324" ht="15" customHeight="1">
      <c r="A324" t="inlineStr">
        <is>
          <t>A 44117-2021</t>
        </is>
      </c>
      <c r="B324" s="1" t="n">
        <v>44434</v>
      </c>
      <c r="C324" s="1" t="n">
        <v>45794</v>
      </c>
      <c r="D324" t="inlineStr">
        <is>
          <t>DALARNAS LÄN</t>
        </is>
      </c>
      <c r="E324" t="inlineStr">
        <is>
          <t>SMEDJEBACKEN</t>
        </is>
      </c>
      <c r="G324" t="n">
        <v>1.2</v>
      </c>
      <c r="H324" t="n">
        <v>0</v>
      </c>
      <c r="I324" t="n">
        <v>0</v>
      </c>
      <c r="J324" t="n">
        <v>0</v>
      </c>
      <c r="K324" t="n">
        <v>0</v>
      </c>
      <c r="L324" t="n">
        <v>0</v>
      </c>
      <c r="M324" t="n">
        <v>0</v>
      </c>
      <c r="N324" t="n">
        <v>0</v>
      </c>
      <c r="O324" t="n">
        <v>0</v>
      </c>
      <c r="P324" t="n">
        <v>0</v>
      </c>
      <c r="Q324" t="n">
        <v>0</v>
      </c>
      <c r="R324" s="2" t="inlineStr"/>
    </row>
    <row r="325" ht="15" customHeight="1">
      <c r="A325" t="inlineStr">
        <is>
          <t>A 44250-2021</t>
        </is>
      </c>
      <c r="B325" s="1" t="n">
        <v>44434</v>
      </c>
      <c r="C325" s="1" t="n">
        <v>45794</v>
      </c>
      <c r="D325" t="inlineStr">
        <is>
          <t>DALARNAS LÄN</t>
        </is>
      </c>
      <c r="E325" t="inlineStr">
        <is>
          <t>SMEDJEBACKEN</t>
        </is>
      </c>
      <c r="G325" t="n">
        <v>0.6</v>
      </c>
      <c r="H325" t="n">
        <v>0</v>
      </c>
      <c r="I325" t="n">
        <v>0</v>
      </c>
      <c r="J325" t="n">
        <v>0</v>
      </c>
      <c r="K325" t="n">
        <v>0</v>
      </c>
      <c r="L325" t="n">
        <v>0</v>
      </c>
      <c r="M325" t="n">
        <v>0</v>
      </c>
      <c r="N325" t="n">
        <v>0</v>
      </c>
      <c r="O325" t="n">
        <v>0</v>
      </c>
      <c r="P325" t="n">
        <v>0</v>
      </c>
      <c r="Q325" t="n">
        <v>0</v>
      </c>
      <c r="R325" s="2" t="inlineStr"/>
    </row>
    <row r="326" ht="15" customHeight="1">
      <c r="A326" t="inlineStr">
        <is>
          <t>A 44141-2021</t>
        </is>
      </c>
      <c r="B326" s="1" t="n">
        <v>44434</v>
      </c>
      <c r="C326" s="1" t="n">
        <v>45794</v>
      </c>
      <c r="D326" t="inlineStr">
        <is>
          <t>DALARNAS LÄN</t>
        </is>
      </c>
      <c r="E326" t="inlineStr">
        <is>
          <t>SMEDJEBACKEN</t>
        </is>
      </c>
      <c r="G326" t="n">
        <v>0.7</v>
      </c>
      <c r="H326" t="n">
        <v>0</v>
      </c>
      <c r="I326" t="n">
        <v>0</v>
      </c>
      <c r="J326" t="n">
        <v>0</v>
      </c>
      <c r="K326" t="n">
        <v>0</v>
      </c>
      <c r="L326" t="n">
        <v>0</v>
      </c>
      <c r="M326" t="n">
        <v>0</v>
      </c>
      <c r="N326" t="n">
        <v>0</v>
      </c>
      <c r="O326" t="n">
        <v>0</v>
      </c>
      <c r="P326" t="n">
        <v>0</v>
      </c>
      <c r="Q326" t="n">
        <v>0</v>
      </c>
      <c r="R326" s="2" t="inlineStr"/>
    </row>
    <row r="327" ht="15" customHeight="1">
      <c r="A327" t="inlineStr">
        <is>
          <t>A 44249-2021</t>
        </is>
      </c>
      <c r="B327" s="1" t="n">
        <v>44434</v>
      </c>
      <c r="C327" s="1" t="n">
        <v>45794</v>
      </c>
      <c r="D327" t="inlineStr">
        <is>
          <t>DALARNAS LÄN</t>
        </is>
      </c>
      <c r="E327" t="inlineStr">
        <is>
          <t>SMEDJEBACKEN</t>
        </is>
      </c>
      <c r="G327" t="n">
        <v>0.9</v>
      </c>
      <c r="H327" t="n">
        <v>0</v>
      </c>
      <c r="I327" t="n">
        <v>0</v>
      </c>
      <c r="J327" t="n">
        <v>0</v>
      </c>
      <c r="K327" t="n">
        <v>0</v>
      </c>
      <c r="L327" t="n">
        <v>0</v>
      </c>
      <c r="M327" t="n">
        <v>0</v>
      </c>
      <c r="N327" t="n">
        <v>0</v>
      </c>
      <c r="O327" t="n">
        <v>0</v>
      </c>
      <c r="P327" t="n">
        <v>0</v>
      </c>
      <c r="Q327" t="n">
        <v>0</v>
      </c>
      <c r="R327" s="2" t="inlineStr"/>
    </row>
    <row r="328" ht="15" customHeight="1">
      <c r="A328" t="inlineStr">
        <is>
          <t>A 45382-2021</t>
        </is>
      </c>
      <c r="B328" s="1" t="n">
        <v>44440</v>
      </c>
      <c r="C328" s="1" t="n">
        <v>45794</v>
      </c>
      <c r="D328" t="inlineStr">
        <is>
          <t>DALARNAS LÄN</t>
        </is>
      </c>
      <c r="E328" t="inlineStr">
        <is>
          <t>SMEDJEBACKEN</t>
        </is>
      </c>
      <c r="F328" t="inlineStr">
        <is>
          <t>Kyrkan</t>
        </is>
      </c>
      <c r="G328" t="n">
        <v>1.1</v>
      </c>
      <c r="H328" t="n">
        <v>0</v>
      </c>
      <c r="I328" t="n">
        <v>0</v>
      </c>
      <c r="J328" t="n">
        <v>0</v>
      </c>
      <c r="K328" t="n">
        <v>0</v>
      </c>
      <c r="L328" t="n">
        <v>0</v>
      </c>
      <c r="M328" t="n">
        <v>0</v>
      </c>
      <c r="N328" t="n">
        <v>0</v>
      </c>
      <c r="O328" t="n">
        <v>0</v>
      </c>
      <c r="P328" t="n">
        <v>0</v>
      </c>
      <c r="Q328" t="n">
        <v>0</v>
      </c>
      <c r="R328" s="2" t="inlineStr"/>
    </row>
    <row r="329" ht="15" customHeight="1">
      <c r="A329" t="inlineStr">
        <is>
          <t>A 45933-2021</t>
        </is>
      </c>
      <c r="B329" s="1" t="n">
        <v>44441</v>
      </c>
      <c r="C329" s="1" t="n">
        <v>45794</v>
      </c>
      <c r="D329" t="inlineStr">
        <is>
          <t>DALARNAS LÄN</t>
        </is>
      </c>
      <c r="E329" t="inlineStr">
        <is>
          <t>SMEDJEBACKEN</t>
        </is>
      </c>
      <c r="G329" t="n">
        <v>3.6</v>
      </c>
      <c r="H329" t="n">
        <v>0</v>
      </c>
      <c r="I329" t="n">
        <v>0</v>
      </c>
      <c r="J329" t="n">
        <v>0</v>
      </c>
      <c r="K329" t="n">
        <v>0</v>
      </c>
      <c r="L329" t="n">
        <v>0</v>
      </c>
      <c r="M329" t="n">
        <v>0</v>
      </c>
      <c r="N329" t="n">
        <v>0</v>
      </c>
      <c r="O329" t="n">
        <v>0</v>
      </c>
      <c r="P329" t="n">
        <v>0</v>
      </c>
      <c r="Q329" t="n">
        <v>0</v>
      </c>
      <c r="R329" s="2" t="inlineStr"/>
    </row>
    <row r="330" ht="15" customHeight="1">
      <c r="A330" t="inlineStr">
        <is>
          <t>A 46130-2021</t>
        </is>
      </c>
      <c r="B330" s="1" t="n">
        <v>44442</v>
      </c>
      <c r="C330" s="1" t="n">
        <v>45794</v>
      </c>
      <c r="D330" t="inlineStr">
        <is>
          <t>DALARNAS LÄN</t>
        </is>
      </c>
      <c r="E330" t="inlineStr">
        <is>
          <t>SMEDJEBACKEN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46138-2021</t>
        </is>
      </c>
      <c r="B331" s="1" t="n">
        <v>44442</v>
      </c>
      <c r="C331" s="1" t="n">
        <v>45794</v>
      </c>
      <c r="D331" t="inlineStr">
        <is>
          <t>DALARNAS LÄN</t>
        </is>
      </c>
      <c r="E331" t="inlineStr">
        <is>
          <t>SMEDJEBACKEN</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46185-2021</t>
        </is>
      </c>
      <c r="B332" s="1" t="n">
        <v>44442</v>
      </c>
      <c r="C332" s="1" t="n">
        <v>45794</v>
      </c>
      <c r="D332" t="inlineStr">
        <is>
          <t>DALARNAS LÄN</t>
        </is>
      </c>
      <c r="E332" t="inlineStr">
        <is>
          <t>SMEDJEBACKEN</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46125-2021</t>
        </is>
      </c>
      <c r="B333" s="1" t="n">
        <v>44442</v>
      </c>
      <c r="C333" s="1" t="n">
        <v>45794</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46137-2021</t>
        </is>
      </c>
      <c r="B334" s="1" t="n">
        <v>44442</v>
      </c>
      <c r="C334" s="1" t="n">
        <v>45794</v>
      </c>
      <c r="D334" t="inlineStr">
        <is>
          <t>DALARNAS LÄN</t>
        </is>
      </c>
      <c r="E334" t="inlineStr">
        <is>
          <t>SMEDJEBACKEN</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46184-2021</t>
        </is>
      </c>
      <c r="B335" s="1" t="n">
        <v>44442</v>
      </c>
      <c r="C335" s="1" t="n">
        <v>45794</v>
      </c>
      <c r="D335" t="inlineStr">
        <is>
          <t>DALARNAS LÄN</t>
        </is>
      </c>
      <c r="E335" t="inlineStr">
        <is>
          <t>SMEDJEBACKEN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46116-2021</t>
        </is>
      </c>
      <c r="B336" s="1" t="n">
        <v>44442</v>
      </c>
      <c r="C336" s="1" t="n">
        <v>45794</v>
      </c>
      <c r="D336" t="inlineStr">
        <is>
          <t>DALARNAS LÄN</t>
        </is>
      </c>
      <c r="E336" t="inlineStr">
        <is>
          <t>SMEDJEBACKEN</t>
        </is>
      </c>
      <c r="F336" t="inlineStr">
        <is>
          <t>Sveaskog</t>
        </is>
      </c>
      <c r="G336" t="n">
        <v>11.3</v>
      </c>
      <c r="H336" t="n">
        <v>0</v>
      </c>
      <c r="I336" t="n">
        <v>0</v>
      </c>
      <c r="J336" t="n">
        <v>0</v>
      </c>
      <c r="K336" t="n">
        <v>0</v>
      </c>
      <c r="L336" t="n">
        <v>0</v>
      </c>
      <c r="M336" t="n">
        <v>0</v>
      </c>
      <c r="N336" t="n">
        <v>0</v>
      </c>
      <c r="O336" t="n">
        <v>0</v>
      </c>
      <c r="P336" t="n">
        <v>0</v>
      </c>
      <c r="Q336" t="n">
        <v>0</v>
      </c>
      <c r="R336" s="2" t="inlineStr"/>
    </row>
    <row r="337" ht="15" customHeight="1">
      <c r="A337" t="inlineStr">
        <is>
          <t>A 46132-2021</t>
        </is>
      </c>
      <c r="B337" s="1" t="n">
        <v>44442</v>
      </c>
      <c r="C337" s="1" t="n">
        <v>45794</v>
      </c>
      <c r="D337" t="inlineStr">
        <is>
          <t>DALARNAS LÄN</t>
        </is>
      </c>
      <c r="E337" t="inlineStr">
        <is>
          <t>SMEDJEBACKEN</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46144-2021</t>
        </is>
      </c>
      <c r="B338" s="1" t="n">
        <v>44442</v>
      </c>
      <c r="C338" s="1" t="n">
        <v>45794</v>
      </c>
      <c r="D338" t="inlineStr">
        <is>
          <t>DALARNAS LÄN</t>
        </is>
      </c>
      <c r="E338" t="inlineStr">
        <is>
          <t>SMEDJEBACKEN</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46531-2021</t>
        </is>
      </c>
      <c r="B339" s="1" t="n">
        <v>44445</v>
      </c>
      <c r="C339" s="1" t="n">
        <v>45794</v>
      </c>
      <c r="D339" t="inlineStr">
        <is>
          <t>DALARNAS LÄN</t>
        </is>
      </c>
      <c r="E339" t="inlineStr">
        <is>
          <t>SMEDJEBACKEN</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48156-2021</t>
        </is>
      </c>
      <c r="B340" s="1" t="n">
        <v>44449</v>
      </c>
      <c r="C340" s="1" t="n">
        <v>45794</v>
      </c>
      <c r="D340" t="inlineStr">
        <is>
          <t>DALARNAS LÄN</t>
        </is>
      </c>
      <c r="E340" t="inlineStr">
        <is>
          <t>SMEDJEBACKEN</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48158-2021</t>
        </is>
      </c>
      <c r="B341" s="1" t="n">
        <v>44449</v>
      </c>
      <c r="C341" s="1" t="n">
        <v>45794</v>
      </c>
      <c r="D341" t="inlineStr">
        <is>
          <t>DALARNAS LÄN</t>
        </is>
      </c>
      <c r="E341" t="inlineStr">
        <is>
          <t>SMEDJEBACKEN</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49097-2021</t>
        </is>
      </c>
      <c r="B342" s="1" t="n">
        <v>44453</v>
      </c>
      <c r="C342" s="1" t="n">
        <v>45794</v>
      </c>
      <c r="D342" t="inlineStr">
        <is>
          <t>DALARNAS LÄN</t>
        </is>
      </c>
      <c r="E342" t="inlineStr">
        <is>
          <t>SMEDJEBACKEN</t>
        </is>
      </c>
      <c r="G342" t="n">
        <v>1.4</v>
      </c>
      <c r="H342" t="n">
        <v>0</v>
      </c>
      <c r="I342" t="n">
        <v>0</v>
      </c>
      <c r="J342" t="n">
        <v>0</v>
      </c>
      <c r="K342" t="n">
        <v>0</v>
      </c>
      <c r="L342" t="n">
        <v>0</v>
      </c>
      <c r="M342" t="n">
        <v>0</v>
      </c>
      <c r="N342" t="n">
        <v>0</v>
      </c>
      <c r="O342" t="n">
        <v>0</v>
      </c>
      <c r="P342" t="n">
        <v>0</v>
      </c>
      <c r="Q342" t="n">
        <v>0</v>
      </c>
      <c r="R342" s="2" t="inlineStr"/>
    </row>
    <row r="343" ht="15" customHeight="1">
      <c r="A343" t="inlineStr">
        <is>
          <t>A 49828-2021</t>
        </is>
      </c>
      <c r="B343" s="1" t="n">
        <v>44455</v>
      </c>
      <c r="C343" s="1" t="n">
        <v>45794</v>
      </c>
      <c r="D343" t="inlineStr">
        <is>
          <t>DALARNAS LÄN</t>
        </is>
      </c>
      <c r="E343" t="inlineStr">
        <is>
          <t>SMEDJEBACKEN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51422-2021</t>
        </is>
      </c>
      <c r="B344" s="1" t="n">
        <v>44461</v>
      </c>
      <c r="C344" s="1" t="n">
        <v>45794</v>
      </c>
      <c r="D344" t="inlineStr">
        <is>
          <t>DALARNAS LÄN</t>
        </is>
      </c>
      <c r="E344" t="inlineStr">
        <is>
          <t>SMEDJEBACKEN</t>
        </is>
      </c>
      <c r="G344" t="n">
        <v>4.3</v>
      </c>
      <c r="H344" t="n">
        <v>0</v>
      </c>
      <c r="I344" t="n">
        <v>0</v>
      </c>
      <c r="J344" t="n">
        <v>0</v>
      </c>
      <c r="K344" t="n">
        <v>0</v>
      </c>
      <c r="L344" t="n">
        <v>0</v>
      </c>
      <c r="M344" t="n">
        <v>0</v>
      </c>
      <c r="N344" t="n">
        <v>0</v>
      </c>
      <c r="O344" t="n">
        <v>0</v>
      </c>
      <c r="P344" t="n">
        <v>0</v>
      </c>
      <c r="Q344" t="n">
        <v>0</v>
      </c>
      <c r="R344" s="2" t="inlineStr"/>
    </row>
    <row r="345" ht="15" customHeight="1">
      <c r="A345" t="inlineStr">
        <is>
          <t>A 51731-2021</t>
        </is>
      </c>
      <c r="B345" s="1" t="n">
        <v>44462</v>
      </c>
      <c r="C345" s="1" t="n">
        <v>45794</v>
      </c>
      <c r="D345" t="inlineStr">
        <is>
          <t>DALARNAS LÄN</t>
        </is>
      </c>
      <c r="E345" t="inlineStr">
        <is>
          <t>SMEDJEBACKEN</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53013-2021</t>
        </is>
      </c>
      <c r="B346" s="1" t="n">
        <v>44466</v>
      </c>
      <c r="C346" s="1" t="n">
        <v>45794</v>
      </c>
      <c r="D346" t="inlineStr">
        <is>
          <t>DALARNAS LÄN</t>
        </is>
      </c>
      <c r="E346" t="inlineStr">
        <is>
          <t>SMEDJEBACKEN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52958-2021</t>
        </is>
      </c>
      <c r="B347" s="1" t="n">
        <v>44467</v>
      </c>
      <c r="C347" s="1" t="n">
        <v>45794</v>
      </c>
      <c r="D347" t="inlineStr">
        <is>
          <t>DALARNAS LÄN</t>
        </is>
      </c>
      <c r="E347" t="inlineStr">
        <is>
          <t>SMEDJEBACKEN</t>
        </is>
      </c>
      <c r="F347" t="inlineStr">
        <is>
          <t>Övriga Aktiebolag</t>
        </is>
      </c>
      <c r="G347" t="n">
        <v>2.5</v>
      </c>
      <c r="H347" t="n">
        <v>0</v>
      </c>
      <c r="I347" t="n">
        <v>0</v>
      </c>
      <c r="J347" t="n">
        <v>0</v>
      </c>
      <c r="K347" t="n">
        <v>0</v>
      </c>
      <c r="L347" t="n">
        <v>0</v>
      </c>
      <c r="M347" t="n">
        <v>0</v>
      </c>
      <c r="N347" t="n">
        <v>0</v>
      </c>
      <c r="O347" t="n">
        <v>0</v>
      </c>
      <c r="P347" t="n">
        <v>0</v>
      </c>
      <c r="Q347" t="n">
        <v>0</v>
      </c>
      <c r="R347" s="2" t="inlineStr"/>
    </row>
    <row r="348" ht="15" customHeight="1">
      <c r="A348" t="inlineStr">
        <is>
          <t>A 53583-2021</t>
        </is>
      </c>
      <c r="B348" s="1" t="n">
        <v>44469</v>
      </c>
      <c r="C348" s="1" t="n">
        <v>45794</v>
      </c>
      <c r="D348" t="inlineStr">
        <is>
          <t>DALARNAS LÄN</t>
        </is>
      </c>
      <c r="E348" t="inlineStr">
        <is>
          <t>SMEDJEBACKEN</t>
        </is>
      </c>
      <c r="G348" t="n">
        <v>1.1</v>
      </c>
      <c r="H348" t="n">
        <v>0</v>
      </c>
      <c r="I348" t="n">
        <v>0</v>
      </c>
      <c r="J348" t="n">
        <v>0</v>
      </c>
      <c r="K348" t="n">
        <v>0</v>
      </c>
      <c r="L348" t="n">
        <v>0</v>
      </c>
      <c r="M348" t="n">
        <v>0</v>
      </c>
      <c r="N348" t="n">
        <v>0</v>
      </c>
      <c r="O348" t="n">
        <v>0</v>
      </c>
      <c r="P348" t="n">
        <v>0</v>
      </c>
      <c r="Q348" t="n">
        <v>0</v>
      </c>
      <c r="R348" s="2" t="inlineStr"/>
    </row>
    <row r="349" ht="15" customHeight="1">
      <c r="A349" t="inlineStr">
        <is>
          <t>A 54382-2021</t>
        </is>
      </c>
      <c r="B349" s="1" t="n">
        <v>44473</v>
      </c>
      <c r="C349" s="1" t="n">
        <v>45794</v>
      </c>
      <c r="D349" t="inlineStr">
        <is>
          <t>DALARNAS LÄN</t>
        </is>
      </c>
      <c r="E349" t="inlineStr">
        <is>
          <t>SMEDJEBACKEN</t>
        </is>
      </c>
      <c r="G349" t="n">
        <v>0.5</v>
      </c>
      <c r="H349" t="n">
        <v>0</v>
      </c>
      <c r="I349" t="n">
        <v>0</v>
      </c>
      <c r="J349" t="n">
        <v>0</v>
      </c>
      <c r="K349" t="n">
        <v>0</v>
      </c>
      <c r="L349" t="n">
        <v>0</v>
      </c>
      <c r="M349" t="n">
        <v>0</v>
      </c>
      <c r="N349" t="n">
        <v>0</v>
      </c>
      <c r="O349" t="n">
        <v>0</v>
      </c>
      <c r="P349" t="n">
        <v>0</v>
      </c>
      <c r="Q349" t="n">
        <v>0</v>
      </c>
      <c r="R349" s="2" t="inlineStr"/>
    </row>
    <row r="350" ht="15" customHeight="1">
      <c r="A350" t="inlineStr">
        <is>
          <t>A 54971-2021</t>
        </is>
      </c>
      <c r="B350" s="1" t="n">
        <v>44474</v>
      </c>
      <c r="C350" s="1" t="n">
        <v>45794</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55466-2021</t>
        </is>
      </c>
      <c r="B351" s="1" t="n">
        <v>44475</v>
      </c>
      <c r="C351" s="1" t="n">
        <v>45794</v>
      </c>
      <c r="D351" t="inlineStr">
        <is>
          <t>DALARNAS LÄN</t>
        </is>
      </c>
      <c r="E351" t="inlineStr">
        <is>
          <t>SMEDJEBACKEN</t>
        </is>
      </c>
      <c r="G351" t="n">
        <v>2</v>
      </c>
      <c r="H351" t="n">
        <v>0</v>
      </c>
      <c r="I351" t="n">
        <v>0</v>
      </c>
      <c r="J351" t="n">
        <v>0</v>
      </c>
      <c r="K351" t="n">
        <v>0</v>
      </c>
      <c r="L351" t="n">
        <v>0</v>
      </c>
      <c r="M351" t="n">
        <v>0</v>
      </c>
      <c r="N351" t="n">
        <v>0</v>
      </c>
      <c r="O351" t="n">
        <v>0</v>
      </c>
      <c r="P351" t="n">
        <v>0</v>
      </c>
      <c r="Q351" t="n">
        <v>0</v>
      </c>
      <c r="R351" s="2" t="inlineStr"/>
    </row>
    <row r="352" ht="15" customHeight="1">
      <c r="A352" t="inlineStr">
        <is>
          <t>A 55362-2021</t>
        </is>
      </c>
      <c r="B352" s="1" t="n">
        <v>44475</v>
      </c>
      <c r="C352" s="1" t="n">
        <v>45794</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55626-2021</t>
        </is>
      </c>
      <c r="B353" s="1" t="n">
        <v>44475</v>
      </c>
      <c r="C353" s="1" t="n">
        <v>45794</v>
      </c>
      <c r="D353" t="inlineStr">
        <is>
          <t>DALARNAS LÄN</t>
        </is>
      </c>
      <c r="E353" t="inlineStr">
        <is>
          <t>SMEDJEBACKEN</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55619-2021</t>
        </is>
      </c>
      <c r="B354" s="1" t="n">
        <v>44475</v>
      </c>
      <c r="C354" s="1" t="n">
        <v>45794</v>
      </c>
      <c r="D354" t="inlineStr">
        <is>
          <t>DALARNAS LÄN</t>
        </is>
      </c>
      <c r="E354" t="inlineStr">
        <is>
          <t>SMEDJEBACKEN</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55650-2021</t>
        </is>
      </c>
      <c r="B355" s="1" t="n">
        <v>44475</v>
      </c>
      <c r="C355" s="1" t="n">
        <v>45794</v>
      </c>
      <c r="D355" t="inlineStr">
        <is>
          <t>DALARNAS LÄN</t>
        </is>
      </c>
      <c r="E355" t="inlineStr">
        <is>
          <t>SMEDJEBACKEN</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55851-2021</t>
        </is>
      </c>
      <c r="B356" s="1" t="n">
        <v>44476</v>
      </c>
      <c r="C356" s="1" t="n">
        <v>45794</v>
      </c>
      <c r="D356" t="inlineStr">
        <is>
          <t>DALARNAS LÄN</t>
        </is>
      </c>
      <c r="E356" t="inlineStr">
        <is>
          <t>SMEDJEBACKEN</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56012-2021</t>
        </is>
      </c>
      <c r="B357" s="1" t="n">
        <v>44477</v>
      </c>
      <c r="C357" s="1" t="n">
        <v>45794</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56305-2021</t>
        </is>
      </c>
      <c r="B358" s="1" t="n">
        <v>44477</v>
      </c>
      <c r="C358" s="1" t="n">
        <v>45794</v>
      </c>
      <c r="D358" t="inlineStr">
        <is>
          <t>DALARNAS LÄN</t>
        </is>
      </c>
      <c r="E358" t="inlineStr">
        <is>
          <t>SMEDJEBACKEN</t>
        </is>
      </c>
      <c r="F358" t="inlineStr">
        <is>
          <t>Bergvik skog väst AB</t>
        </is>
      </c>
      <c r="G358" t="n">
        <v>14.2</v>
      </c>
      <c r="H358" t="n">
        <v>0</v>
      </c>
      <c r="I358" t="n">
        <v>0</v>
      </c>
      <c r="J358" t="n">
        <v>0</v>
      </c>
      <c r="K358" t="n">
        <v>0</v>
      </c>
      <c r="L358" t="n">
        <v>0</v>
      </c>
      <c r="M358" t="n">
        <v>0</v>
      </c>
      <c r="N358" t="n">
        <v>0</v>
      </c>
      <c r="O358" t="n">
        <v>0</v>
      </c>
      <c r="P358" t="n">
        <v>0</v>
      </c>
      <c r="Q358" t="n">
        <v>0</v>
      </c>
      <c r="R358" s="2" t="inlineStr"/>
    </row>
    <row r="359" ht="15" customHeight="1">
      <c r="A359" t="inlineStr">
        <is>
          <t>A 57260-2021</t>
        </is>
      </c>
      <c r="B359" s="1" t="n">
        <v>44482</v>
      </c>
      <c r="C359" s="1" t="n">
        <v>45794</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45794</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45794</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45794</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45794</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45794</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45794</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45794</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45794</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45794</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45794</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45794</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45794</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45794</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45794</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45794</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45794</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45794</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45794</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45794</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45794</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45794</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45794</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45794</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45794</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45794</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45794</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45794</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45794</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45794</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45794</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45794</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45794</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45794</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45794</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45794</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45794</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45794</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45794</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45794</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45794</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45794</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45794</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45794</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45794</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45794</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45794</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45794</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45794</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45794</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45794</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45794</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45794</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45794</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45794</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45794</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45794</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45794</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45794</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45794</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45794</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45794</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45794</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45794</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45794</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45794</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45794</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45794</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45794</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45794</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45794</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45794</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45794</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45794</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45794</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45794</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25344-2022</t>
        </is>
      </c>
      <c r="B435" s="1" t="n">
        <v>44732</v>
      </c>
      <c r="C435" s="1" t="n">
        <v>45794</v>
      </c>
      <c r="D435" t="inlineStr">
        <is>
          <t>DALARNAS LÄN</t>
        </is>
      </c>
      <c r="E435" t="inlineStr">
        <is>
          <t>SMEDJEBACKEN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25788-2022</t>
        </is>
      </c>
      <c r="B436" s="1" t="n">
        <v>44733</v>
      </c>
      <c r="C436" s="1" t="n">
        <v>45794</v>
      </c>
      <c r="D436" t="inlineStr">
        <is>
          <t>DALARNAS LÄN</t>
        </is>
      </c>
      <c r="E436" t="inlineStr">
        <is>
          <t>SMEDJEBACKEN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26005-2022</t>
        </is>
      </c>
      <c r="B437" s="1" t="n">
        <v>44734</v>
      </c>
      <c r="C437" s="1" t="n">
        <v>45794</v>
      </c>
      <c r="D437" t="inlineStr">
        <is>
          <t>DALARNAS LÄN</t>
        </is>
      </c>
      <c r="E437" t="inlineStr">
        <is>
          <t>SMEDJEBACKEN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26009-2022</t>
        </is>
      </c>
      <c r="B438" s="1" t="n">
        <v>44734</v>
      </c>
      <c r="C438" s="1" t="n">
        <v>45794</v>
      </c>
      <c r="D438" t="inlineStr">
        <is>
          <t>DALARNAS LÄN</t>
        </is>
      </c>
      <c r="E438" t="inlineStr">
        <is>
          <t>SMEDJEBACKEN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26305-2022</t>
        </is>
      </c>
      <c r="B439" s="1" t="n">
        <v>44735</v>
      </c>
      <c r="C439" s="1" t="n">
        <v>45794</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26298-2022</t>
        </is>
      </c>
      <c r="B440" s="1" t="n">
        <v>44735</v>
      </c>
      <c r="C440" s="1" t="n">
        <v>45794</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26294-2022</t>
        </is>
      </c>
      <c r="B441" s="1" t="n">
        <v>44735</v>
      </c>
      <c r="C441" s="1" t="n">
        <v>45794</v>
      </c>
      <c r="D441" t="inlineStr">
        <is>
          <t>DALARNAS LÄN</t>
        </is>
      </c>
      <c r="E441" t="inlineStr">
        <is>
          <t>SMEDJEBACKEN</t>
        </is>
      </c>
      <c r="G441" t="n">
        <v>1.2</v>
      </c>
      <c r="H441" t="n">
        <v>0</v>
      </c>
      <c r="I441" t="n">
        <v>0</v>
      </c>
      <c r="J441" t="n">
        <v>0</v>
      </c>
      <c r="K441" t="n">
        <v>0</v>
      </c>
      <c r="L441" t="n">
        <v>0</v>
      </c>
      <c r="M441" t="n">
        <v>0</v>
      </c>
      <c r="N441" t="n">
        <v>0</v>
      </c>
      <c r="O441" t="n">
        <v>0</v>
      </c>
      <c r="P441" t="n">
        <v>0</v>
      </c>
      <c r="Q441" t="n">
        <v>0</v>
      </c>
      <c r="R441" s="2" t="inlineStr"/>
    </row>
    <row r="442" ht="15" customHeight="1">
      <c r="A442" t="inlineStr">
        <is>
          <t>A 26669-2022</t>
        </is>
      </c>
      <c r="B442" s="1" t="n">
        <v>44739</v>
      </c>
      <c r="C442" s="1" t="n">
        <v>45794</v>
      </c>
      <c r="D442" t="inlineStr">
        <is>
          <t>DALARNAS LÄN</t>
        </is>
      </c>
      <c r="E442" t="inlineStr">
        <is>
          <t>SMEDJEBACKEN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27070-2022</t>
        </is>
      </c>
      <c r="B443" s="1" t="n">
        <v>44741</v>
      </c>
      <c r="C443" s="1" t="n">
        <v>45794</v>
      </c>
      <c r="D443" t="inlineStr">
        <is>
          <t>DALARNAS LÄN</t>
        </is>
      </c>
      <c r="E443" t="inlineStr">
        <is>
          <t>SMEDJEBACKEN</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28613-2022</t>
        </is>
      </c>
      <c r="B444" s="1" t="n">
        <v>44748</v>
      </c>
      <c r="C444" s="1" t="n">
        <v>45794</v>
      </c>
      <c r="D444" t="inlineStr">
        <is>
          <t>DALARNAS LÄN</t>
        </is>
      </c>
      <c r="E444" t="inlineStr">
        <is>
          <t>SMEDJEBACKEN</t>
        </is>
      </c>
      <c r="G444" t="n">
        <v>0.9</v>
      </c>
      <c r="H444" t="n">
        <v>0</v>
      </c>
      <c r="I444" t="n">
        <v>0</v>
      </c>
      <c r="J444" t="n">
        <v>0</v>
      </c>
      <c r="K444" t="n">
        <v>0</v>
      </c>
      <c r="L444" t="n">
        <v>0</v>
      </c>
      <c r="M444" t="n">
        <v>0</v>
      </c>
      <c r="N444" t="n">
        <v>0</v>
      </c>
      <c r="O444" t="n">
        <v>0</v>
      </c>
      <c r="P444" t="n">
        <v>0</v>
      </c>
      <c r="Q444" t="n">
        <v>0</v>
      </c>
      <c r="R444" s="2" t="inlineStr"/>
    </row>
    <row r="445" ht="15" customHeight="1">
      <c r="A445" t="inlineStr">
        <is>
          <t>A 31143-2022</t>
        </is>
      </c>
      <c r="B445" s="1" t="n">
        <v>44770</v>
      </c>
      <c r="C445" s="1" t="n">
        <v>45794</v>
      </c>
      <c r="D445" t="inlineStr">
        <is>
          <t>DALARNAS LÄN</t>
        </is>
      </c>
      <c r="E445" t="inlineStr">
        <is>
          <t>SMEDJEBACKEN</t>
        </is>
      </c>
      <c r="G445" t="n">
        <v>1.5</v>
      </c>
      <c r="H445" t="n">
        <v>0</v>
      </c>
      <c r="I445" t="n">
        <v>0</v>
      </c>
      <c r="J445" t="n">
        <v>0</v>
      </c>
      <c r="K445" t="n">
        <v>0</v>
      </c>
      <c r="L445" t="n">
        <v>0</v>
      </c>
      <c r="M445" t="n">
        <v>0</v>
      </c>
      <c r="N445" t="n">
        <v>0</v>
      </c>
      <c r="O445" t="n">
        <v>0</v>
      </c>
      <c r="P445" t="n">
        <v>0</v>
      </c>
      <c r="Q445" t="n">
        <v>0</v>
      </c>
      <c r="R445" s="2" t="inlineStr"/>
    </row>
    <row r="446" ht="15" customHeight="1">
      <c r="A446" t="inlineStr">
        <is>
          <t>A 31326-2022</t>
        </is>
      </c>
      <c r="B446" s="1" t="n">
        <v>44774</v>
      </c>
      <c r="C446" s="1" t="n">
        <v>45794</v>
      </c>
      <c r="D446" t="inlineStr">
        <is>
          <t>DALARNAS LÄN</t>
        </is>
      </c>
      <c r="E446" t="inlineStr">
        <is>
          <t>SMEDJEBACKEN</t>
        </is>
      </c>
      <c r="G446" t="n">
        <v>1.1</v>
      </c>
      <c r="H446" t="n">
        <v>0</v>
      </c>
      <c r="I446" t="n">
        <v>0</v>
      </c>
      <c r="J446" t="n">
        <v>0</v>
      </c>
      <c r="K446" t="n">
        <v>0</v>
      </c>
      <c r="L446" t="n">
        <v>0</v>
      </c>
      <c r="M446" t="n">
        <v>0</v>
      </c>
      <c r="N446" t="n">
        <v>0</v>
      </c>
      <c r="O446" t="n">
        <v>0</v>
      </c>
      <c r="P446" t="n">
        <v>0</v>
      </c>
      <c r="Q446" t="n">
        <v>0</v>
      </c>
      <c r="R446" s="2" t="inlineStr"/>
    </row>
    <row r="447" ht="15" customHeight="1">
      <c r="A447" t="inlineStr">
        <is>
          <t>A 31781-2022</t>
        </is>
      </c>
      <c r="B447" s="1" t="n">
        <v>44776</v>
      </c>
      <c r="C447" s="1" t="n">
        <v>45794</v>
      </c>
      <c r="D447" t="inlineStr">
        <is>
          <t>DALARNAS LÄN</t>
        </is>
      </c>
      <c r="E447" t="inlineStr">
        <is>
          <t>SMEDJEBACKEN</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31791-2022</t>
        </is>
      </c>
      <c r="B448" s="1" t="n">
        <v>44776</v>
      </c>
      <c r="C448" s="1" t="n">
        <v>45794</v>
      </c>
      <c r="D448" t="inlineStr">
        <is>
          <t>DALARNAS LÄN</t>
        </is>
      </c>
      <c r="E448" t="inlineStr">
        <is>
          <t>SMEDJEBACKEN</t>
        </is>
      </c>
      <c r="F448" t="inlineStr">
        <is>
          <t>Bergvik skog väst AB</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31809-2022</t>
        </is>
      </c>
      <c r="B449" s="1" t="n">
        <v>44776</v>
      </c>
      <c r="C449" s="1" t="n">
        <v>45794</v>
      </c>
      <c r="D449" t="inlineStr">
        <is>
          <t>DALARNAS LÄN</t>
        </is>
      </c>
      <c r="E449" t="inlineStr">
        <is>
          <t>SMEDJEBACKEN</t>
        </is>
      </c>
      <c r="F449" t="inlineStr">
        <is>
          <t>Bergvik skog väst AB</t>
        </is>
      </c>
      <c r="G449" t="n">
        <v>5.5</v>
      </c>
      <c r="H449" t="n">
        <v>0</v>
      </c>
      <c r="I449" t="n">
        <v>0</v>
      </c>
      <c r="J449" t="n">
        <v>0</v>
      </c>
      <c r="K449" t="n">
        <v>0</v>
      </c>
      <c r="L449" t="n">
        <v>0</v>
      </c>
      <c r="M449" t="n">
        <v>0</v>
      </c>
      <c r="N449" t="n">
        <v>0</v>
      </c>
      <c r="O449" t="n">
        <v>0</v>
      </c>
      <c r="P449" t="n">
        <v>0</v>
      </c>
      <c r="Q449" t="n">
        <v>0</v>
      </c>
      <c r="R449" s="2" t="inlineStr"/>
    </row>
    <row r="450" ht="15" customHeight="1">
      <c r="A450" t="inlineStr">
        <is>
          <t>A 31788-2022</t>
        </is>
      </c>
      <c r="B450" s="1" t="n">
        <v>44776</v>
      </c>
      <c r="C450" s="1" t="n">
        <v>45794</v>
      </c>
      <c r="D450" t="inlineStr">
        <is>
          <t>DALARNAS LÄN</t>
        </is>
      </c>
      <c r="E450" t="inlineStr">
        <is>
          <t>SMEDJEBACKEN</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31795-2022</t>
        </is>
      </c>
      <c r="B451" s="1" t="n">
        <v>44776</v>
      </c>
      <c r="C451" s="1" t="n">
        <v>45794</v>
      </c>
      <c r="D451" t="inlineStr">
        <is>
          <t>DALARNAS LÄN</t>
        </is>
      </c>
      <c r="E451" t="inlineStr">
        <is>
          <t>SMEDJEBACKEN</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31792-2022</t>
        </is>
      </c>
      <c r="B452" s="1" t="n">
        <v>44776</v>
      </c>
      <c r="C452" s="1" t="n">
        <v>45794</v>
      </c>
      <c r="D452" t="inlineStr">
        <is>
          <t>DALARNAS LÄN</t>
        </is>
      </c>
      <c r="E452" t="inlineStr">
        <is>
          <t>SMEDJEBACKEN</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31799-2022</t>
        </is>
      </c>
      <c r="B453" s="1" t="n">
        <v>44776</v>
      </c>
      <c r="C453" s="1" t="n">
        <v>45794</v>
      </c>
      <c r="D453" t="inlineStr">
        <is>
          <t>DALARNAS LÄN</t>
        </is>
      </c>
      <c r="E453" t="inlineStr">
        <is>
          <t>SMEDJEBACKEN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32013-2022</t>
        </is>
      </c>
      <c r="B454" s="1" t="n">
        <v>44778</v>
      </c>
      <c r="C454" s="1" t="n">
        <v>45794</v>
      </c>
      <c r="D454" t="inlineStr">
        <is>
          <t>DALARNAS LÄN</t>
        </is>
      </c>
      <c r="E454" t="inlineStr">
        <is>
          <t>SMEDJEBACKEN</t>
        </is>
      </c>
      <c r="G454" t="n">
        <v>1.7</v>
      </c>
      <c r="H454" t="n">
        <v>0</v>
      </c>
      <c r="I454" t="n">
        <v>0</v>
      </c>
      <c r="J454" t="n">
        <v>0</v>
      </c>
      <c r="K454" t="n">
        <v>0</v>
      </c>
      <c r="L454" t="n">
        <v>0</v>
      </c>
      <c r="M454" t="n">
        <v>0</v>
      </c>
      <c r="N454" t="n">
        <v>0</v>
      </c>
      <c r="O454" t="n">
        <v>0</v>
      </c>
      <c r="P454" t="n">
        <v>0</v>
      </c>
      <c r="Q454" t="n">
        <v>0</v>
      </c>
      <c r="R454" s="2" t="inlineStr"/>
    </row>
    <row r="455" ht="15" customHeight="1">
      <c r="A455" t="inlineStr">
        <is>
          <t>A 32016-2022</t>
        </is>
      </c>
      <c r="B455" s="1" t="n">
        <v>44778</v>
      </c>
      <c r="C455" s="1" t="n">
        <v>45794</v>
      </c>
      <c r="D455" t="inlineStr">
        <is>
          <t>DALARNAS LÄN</t>
        </is>
      </c>
      <c r="E455" t="inlineStr">
        <is>
          <t>SMEDJEBACKEN</t>
        </is>
      </c>
      <c r="G455" t="n">
        <v>1.1</v>
      </c>
      <c r="H455" t="n">
        <v>0</v>
      </c>
      <c r="I455" t="n">
        <v>0</v>
      </c>
      <c r="J455" t="n">
        <v>0</v>
      </c>
      <c r="K455" t="n">
        <v>0</v>
      </c>
      <c r="L455" t="n">
        <v>0</v>
      </c>
      <c r="M455" t="n">
        <v>0</v>
      </c>
      <c r="N455" t="n">
        <v>0</v>
      </c>
      <c r="O455" t="n">
        <v>0</v>
      </c>
      <c r="P455" t="n">
        <v>0</v>
      </c>
      <c r="Q455" t="n">
        <v>0</v>
      </c>
      <c r="R455" s="2" t="inlineStr"/>
    </row>
    <row r="456" ht="15" customHeight="1">
      <c r="A456" t="inlineStr">
        <is>
          <t>A 32381-2022</t>
        </is>
      </c>
      <c r="B456" s="1" t="n">
        <v>44781</v>
      </c>
      <c r="C456" s="1" t="n">
        <v>45794</v>
      </c>
      <c r="D456" t="inlineStr">
        <is>
          <t>DALARNAS LÄN</t>
        </is>
      </c>
      <c r="E456" t="inlineStr">
        <is>
          <t>SMEDJEBACKEN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32384-2022</t>
        </is>
      </c>
      <c r="B457" s="1" t="n">
        <v>44782</v>
      </c>
      <c r="C457" s="1" t="n">
        <v>45794</v>
      </c>
      <c r="D457" t="inlineStr">
        <is>
          <t>DALARNAS LÄN</t>
        </is>
      </c>
      <c r="E457" t="inlineStr">
        <is>
          <t>SMEDJEBACKEN</t>
        </is>
      </c>
      <c r="G457" t="n">
        <v>2.9</v>
      </c>
      <c r="H457" t="n">
        <v>0</v>
      </c>
      <c r="I457" t="n">
        <v>0</v>
      </c>
      <c r="J457" t="n">
        <v>0</v>
      </c>
      <c r="K457" t="n">
        <v>0</v>
      </c>
      <c r="L457" t="n">
        <v>0</v>
      </c>
      <c r="M457" t="n">
        <v>0</v>
      </c>
      <c r="N457" t="n">
        <v>0</v>
      </c>
      <c r="O457" t="n">
        <v>0</v>
      </c>
      <c r="P457" t="n">
        <v>0</v>
      </c>
      <c r="Q457" t="n">
        <v>0</v>
      </c>
      <c r="R457" s="2" t="inlineStr"/>
    </row>
    <row r="458" ht="15" customHeight="1">
      <c r="A458" t="inlineStr">
        <is>
          <t>A 32903-2022</t>
        </is>
      </c>
      <c r="B458" s="1" t="n">
        <v>44784</v>
      </c>
      <c r="C458" s="1" t="n">
        <v>45794</v>
      </c>
      <c r="D458" t="inlineStr">
        <is>
          <t>DALARNAS LÄN</t>
        </is>
      </c>
      <c r="E458" t="inlineStr">
        <is>
          <t>SMEDJEBACKEN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32945-2022</t>
        </is>
      </c>
      <c r="B459" s="1" t="n">
        <v>44784</v>
      </c>
      <c r="C459" s="1" t="n">
        <v>45794</v>
      </c>
      <c r="D459" t="inlineStr">
        <is>
          <t>DALARNAS LÄN</t>
        </is>
      </c>
      <c r="E459" t="inlineStr">
        <is>
          <t>SMEDJEBACKEN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32939-2022</t>
        </is>
      </c>
      <c r="B460" s="1" t="n">
        <v>44784</v>
      </c>
      <c r="C460" s="1" t="n">
        <v>45794</v>
      </c>
      <c r="D460" t="inlineStr">
        <is>
          <t>DALARNAS LÄN</t>
        </is>
      </c>
      <c r="E460" t="inlineStr">
        <is>
          <t>SMEDJEBACKEN</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33253-2022</t>
        </is>
      </c>
      <c r="B461" s="1" t="n">
        <v>44787</v>
      </c>
      <c r="C461" s="1" t="n">
        <v>45794</v>
      </c>
      <c r="D461" t="inlineStr">
        <is>
          <t>DALARNAS LÄN</t>
        </is>
      </c>
      <c r="E461" t="inlineStr">
        <is>
          <t>SMEDJEBACKEN</t>
        </is>
      </c>
      <c r="G461" t="n">
        <v>0.5</v>
      </c>
      <c r="H461" t="n">
        <v>0</v>
      </c>
      <c r="I461" t="n">
        <v>0</v>
      </c>
      <c r="J461" t="n">
        <v>0</v>
      </c>
      <c r="K461" t="n">
        <v>0</v>
      </c>
      <c r="L461" t="n">
        <v>0</v>
      </c>
      <c r="M461" t="n">
        <v>0</v>
      </c>
      <c r="N461" t="n">
        <v>0</v>
      </c>
      <c r="O461" t="n">
        <v>0</v>
      </c>
      <c r="P461" t="n">
        <v>0</v>
      </c>
      <c r="Q461" t="n">
        <v>0</v>
      </c>
      <c r="R461" s="2" t="inlineStr"/>
    </row>
    <row r="462" ht="15" customHeight="1">
      <c r="A462" t="inlineStr">
        <is>
          <t>A 33257-2022</t>
        </is>
      </c>
      <c r="B462" s="1" t="n">
        <v>44787</v>
      </c>
      <c r="C462" s="1" t="n">
        <v>45794</v>
      </c>
      <c r="D462" t="inlineStr">
        <is>
          <t>DALARNAS LÄN</t>
        </is>
      </c>
      <c r="E462" t="inlineStr">
        <is>
          <t>SMEDJEBACKEN</t>
        </is>
      </c>
      <c r="G462" t="n">
        <v>4</v>
      </c>
      <c r="H462" t="n">
        <v>0</v>
      </c>
      <c r="I462" t="n">
        <v>0</v>
      </c>
      <c r="J462" t="n">
        <v>0</v>
      </c>
      <c r="K462" t="n">
        <v>0</v>
      </c>
      <c r="L462" t="n">
        <v>0</v>
      </c>
      <c r="M462" t="n">
        <v>0</v>
      </c>
      <c r="N462" t="n">
        <v>0</v>
      </c>
      <c r="O462" t="n">
        <v>0</v>
      </c>
      <c r="P462" t="n">
        <v>0</v>
      </c>
      <c r="Q462" t="n">
        <v>0</v>
      </c>
      <c r="R462" s="2" t="inlineStr"/>
    </row>
    <row r="463" ht="15" customHeight="1">
      <c r="A463" t="inlineStr">
        <is>
          <t>A 33256-2022</t>
        </is>
      </c>
      <c r="B463" s="1" t="n">
        <v>44787</v>
      </c>
      <c r="C463" s="1" t="n">
        <v>45794</v>
      </c>
      <c r="D463" t="inlineStr">
        <is>
          <t>DALARNAS LÄN</t>
        </is>
      </c>
      <c r="E463" t="inlineStr">
        <is>
          <t>SMEDJEBACKEN</t>
        </is>
      </c>
      <c r="G463" t="n">
        <v>6.6</v>
      </c>
      <c r="H463" t="n">
        <v>0</v>
      </c>
      <c r="I463" t="n">
        <v>0</v>
      </c>
      <c r="J463" t="n">
        <v>0</v>
      </c>
      <c r="K463" t="n">
        <v>0</v>
      </c>
      <c r="L463" t="n">
        <v>0</v>
      </c>
      <c r="M463" t="n">
        <v>0</v>
      </c>
      <c r="N463" t="n">
        <v>0</v>
      </c>
      <c r="O463" t="n">
        <v>0</v>
      </c>
      <c r="P463" t="n">
        <v>0</v>
      </c>
      <c r="Q463" t="n">
        <v>0</v>
      </c>
      <c r="R463" s="2" t="inlineStr"/>
    </row>
    <row r="464" ht="15" customHeight="1">
      <c r="A464" t="inlineStr">
        <is>
          <t>A 33255-2022</t>
        </is>
      </c>
      <c r="B464" s="1" t="n">
        <v>44787</v>
      </c>
      <c r="C464" s="1" t="n">
        <v>45794</v>
      </c>
      <c r="D464" t="inlineStr">
        <is>
          <t>DALARNAS LÄN</t>
        </is>
      </c>
      <c r="E464" t="inlineStr">
        <is>
          <t>SMEDJEBACKEN</t>
        </is>
      </c>
      <c r="G464" t="n">
        <v>2.1</v>
      </c>
      <c r="H464" t="n">
        <v>0</v>
      </c>
      <c r="I464" t="n">
        <v>0</v>
      </c>
      <c r="J464" t="n">
        <v>0</v>
      </c>
      <c r="K464" t="n">
        <v>0</v>
      </c>
      <c r="L464" t="n">
        <v>0</v>
      </c>
      <c r="M464" t="n">
        <v>0</v>
      </c>
      <c r="N464" t="n">
        <v>0</v>
      </c>
      <c r="O464" t="n">
        <v>0</v>
      </c>
      <c r="P464" t="n">
        <v>0</v>
      </c>
      <c r="Q464" t="n">
        <v>0</v>
      </c>
      <c r="R464" s="2" t="inlineStr"/>
    </row>
    <row r="465" ht="15" customHeight="1">
      <c r="A465" t="inlineStr">
        <is>
          <t>A 33707-2022</t>
        </is>
      </c>
      <c r="B465" s="1" t="n">
        <v>44789</v>
      </c>
      <c r="C465" s="1" t="n">
        <v>45794</v>
      </c>
      <c r="D465" t="inlineStr">
        <is>
          <t>DALARNAS LÄN</t>
        </is>
      </c>
      <c r="E465" t="inlineStr">
        <is>
          <t>SMEDJEBACKEN</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33843-2022</t>
        </is>
      </c>
      <c r="B466" s="1" t="n">
        <v>44790</v>
      </c>
      <c r="C466" s="1" t="n">
        <v>45794</v>
      </c>
      <c r="D466" t="inlineStr">
        <is>
          <t>DALARNAS LÄN</t>
        </is>
      </c>
      <c r="E466" t="inlineStr">
        <is>
          <t>SMEDJEBACKEN</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33846-2022</t>
        </is>
      </c>
      <c r="B467" s="1" t="n">
        <v>44790</v>
      </c>
      <c r="C467" s="1" t="n">
        <v>45794</v>
      </c>
      <c r="D467" t="inlineStr">
        <is>
          <t>DALARNAS LÄN</t>
        </is>
      </c>
      <c r="E467" t="inlineStr">
        <is>
          <t>SMEDJEBACKEN</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34123-2022</t>
        </is>
      </c>
      <c r="B468" s="1" t="n">
        <v>44791</v>
      </c>
      <c r="C468" s="1" t="n">
        <v>45794</v>
      </c>
      <c r="D468" t="inlineStr">
        <is>
          <t>DALARNAS LÄN</t>
        </is>
      </c>
      <c r="E468" t="inlineStr">
        <is>
          <t>SMEDJEBACKEN</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34216-2022</t>
        </is>
      </c>
      <c r="B469" s="1" t="n">
        <v>44791</v>
      </c>
      <c r="C469" s="1" t="n">
        <v>45794</v>
      </c>
      <c r="D469" t="inlineStr">
        <is>
          <t>DALARNAS LÄN</t>
        </is>
      </c>
      <c r="E469" t="inlineStr">
        <is>
          <t>SMEDJEBACKEN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34235-2022</t>
        </is>
      </c>
      <c r="B470" s="1" t="n">
        <v>44791</v>
      </c>
      <c r="C470" s="1" t="n">
        <v>45794</v>
      </c>
      <c r="D470" t="inlineStr">
        <is>
          <t>DALARNAS LÄN</t>
        </is>
      </c>
      <c r="E470" t="inlineStr">
        <is>
          <t>SMEDJEBACKEN</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34382-2022</t>
        </is>
      </c>
      <c r="B471" s="1" t="n">
        <v>44792</v>
      </c>
      <c r="C471" s="1" t="n">
        <v>45794</v>
      </c>
      <c r="D471" t="inlineStr">
        <is>
          <t>DALARNAS LÄN</t>
        </is>
      </c>
      <c r="E471" t="inlineStr">
        <is>
          <t>SMEDJEBACKEN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34372-2022</t>
        </is>
      </c>
      <c r="B472" s="1" t="n">
        <v>44792</v>
      </c>
      <c r="C472" s="1" t="n">
        <v>45794</v>
      </c>
      <c r="D472" t="inlineStr">
        <is>
          <t>DALARNAS LÄN</t>
        </is>
      </c>
      <c r="E472" t="inlineStr">
        <is>
          <t>SMEDJEBACKEN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34360-2022</t>
        </is>
      </c>
      <c r="B473" s="1" t="n">
        <v>44792</v>
      </c>
      <c r="C473" s="1" t="n">
        <v>45794</v>
      </c>
      <c r="D473" t="inlineStr">
        <is>
          <t>DALARNAS LÄN</t>
        </is>
      </c>
      <c r="E473" t="inlineStr">
        <is>
          <t>SMEDJEBACKEN</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34369-2022</t>
        </is>
      </c>
      <c r="B474" s="1" t="n">
        <v>44792</v>
      </c>
      <c r="C474" s="1" t="n">
        <v>45794</v>
      </c>
      <c r="D474" t="inlineStr">
        <is>
          <t>DALARNAS LÄN</t>
        </is>
      </c>
      <c r="E474" t="inlineStr">
        <is>
          <t>SMEDJEBACKEN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34374-2022</t>
        </is>
      </c>
      <c r="B475" s="1" t="n">
        <v>44792</v>
      </c>
      <c r="C475" s="1" t="n">
        <v>45794</v>
      </c>
      <c r="D475" t="inlineStr">
        <is>
          <t>DALARNAS LÄN</t>
        </is>
      </c>
      <c r="E475" t="inlineStr">
        <is>
          <t>SMEDJEBACKEN</t>
        </is>
      </c>
      <c r="F475" t="inlineStr">
        <is>
          <t>Sveaskog</t>
        </is>
      </c>
      <c r="G475" t="n">
        <v>4.9</v>
      </c>
      <c r="H475" t="n">
        <v>0</v>
      </c>
      <c r="I475" t="n">
        <v>0</v>
      </c>
      <c r="J475" t="n">
        <v>0</v>
      </c>
      <c r="K475" t="n">
        <v>0</v>
      </c>
      <c r="L475" t="n">
        <v>0</v>
      </c>
      <c r="M475" t="n">
        <v>0</v>
      </c>
      <c r="N475" t="n">
        <v>0</v>
      </c>
      <c r="O475" t="n">
        <v>0</v>
      </c>
      <c r="P475" t="n">
        <v>0</v>
      </c>
      <c r="Q475" t="n">
        <v>0</v>
      </c>
      <c r="R475" s="2" t="inlineStr"/>
    </row>
    <row r="476" ht="15" customHeight="1">
      <c r="A476" t="inlineStr">
        <is>
          <t>A 34755-2022</t>
        </is>
      </c>
      <c r="B476" s="1" t="n">
        <v>44795</v>
      </c>
      <c r="C476" s="1" t="n">
        <v>45794</v>
      </c>
      <c r="D476" t="inlineStr">
        <is>
          <t>DALARNAS LÄN</t>
        </is>
      </c>
      <c r="E476" t="inlineStr">
        <is>
          <t>SMEDJEBACKEN</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35666-2022</t>
        </is>
      </c>
      <c r="B477" s="1" t="n">
        <v>44799</v>
      </c>
      <c r="C477" s="1" t="n">
        <v>45794</v>
      </c>
      <c r="D477" t="inlineStr">
        <is>
          <t>DALARNAS LÄN</t>
        </is>
      </c>
      <c r="E477" t="inlineStr">
        <is>
          <t>SMEDJEBACKEN</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35785-2022</t>
        </is>
      </c>
      <c r="B478" s="1" t="n">
        <v>44801</v>
      </c>
      <c r="C478" s="1" t="n">
        <v>45794</v>
      </c>
      <c r="D478" t="inlineStr">
        <is>
          <t>DALARNAS LÄN</t>
        </is>
      </c>
      <c r="E478" t="inlineStr">
        <is>
          <t>SMEDJEBACKEN</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35812-2022</t>
        </is>
      </c>
      <c r="B479" s="1" t="n">
        <v>44802</v>
      </c>
      <c r="C479" s="1" t="n">
        <v>45794</v>
      </c>
      <c r="D479" t="inlineStr">
        <is>
          <t>DALARNAS LÄN</t>
        </is>
      </c>
      <c r="E479" t="inlineStr">
        <is>
          <t>SMEDJEBACKEN</t>
        </is>
      </c>
      <c r="F479" t="inlineStr">
        <is>
          <t>Sveaskog</t>
        </is>
      </c>
      <c r="G479" t="n">
        <v>15.9</v>
      </c>
      <c r="H479" t="n">
        <v>0</v>
      </c>
      <c r="I479" t="n">
        <v>0</v>
      </c>
      <c r="J479" t="n">
        <v>0</v>
      </c>
      <c r="K479" t="n">
        <v>0</v>
      </c>
      <c r="L479" t="n">
        <v>0</v>
      </c>
      <c r="M479" t="n">
        <v>0</v>
      </c>
      <c r="N479" t="n">
        <v>0</v>
      </c>
      <c r="O479" t="n">
        <v>0</v>
      </c>
      <c r="P479" t="n">
        <v>0</v>
      </c>
      <c r="Q479" t="n">
        <v>0</v>
      </c>
      <c r="R479" s="2" t="inlineStr"/>
    </row>
    <row r="480" ht="15" customHeight="1">
      <c r="A480" t="inlineStr">
        <is>
          <t>A 36238-2022</t>
        </is>
      </c>
      <c r="B480" s="1" t="n">
        <v>44803</v>
      </c>
      <c r="C480" s="1" t="n">
        <v>45794</v>
      </c>
      <c r="D480" t="inlineStr">
        <is>
          <t>DALARNAS LÄN</t>
        </is>
      </c>
      <c r="E480" t="inlineStr">
        <is>
          <t>SMEDJEBACKEN</t>
        </is>
      </c>
      <c r="G480" t="n">
        <v>3.2</v>
      </c>
      <c r="H480" t="n">
        <v>0</v>
      </c>
      <c r="I480" t="n">
        <v>0</v>
      </c>
      <c r="J480" t="n">
        <v>0</v>
      </c>
      <c r="K480" t="n">
        <v>0</v>
      </c>
      <c r="L480" t="n">
        <v>0</v>
      </c>
      <c r="M480" t="n">
        <v>0</v>
      </c>
      <c r="N480" t="n">
        <v>0</v>
      </c>
      <c r="O480" t="n">
        <v>0</v>
      </c>
      <c r="P480" t="n">
        <v>0</v>
      </c>
      <c r="Q480" t="n">
        <v>0</v>
      </c>
      <c r="R480" s="2" t="inlineStr"/>
    </row>
    <row r="481" ht="15" customHeight="1">
      <c r="A481" t="inlineStr">
        <is>
          <t>A 36231-2022</t>
        </is>
      </c>
      <c r="B481" s="1" t="n">
        <v>44803</v>
      </c>
      <c r="C481" s="1" t="n">
        <v>45794</v>
      </c>
      <c r="D481" t="inlineStr">
        <is>
          <t>DALARNAS LÄN</t>
        </is>
      </c>
      <c r="E481" t="inlineStr">
        <is>
          <t>SMEDJEBACKEN</t>
        </is>
      </c>
      <c r="G481" t="n">
        <v>5.7</v>
      </c>
      <c r="H481" t="n">
        <v>0</v>
      </c>
      <c r="I481" t="n">
        <v>0</v>
      </c>
      <c r="J481" t="n">
        <v>0</v>
      </c>
      <c r="K481" t="n">
        <v>0</v>
      </c>
      <c r="L481" t="n">
        <v>0</v>
      </c>
      <c r="M481" t="n">
        <v>0</v>
      </c>
      <c r="N481" t="n">
        <v>0</v>
      </c>
      <c r="O481" t="n">
        <v>0</v>
      </c>
      <c r="P481" t="n">
        <v>0</v>
      </c>
      <c r="Q481" t="n">
        <v>0</v>
      </c>
      <c r="R481" s="2" t="inlineStr"/>
    </row>
    <row r="482" ht="15" customHeight="1">
      <c r="A482" t="inlineStr">
        <is>
          <t>A 36243-2022</t>
        </is>
      </c>
      <c r="B482" s="1" t="n">
        <v>44803</v>
      </c>
      <c r="C482" s="1" t="n">
        <v>45794</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36663-2022</t>
        </is>
      </c>
      <c r="B483" s="1" t="n">
        <v>44804</v>
      </c>
      <c r="C483" s="1" t="n">
        <v>45794</v>
      </c>
      <c r="D483" t="inlineStr">
        <is>
          <t>DALARNAS LÄN</t>
        </is>
      </c>
      <c r="E483" t="inlineStr">
        <is>
          <t>SMEDJEBACKEN</t>
        </is>
      </c>
      <c r="G483" t="n">
        <v>0.9</v>
      </c>
      <c r="H483" t="n">
        <v>0</v>
      </c>
      <c r="I483" t="n">
        <v>0</v>
      </c>
      <c r="J483" t="n">
        <v>0</v>
      </c>
      <c r="K483" t="n">
        <v>0</v>
      </c>
      <c r="L483" t="n">
        <v>0</v>
      </c>
      <c r="M483" t="n">
        <v>0</v>
      </c>
      <c r="N483" t="n">
        <v>0</v>
      </c>
      <c r="O483" t="n">
        <v>0</v>
      </c>
      <c r="P483" t="n">
        <v>0</v>
      </c>
      <c r="Q483" t="n">
        <v>0</v>
      </c>
      <c r="R483" s="2" t="inlineStr"/>
    </row>
    <row r="484" ht="15" customHeight="1">
      <c r="A484" t="inlineStr">
        <is>
          <t>A 37039-2022</t>
        </is>
      </c>
      <c r="B484" s="1" t="n">
        <v>44806</v>
      </c>
      <c r="C484" s="1" t="n">
        <v>45794</v>
      </c>
      <c r="D484" t="inlineStr">
        <is>
          <t>DALARNAS LÄN</t>
        </is>
      </c>
      <c r="E484" t="inlineStr">
        <is>
          <t>SMEDJEBACKEN</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37370-2022</t>
        </is>
      </c>
      <c r="B485" s="1" t="n">
        <v>44809</v>
      </c>
      <c r="C485" s="1" t="n">
        <v>45794</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37375-2022</t>
        </is>
      </c>
      <c r="B486" s="1" t="n">
        <v>44809</v>
      </c>
      <c r="C486" s="1" t="n">
        <v>45794</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37501-2022</t>
        </is>
      </c>
      <c r="B487" s="1" t="n">
        <v>44809</v>
      </c>
      <c r="C487" s="1" t="n">
        <v>45794</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37881-2022</t>
        </is>
      </c>
      <c r="B488" s="1" t="n">
        <v>44811</v>
      </c>
      <c r="C488" s="1" t="n">
        <v>45794</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37884-2022</t>
        </is>
      </c>
      <c r="B489" s="1" t="n">
        <v>44811</v>
      </c>
      <c r="C489" s="1" t="n">
        <v>45794</v>
      </c>
      <c r="D489" t="inlineStr">
        <is>
          <t>DALARNAS LÄN</t>
        </is>
      </c>
      <c r="E489" t="inlineStr">
        <is>
          <t>SMEDJEBACKEN</t>
        </is>
      </c>
      <c r="G489" t="n">
        <v>3.7</v>
      </c>
      <c r="H489" t="n">
        <v>0</v>
      </c>
      <c r="I489" t="n">
        <v>0</v>
      </c>
      <c r="J489" t="n">
        <v>0</v>
      </c>
      <c r="K489" t="n">
        <v>0</v>
      </c>
      <c r="L489" t="n">
        <v>0</v>
      </c>
      <c r="M489" t="n">
        <v>0</v>
      </c>
      <c r="N489" t="n">
        <v>0</v>
      </c>
      <c r="O489" t="n">
        <v>0</v>
      </c>
      <c r="P489" t="n">
        <v>0</v>
      </c>
      <c r="Q489" t="n">
        <v>0</v>
      </c>
      <c r="R489" s="2" t="inlineStr"/>
    </row>
    <row r="490" ht="15" customHeight="1">
      <c r="A490" t="inlineStr">
        <is>
          <t>A 38438-2022</t>
        </is>
      </c>
      <c r="B490" s="1" t="n">
        <v>44813</v>
      </c>
      <c r="C490" s="1" t="n">
        <v>45794</v>
      </c>
      <c r="D490" t="inlineStr">
        <is>
          <t>DALARNAS LÄN</t>
        </is>
      </c>
      <c r="E490" t="inlineStr">
        <is>
          <t>SMEDJEBACKEN</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38439-2022</t>
        </is>
      </c>
      <c r="B491" s="1" t="n">
        <v>44813</v>
      </c>
      <c r="C491" s="1" t="n">
        <v>45794</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38441-2022</t>
        </is>
      </c>
      <c r="B492" s="1" t="n">
        <v>44813</v>
      </c>
      <c r="C492" s="1" t="n">
        <v>45794</v>
      </c>
      <c r="D492" t="inlineStr">
        <is>
          <t>DALARNAS LÄN</t>
        </is>
      </c>
      <c r="E492" t="inlineStr">
        <is>
          <t>SMEDJEBACKEN</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38440-2022</t>
        </is>
      </c>
      <c r="B493" s="1" t="n">
        <v>44813</v>
      </c>
      <c r="C493" s="1" t="n">
        <v>45794</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38576-2022</t>
        </is>
      </c>
      <c r="B494" s="1" t="n">
        <v>44813</v>
      </c>
      <c r="C494" s="1" t="n">
        <v>45794</v>
      </c>
      <c r="D494" t="inlineStr">
        <is>
          <t>DALARNAS LÄN</t>
        </is>
      </c>
      <c r="E494" t="inlineStr">
        <is>
          <t>SMEDJEBACKEN</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39021-2022</t>
        </is>
      </c>
      <c r="B495" s="1" t="n">
        <v>44817</v>
      </c>
      <c r="C495" s="1" t="n">
        <v>45794</v>
      </c>
      <c r="D495" t="inlineStr">
        <is>
          <t>DALARNAS LÄN</t>
        </is>
      </c>
      <c r="E495" t="inlineStr">
        <is>
          <t>SMEDJEBACKEN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39131-2022</t>
        </is>
      </c>
      <c r="B496" s="1" t="n">
        <v>44817</v>
      </c>
      <c r="C496" s="1" t="n">
        <v>45794</v>
      </c>
      <c r="D496" t="inlineStr">
        <is>
          <t>DALARNAS LÄN</t>
        </is>
      </c>
      <c r="E496" t="inlineStr">
        <is>
          <t>SMEDJEBACKEN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40119-2022</t>
        </is>
      </c>
      <c r="B497" s="1" t="n">
        <v>44820</v>
      </c>
      <c r="C497" s="1" t="n">
        <v>45794</v>
      </c>
      <c r="D497" t="inlineStr">
        <is>
          <t>DALARNAS LÄN</t>
        </is>
      </c>
      <c r="E497" t="inlineStr">
        <is>
          <t>SMEDJEBACKEN</t>
        </is>
      </c>
      <c r="F497" t="inlineStr">
        <is>
          <t>Bergvik skog väst AB</t>
        </is>
      </c>
      <c r="G497" t="n">
        <v>7.6</v>
      </c>
      <c r="H497" t="n">
        <v>0</v>
      </c>
      <c r="I497" t="n">
        <v>0</v>
      </c>
      <c r="J497" t="n">
        <v>0</v>
      </c>
      <c r="K497" t="n">
        <v>0</v>
      </c>
      <c r="L497" t="n">
        <v>0</v>
      </c>
      <c r="M497" t="n">
        <v>0</v>
      </c>
      <c r="N497" t="n">
        <v>0</v>
      </c>
      <c r="O497" t="n">
        <v>0</v>
      </c>
      <c r="P497" t="n">
        <v>0</v>
      </c>
      <c r="Q497" t="n">
        <v>0</v>
      </c>
      <c r="R497" s="2" t="inlineStr"/>
    </row>
    <row r="498" ht="15" customHeight="1">
      <c r="A498" t="inlineStr">
        <is>
          <t>A 40644-2022</t>
        </is>
      </c>
      <c r="B498" s="1" t="n">
        <v>44824</v>
      </c>
      <c r="C498" s="1" t="n">
        <v>45794</v>
      </c>
      <c r="D498" t="inlineStr">
        <is>
          <t>DALARNAS LÄN</t>
        </is>
      </c>
      <c r="E498" t="inlineStr">
        <is>
          <t>SMEDJEBACKEN</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41337-2022</t>
        </is>
      </c>
      <c r="B499" s="1" t="n">
        <v>44826</v>
      </c>
      <c r="C499" s="1" t="n">
        <v>45794</v>
      </c>
      <c r="D499" t="inlineStr">
        <is>
          <t>DALARNAS LÄN</t>
        </is>
      </c>
      <c r="E499" t="inlineStr">
        <is>
          <t>SMEDJEBACKEN</t>
        </is>
      </c>
      <c r="G499" t="n">
        <v>1.5</v>
      </c>
      <c r="H499" t="n">
        <v>0</v>
      </c>
      <c r="I499" t="n">
        <v>0</v>
      </c>
      <c r="J499" t="n">
        <v>0</v>
      </c>
      <c r="K499" t="n">
        <v>0</v>
      </c>
      <c r="L499" t="n">
        <v>0</v>
      </c>
      <c r="M499" t="n">
        <v>0</v>
      </c>
      <c r="N499" t="n">
        <v>0</v>
      </c>
      <c r="O499" t="n">
        <v>0</v>
      </c>
      <c r="P499" t="n">
        <v>0</v>
      </c>
      <c r="Q499" t="n">
        <v>0</v>
      </c>
      <c r="R499" s="2" t="inlineStr"/>
    </row>
    <row r="500" ht="15" customHeight="1">
      <c r="A500" t="inlineStr">
        <is>
          <t>A 41730-2022</t>
        </is>
      </c>
      <c r="B500" s="1" t="n">
        <v>44827</v>
      </c>
      <c r="C500" s="1" t="n">
        <v>45794</v>
      </c>
      <c r="D500" t="inlineStr">
        <is>
          <t>DALARNAS LÄN</t>
        </is>
      </c>
      <c r="E500" t="inlineStr">
        <is>
          <t>SMEDJEBACKEN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45794</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45794</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45794</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45794</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45794</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45794</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45794</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45794</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45794</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45794</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45794</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45794</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45794</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45794</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45794</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45794</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45794</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45794</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45794</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45794</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45794</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45794</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45794</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45794</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45794</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45794</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45794</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45794</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45794</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45794</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45794</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45794</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45794</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45794</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45794</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45794</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45794</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45794</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45794</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45794</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45794</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45794</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45794</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45794</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45794</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45794</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45794</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45794</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45794</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45794</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45794</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45794</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45794</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45794</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45794</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45794</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45794</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45794</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45794</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45794</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45794</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45794</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45794</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45794</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45794</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45794</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45794</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45794</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45794</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45794</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45794</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45794</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45794</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45794</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45794</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45794</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45794</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45794</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45794</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45794</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45794</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45794</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45794</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45794</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45794</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45794</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45794</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45794</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45794</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45794</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45794</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45794</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45794</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45794</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45794</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45794</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45794</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45794</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45794</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45794</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45794</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45794</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45794</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45794</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45794</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45794</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45794</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45794</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45794</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45794</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45794</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45794</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45794</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45794</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45794</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45794</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45794</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45794</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45794</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45794</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45794</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45794</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45794</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45794</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45794</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45794</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45794</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45794</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45794</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45794</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45794</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45794</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45794</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45794</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45794</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45794</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45794</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45794</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45794</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45794</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45794</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45794</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45794</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45794</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45794</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45794</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45794</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45794</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45794</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45794</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45794</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45794</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45794</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45794</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45794</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45794</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45794</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45794</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45794</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45794</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45794</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45794</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45794</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45794</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45794</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45794</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45794</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45794</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45794</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45794</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45794</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45794</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45794</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45794</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45794</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45794</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45794</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45794</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45794</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45794</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45794</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45794</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45794</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45794</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45794</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45794</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45794</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45794</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45794</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45794</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45794</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45794</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45794</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45794</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45794</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45794</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45794</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45794</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45794</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45794</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45794</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45794</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45794</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45794</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45794</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45794</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45794</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45794</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45794</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45794</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45794</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45794</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45794</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45794</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45794</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45794</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45794</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45794</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45794</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45794</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45794</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45794</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45794</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45794</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45794</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45794</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45794</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45794</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45794</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45794</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45794</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45794</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45794</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45794</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45794</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45794</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45794</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45794</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45794</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45794</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45794</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45794</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45794</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45794</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45794</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45794</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45794</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45794</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45794</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45794</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45794</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45794</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45794</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45794</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45794</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45794</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45794</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45794</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45794</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45794</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45794</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45794</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45794</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45794</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45794</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45794</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45794</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45794</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45794</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45794</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45794</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45794</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45794</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45794</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45794</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45794</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45794</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45794</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45794</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45794</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45794</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45794</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45794</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45794</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45794</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45794</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45794</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45794</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45794</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45794</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45794</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45794</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45794</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45794</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45794</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45794</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45794</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45794</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45794</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45794</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45794</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45794</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45794</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45794</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45794</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45794</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45794</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45794</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45794</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45794</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45794</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45794</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45794</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45794</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45794</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45794</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45794</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45794</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45794</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45794</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45794</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45794</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45794</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45794</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45794</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45794</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45794</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45794</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45794</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45794</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45794</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45794</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45794</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45794</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45794</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45794</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45794</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45794</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45794</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45794</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45794</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45794</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45794</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45794</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45794</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45794</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45794</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45794</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45794</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45794</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45794</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45794</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45794</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45794</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45794</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45794</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45794</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45794</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45794</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45794</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45794</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45794</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45794</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45794</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45794</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45794</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45794</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45794</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45794</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45794</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45794</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45794</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45794</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45794</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45794</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45794</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45794</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45794</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45794</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45794</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45794</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45794</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45794</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45794</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45794</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45794</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45794</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45794</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45794</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45794</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45794</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45794</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45794</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45794</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45794</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45794</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45794</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45794</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45794</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45794</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45794</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45794</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45794</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45794</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45794</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45794</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45794</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45794</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45794</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45794</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45794</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45794</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45794</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45794</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45794</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45794</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45794</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45794</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45794</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45794</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45794</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45794</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45794</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45794</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45794</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45794</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45794</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45794</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45794</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45794</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45794</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45794</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45794</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45794</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45794</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45794</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45794</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45794</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45794</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45794</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45794</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45794</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45794</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45794</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45794</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45794</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45794</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45794</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45794</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45794</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45794</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45794</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45794</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45794</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45794</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45794</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45794</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45794</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45794</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45794</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45794</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45794</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45794</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45794</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45794</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45794</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45794</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45794</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45794</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45794</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45794</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45794</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45794</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45794</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45794</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45794</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45794</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45794</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45794</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45794</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45794</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45794</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45794</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45794</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45794</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45794</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45794</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45794</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45794</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45794</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45794</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45794</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45794</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45794</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45794</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45794</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45794</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45794</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45794</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45794</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45794</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45794</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45794</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45794</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45794</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45794</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45794</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45794</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45794</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45794</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45794</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45794</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45794</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45794</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45794</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45794</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45794</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45794</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45794</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45794</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45794</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45794</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45794</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45794</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45794</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45794</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45794</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45794</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45794</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45794</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45794</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45794</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45794</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45794</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45794</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45794</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45794</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45794</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45794</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45794</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45794</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45794</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45794</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45794</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45794</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45794</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45794</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45794</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45794</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45794</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45794</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45794</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45794</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45794</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45794</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45794</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45794</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45794</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45794</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45794</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45794</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45794</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45794</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45794</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45794</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45794</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45794</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45794</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45794</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45794</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45794</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45794</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45794</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45794</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45794</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45794</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45794</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45794</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45794</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45794</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45794</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45794</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45794</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45794</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45794</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45794</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45794</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45794</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45794</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45794</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45794</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45794</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45794</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45794</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45794</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45794</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45794</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45794</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45794</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45794</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45794</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45794</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45794</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45794</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45794</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45794</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45794</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45794</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45794</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45794</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45794</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45794</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45794</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45794</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45794</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45794</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45794</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45794</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45794</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45794</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45794</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45794</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45794</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45794</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45794</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45794</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45794</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45794</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45794</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45794</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45794</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45794</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45794</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45794</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45794</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45794</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45794</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45794</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45794</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45794</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45794</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45794</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45794</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45794</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45794</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45794</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45794</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45794</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45794</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45794</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45794</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45794</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45794</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45794</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45794</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45794</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45794</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45794</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45794</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45794</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45794</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45794</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45794</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45794</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45794</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45794</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45794</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45794</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19801-2025</t>
        </is>
      </c>
      <c r="B1169" s="1" t="n">
        <v>45771</v>
      </c>
      <c r="C1169" s="1" t="n">
        <v>45794</v>
      </c>
      <c r="D1169" t="inlineStr">
        <is>
          <t>DALARNAS LÄN</t>
        </is>
      </c>
      <c r="E1169" t="inlineStr">
        <is>
          <t>SMEDJEBACKEN</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19758-2025</t>
        </is>
      </c>
      <c r="B1170" s="1" t="n">
        <v>45771</v>
      </c>
      <c r="C1170" s="1" t="n">
        <v>45794</v>
      </c>
      <c r="D1170" t="inlineStr">
        <is>
          <t>DALARNAS LÄN</t>
        </is>
      </c>
      <c r="E1170" t="inlineStr">
        <is>
          <t>SMEDJEBACKEN</t>
        </is>
      </c>
      <c r="F1170" t="inlineStr">
        <is>
          <t>Sveaskog</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19866-2025</t>
        </is>
      </c>
      <c r="B1171" s="1" t="n">
        <v>45771</v>
      </c>
      <c r="C1171" s="1" t="n">
        <v>45794</v>
      </c>
      <c r="D1171" t="inlineStr">
        <is>
          <t>DALARNAS LÄN</t>
        </is>
      </c>
      <c r="E1171" t="inlineStr">
        <is>
          <t>SMEDJEBACKEN</t>
        </is>
      </c>
      <c r="F1171" t="inlineStr">
        <is>
          <t>Sveaskog</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45794</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45794</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21092-2025</t>
        </is>
      </c>
      <c r="B1174" s="1" t="n">
        <v>45777</v>
      </c>
      <c r="C1174" s="1" t="n">
        <v>45794</v>
      </c>
      <c r="D1174" t="inlineStr">
        <is>
          <t>DALARNAS LÄN</t>
        </is>
      </c>
      <c r="E1174" t="inlineStr">
        <is>
          <t>SMEDJEBACKEN</t>
        </is>
      </c>
      <c r="G1174" t="n">
        <v>10.4</v>
      </c>
      <c r="H1174" t="n">
        <v>0</v>
      </c>
      <c r="I1174" t="n">
        <v>0</v>
      </c>
      <c r="J1174" t="n">
        <v>0</v>
      </c>
      <c r="K1174" t="n">
        <v>0</v>
      </c>
      <c r="L1174" t="n">
        <v>0</v>
      </c>
      <c r="M1174" t="n">
        <v>0</v>
      </c>
      <c r="N1174" t="n">
        <v>0</v>
      </c>
      <c r="O1174" t="n">
        <v>0</v>
      </c>
      <c r="P1174" t="n">
        <v>0</v>
      </c>
      <c r="Q1174" t="n">
        <v>0</v>
      </c>
      <c r="R1174" s="2" t="inlineStr"/>
    </row>
    <row r="1175" ht="15" customHeight="1">
      <c r="A1175" t="inlineStr">
        <is>
          <t>A 20918-2025</t>
        </is>
      </c>
      <c r="B1175" s="1" t="n">
        <v>45777</v>
      </c>
      <c r="C1175" s="1" t="n">
        <v>45794</v>
      </c>
      <c r="D1175" t="inlineStr">
        <is>
          <t>DALARNAS LÄN</t>
        </is>
      </c>
      <c r="E1175" t="inlineStr">
        <is>
          <t>SMEDJEBACKEN</t>
        </is>
      </c>
      <c r="F1175" t="inlineStr">
        <is>
          <t>Sveaskog</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21085-2025</t>
        </is>
      </c>
      <c r="B1176" s="1" t="n">
        <v>45777</v>
      </c>
      <c r="C1176" s="1" t="n">
        <v>45794</v>
      </c>
      <c r="D1176" t="inlineStr">
        <is>
          <t>DALARNAS LÄN</t>
        </is>
      </c>
      <c r="E1176" t="inlineStr">
        <is>
          <t>SMEDJEBACKEN</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20897-2025</t>
        </is>
      </c>
      <c r="B1177" s="1" t="n">
        <v>45777</v>
      </c>
      <c r="C1177" s="1" t="n">
        <v>45794</v>
      </c>
      <c r="D1177" t="inlineStr">
        <is>
          <t>DALARNAS LÄN</t>
        </is>
      </c>
      <c r="E1177" t="inlineStr">
        <is>
          <t>SMEDJEBACKEN</t>
        </is>
      </c>
      <c r="F1177" t="inlineStr">
        <is>
          <t>Sveaskog</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20903-2025</t>
        </is>
      </c>
      <c r="B1178" s="1" t="n">
        <v>45777</v>
      </c>
      <c r="C1178" s="1" t="n">
        <v>45794</v>
      </c>
      <c r="D1178" t="inlineStr">
        <is>
          <t>DALARNAS LÄN</t>
        </is>
      </c>
      <c r="E1178" t="inlineStr">
        <is>
          <t>SMEDJEBACKEN</t>
        </is>
      </c>
      <c r="F1178" t="inlineStr">
        <is>
          <t>Sveaskog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20901-2025</t>
        </is>
      </c>
      <c r="B1179" s="1" t="n">
        <v>45777</v>
      </c>
      <c r="C1179" s="1" t="n">
        <v>45794</v>
      </c>
      <c r="D1179" t="inlineStr">
        <is>
          <t>DALARNAS LÄN</t>
        </is>
      </c>
      <c r="E1179" t="inlineStr">
        <is>
          <t>SMEDJEBACKEN</t>
        </is>
      </c>
      <c r="F1179" t="inlineStr">
        <is>
          <t>Sveaskog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20906-2025</t>
        </is>
      </c>
      <c r="B1180" s="1" t="n">
        <v>45777</v>
      </c>
      <c r="C1180" s="1" t="n">
        <v>45794</v>
      </c>
      <c r="D1180" t="inlineStr">
        <is>
          <t>DALARNAS LÄN</t>
        </is>
      </c>
      <c r="E1180" t="inlineStr">
        <is>
          <t>SMEDJEBACKEN</t>
        </is>
      </c>
      <c r="F1180" t="inlineStr">
        <is>
          <t>Sveaskog</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45794</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45794</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22292-2025</t>
        </is>
      </c>
      <c r="B1183" s="1" t="n">
        <v>45786</v>
      </c>
      <c r="C1183" s="1" t="n">
        <v>45794</v>
      </c>
      <c r="D1183" t="inlineStr">
        <is>
          <t>DALARNAS LÄN</t>
        </is>
      </c>
      <c r="E1183" t="inlineStr">
        <is>
          <t>SMEDJEBACKEN</t>
        </is>
      </c>
      <c r="F1183" t="inlineStr">
        <is>
          <t>Sveaskog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22459-2025</t>
        </is>
      </c>
      <c r="B1184" s="1" t="n">
        <v>45786</v>
      </c>
      <c r="C1184" s="1" t="n">
        <v>45794</v>
      </c>
      <c r="D1184" t="inlineStr">
        <is>
          <t>DALARNAS LÄN</t>
        </is>
      </c>
      <c r="E1184" t="inlineStr">
        <is>
          <t>SMEDJEBACKEN</t>
        </is>
      </c>
      <c r="F1184" t="inlineStr">
        <is>
          <t>Sveaskog</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45794</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22294-2025</t>
        </is>
      </c>
      <c r="B1186" s="1" t="n">
        <v>45786</v>
      </c>
      <c r="C1186" s="1" t="n">
        <v>45794</v>
      </c>
      <c r="D1186" t="inlineStr">
        <is>
          <t>DALARNAS LÄN</t>
        </is>
      </c>
      <c r="E1186" t="inlineStr">
        <is>
          <t>SMEDJEBACKEN</t>
        </is>
      </c>
      <c r="F1186" t="inlineStr">
        <is>
          <t>Sveaskog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22295-2025</t>
        </is>
      </c>
      <c r="B1187" s="1" t="n">
        <v>45786</v>
      </c>
      <c r="C1187" s="1" t="n">
        <v>45794</v>
      </c>
      <c r="D1187" t="inlineStr">
        <is>
          <t>DALARNAS LÄN</t>
        </is>
      </c>
      <c r="E1187" t="inlineStr">
        <is>
          <t>SMEDJEBACKEN</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45794</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22573-2025</t>
        </is>
      </c>
      <c r="B1189" s="1" t="n">
        <v>45789</v>
      </c>
      <c r="C1189" s="1" t="n">
        <v>45794</v>
      </c>
      <c r="D1189" t="inlineStr">
        <is>
          <t>DALARNAS LÄN</t>
        </is>
      </c>
      <c r="E1189" t="inlineStr">
        <is>
          <t>SMEDJEBACKEN</t>
        </is>
      </c>
      <c r="F1189" t="inlineStr">
        <is>
          <t>Sveaskog</t>
        </is>
      </c>
      <c r="G1189" t="n">
        <v>15.4</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45794</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22809-2025</t>
        </is>
      </c>
      <c r="B1191" s="1" t="n">
        <v>45789</v>
      </c>
      <c r="C1191" s="1" t="n">
        <v>45794</v>
      </c>
      <c r="D1191" t="inlineStr">
        <is>
          <t>DALARNAS LÄN</t>
        </is>
      </c>
      <c r="E1191" t="inlineStr">
        <is>
          <t>SMEDJEBACKEN</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22813-2025</t>
        </is>
      </c>
      <c r="B1192" s="1" t="n">
        <v>45789</v>
      </c>
      <c r="C1192" s="1" t="n">
        <v>45794</v>
      </c>
      <c r="D1192" t="inlineStr">
        <is>
          <t>DALARNAS LÄN</t>
        </is>
      </c>
      <c r="E1192" t="inlineStr">
        <is>
          <t>SMEDJEBACKEN</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45794</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23837-2025</t>
        </is>
      </c>
      <c r="B1194" s="1" t="n">
        <v>45793</v>
      </c>
      <c r="C1194" s="1" t="n">
        <v>45794</v>
      </c>
      <c r="D1194" t="inlineStr">
        <is>
          <t>DALARNAS LÄN</t>
        </is>
      </c>
      <c r="E1194" t="inlineStr">
        <is>
          <t>SMEDJEBACKEN</t>
        </is>
      </c>
      <c r="F1194" t="inlineStr">
        <is>
          <t>Sveaskog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23684-2025</t>
        </is>
      </c>
      <c r="B1195" s="1" t="n">
        <v>45793</v>
      </c>
      <c r="C1195" s="1" t="n">
        <v>45794</v>
      </c>
      <c r="D1195" t="inlineStr">
        <is>
          <t>DALARNAS LÄN</t>
        </is>
      </c>
      <c r="E1195" t="inlineStr">
        <is>
          <t>SMEDJEBACKEN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23685-2025</t>
        </is>
      </c>
      <c r="B1196" s="1" t="n">
        <v>45793</v>
      </c>
      <c r="C1196" s="1" t="n">
        <v>45794</v>
      </c>
      <c r="D1196" t="inlineStr">
        <is>
          <t>DALARNAS LÄN</t>
        </is>
      </c>
      <c r="E1196" t="inlineStr">
        <is>
          <t>SMEDJEBACKEN</t>
        </is>
      </c>
      <c r="G1196" t="n">
        <v>2.5</v>
      </c>
      <c r="H1196" t="n">
        <v>0</v>
      </c>
      <c r="I1196" t="n">
        <v>0</v>
      </c>
      <c r="J1196" t="n">
        <v>0</v>
      </c>
      <c r="K1196" t="n">
        <v>0</v>
      </c>
      <c r="L1196" t="n">
        <v>0</v>
      </c>
      <c r="M1196" t="n">
        <v>0</v>
      </c>
      <c r="N1196" t="n">
        <v>0</v>
      </c>
      <c r="O1196" t="n">
        <v>0</v>
      </c>
      <c r="P1196" t="n">
        <v>0</v>
      </c>
      <c r="Q1196" t="n">
        <v>0</v>
      </c>
      <c r="R1196" s="2" t="inlineStr"/>
    </row>
    <row r="1197">
      <c r="A1197" t="inlineStr">
        <is>
          <t>A 23843-2025</t>
        </is>
      </c>
      <c r="B1197" s="1" t="n">
        <v>45793</v>
      </c>
      <c r="C1197" s="1" t="n">
        <v>45794</v>
      </c>
      <c r="D1197" t="inlineStr">
        <is>
          <t>DALARNAS LÄN</t>
        </is>
      </c>
      <c r="E1197" t="inlineStr">
        <is>
          <t>SMEDJEBACKEN</t>
        </is>
      </c>
      <c r="F1197" t="inlineStr">
        <is>
          <t>Sveaskog</t>
        </is>
      </c>
      <c r="G1197" t="n">
        <v>5.2</v>
      </c>
      <c r="H1197" t="n">
        <v>0</v>
      </c>
      <c r="I1197" t="n">
        <v>0</v>
      </c>
      <c r="J1197" t="n">
        <v>0</v>
      </c>
      <c r="K1197" t="n">
        <v>0</v>
      </c>
      <c r="L1197" t="n">
        <v>0</v>
      </c>
      <c r="M1197" t="n">
        <v>0</v>
      </c>
      <c r="N1197" t="n">
        <v>0</v>
      </c>
      <c r="O1197" t="n">
        <v>0</v>
      </c>
      <c r="P1197" t="n">
        <v>0</v>
      </c>
      <c r="Q1197" t="n">
        <v>0</v>
      </c>
      <c r="R1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2025-05-17T17:16:46Z</dcterms:created>
  <dcterms:modified xmlns:dcterms="http://purl.org/dc/terms/" xmlns:xsi="http://www.w3.org/2001/XMLSchema-instance" xsi:type="dcterms:W3CDTF">2025-05-17T17:16:47Z</dcterms:modified>
</cp:coreProperties>
</file>