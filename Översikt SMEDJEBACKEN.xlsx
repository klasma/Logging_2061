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45704</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45704</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45704</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45704</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45704</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45704</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45704</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45704</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45704</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45704</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45704</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45704</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45704</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45704</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45704</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45704</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45704</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45704</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45704</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45704</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45704</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45704</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45704</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45704</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45704</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45704</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45704</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45704</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45704</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45704</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45704</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45704</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32029-2023</t>
        </is>
      </c>
      <c r="B44" s="1" t="n">
        <v>45119</v>
      </c>
      <c r="C44" s="1" t="n">
        <v>45704</v>
      </c>
      <c r="D44" t="inlineStr">
        <is>
          <t>DALARNAS LÄN</t>
        </is>
      </c>
      <c r="E44" t="inlineStr">
        <is>
          <t>SMEDJEBACKEN</t>
        </is>
      </c>
      <c r="F44" t="inlineStr">
        <is>
          <t>Bergvik skog väst AB</t>
        </is>
      </c>
      <c r="G44" t="n">
        <v>3.9</v>
      </c>
      <c r="H44" t="n">
        <v>1</v>
      </c>
      <c r="I44" t="n">
        <v>0</v>
      </c>
      <c r="J44" t="n">
        <v>1</v>
      </c>
      <c r="K44" t="n">
        <v>0</v>
      </c>
      <c r="L44" t="n">
        <v>0</v>
      </c>
      <c r="M44" t="n">
        <v>0</v>
      </c>
      <c r="N44" t="n">
        <v>0</v>
      </c>
      <c r="O44" t="n">
        <v>1</v>
      </c>
      <c r="P44" t="n">
        <v>0</v>
      </c>
      <c r="Q44" t="n">
        <v>1</v>
      </c>
      <c r="R44" s="2" t="inlineStr">
        <is>
          <t>Spillkråka</t>
        </is>
      </c>
      <c r="S44">
        <f>HYPERLINK("https://klasma.github.io/Logging_2061/artfynd/A 32029-2023 artfynd.xlsx", "A 32029-2023")</f>
        <v/>
      </c>
      <c r="T44">
        <f>HYPERLINK("https://klasma.github.io/Logging_2061/kartor/A 32029-2023 karta.png", "A 32029-2023")</f>
        <v/>
      </c>
      <c r="V44">
        <f>HYPERLINK("https://klasma.github.io/Logging_2061/klagomål/A 32029-2023 FSC-klagomål.docx", "A 32029-2023")</f>
        <v/>
      </c>
      <c r="W44">
        <f>HYPERLINK("https://klasma.github.io/Logging_2061/klagomålsmail/A 32029-2023 FSC-klagomål mail.docx", "A 32029-2023")</f>
        <v/>
      </c>
      <c r="X44">
        <f>HYPERLINK("https://klasma.github.io/Logging_2061/tillsyn/A 32029-2023 tillsynsbegäran.docx", "A 32029-2023")</f>
        <v/>
      </c>
      <c r="Y44">
        <f>HYPERLINK("https://klasma.github.io/Logging_2061/tillsynsmail/A 32029-2023 tillsynsbegäran mail.docx", "A 32029-2023")</f>
        <v/>
      </c>
      <c r="Z44">
        <f>HYPERLINK("https://klasma.github.io/Logging_2061/fåglar/A 32029-2023 prioriterade fågelarter.docx", "A 32029-2023")</f>
        <v/>
      </c>
    </row>
    <row r="45" ht="15" customHeight="1">
      <c r="A45" t="inlineStr">
        <is>
          <t>A 46775-2023</t>
        </is>
      </c>
      <c r="B45" s="1" t="n">
        <v>45198</v>
      </c>
      <c r="C45" s="1" t="n">
        <v>45704</v>
      </c>
      <c r="D45" t="inlineStr">
        <is>
          <t>DALARNAS LÄN</t>
        </is>
      </c>
      <c r="E45" t="inlineStr">
        <is>
          <t>SMEDJEBACKEN</t>
        </is>
      </c>
      <c r="F45" t="inlineStr">
        <is>
          <t>Bergvik skog väst AB</t>
        </is>
      </c>
      <c r="G45" t="n">
        <v>1</v>
      </c>
      <c r="H45" t="n">
        <v>0</v>
      </c>
      <c r="I45" t="n">
        <v>1</v>
      </c>
      <c r="J45" t="n">
        <v>0</v>
      </c>
      <c r="K45" t="n">
        <v>0</v>
      </c>
      <c r="L45" t="n">
        <v>0</v>
      </c>
      <c r="M45" t="n">
        <v>0</v>
      </c>
      <c r="N45" t="n">
        <v>0</v>
      </c>
      <c r="O45" t="n">
        <v>0</v>
      </c>
      <c r="P45" t="n">
        <v>0</v>
      </c>
      <c r="Q45" t="n">
        <v>1</v>
      </c>
      <c r="R45" s="2" t="inlineStr">
        <is>
          <t>Tibast</t>
        </is>
      </c>
      <c r="S45">
        <f>HYPERLINK("https://klasma.github.io/Logging_2061/artfynd/A 46775-2023 artfynd.xlsx", "A 46775-2023")</f>
        <v/>
      </c>
      <c r="T45">
        <f>HYPERLINK("https://klasma.github.io/Logging_2061/kartor/A 46775-2023 karta.png", "A 46775-2023")</f>
        <v/>
      </c>
      <c r="V45">
        <f>HYPERLINK("https://klasma.github.io/Logging_2061/klagomål/A 46775-2023 FSC-klagomål.docx", "A 46775-2023")</f>
        <v/>
      </c>
      <c r="W45">
        <f>HYPERLINK("https://klasma.github.io/Logging_2061/klagomålsmail/A 46775-2023 FSC-klagomål mail.docx", "A 46775-2023")</f>
        <v/>
      </c>
      <c r="X45">
        <f>HYPERLINK("https://klasma.github.io/Logging_2061/tillsyn/A 46775-2023 tillsynsbegäran.docx", "A 46775-2023")</f>
        <v/>
      </c>
      <c r="Y45">
        <f>HYPERLINK("https://klasma.github.io/Logging_2061/tillsynsmail/A 46775-2023 tillsynsbegäran mail.docx", "A 46775-2023")</f>
        <v/>
      </c>
    </row>
    <row r="46" ht="15" customHeight="1">
      <c r="A46" t="inlineStr">
        <is>
          <t>A 46752-2023</t>
        </is>
      </c>
      <c r="B46" s="1" t="n">
        <v>45198</v>
      </c>
      <c r="C46" s="1" t="n">
        <v>45704</v>
      </c>
      <c r="D46" t="inlineStr">
        <is>
          <t>DALARNAS LÄN</t>
        </is>
      </c>
      <c r="E46" t="inlineStr">
        <is>
          <t>SMEDJEBACKEN</t>
        </is>
      </c>
      <c r="F46" t="inlineStr">
        <is>
          <t>Bergvik skog väst AB</t>
        </is>
      </c>
      <c r="G46" t="n">
        <v>2.4</v>
      </c>
      <c r="H46" t="n">
        <v>0</v>
      </c>
      <c r="I46" t="n">
        <v>1</v>
      </c>
      <c r="J46" t="n">
        <v>0</v>
      </c>
      <c r="K46" t="n">
        <v>0</v>
      </c>
      <c r="L46" t="n">
        <v>0</v>
      </c>
      <c r="M46" t="n">
        <v>0</v>
      </c>
      <c r="N46" t="n">
        <v>0</v>
      </c>
      <c r="O46" t="n">
        <v>0</v>
      </c>
      <c r="P46" t="n">
        <v>0</v>
      </c>
      <c r="Q46" t="n">
        <v>1</v>
      </c>
      <c r="R46" s="2" t="inlineStr">
        <is>
          <t>Tibast</t>
        </is>
      </c>
      <c r="S46">
        <f>HYPERLINK("https://klasma.github.io/Logging_2061/artfynd/A 46752-2023 artfynd.xlsx", "A 46752-2023")</f>
        <v/>
      </c>
      <c r="T46">
        <f>HYPERLINK("https://klasma.github.io/Logging_2061/kartor/A 46752-2023 karta.png", "A 46752-2023")</f>
        <v/>
      </c>
      <c r="V46">
        <f>HYPERLINK("https://klasma.github.io/Logging_2061/klagomål/A 46752-2023 FSC-klagomål.docx", "A 46752-2023")</f>
        <v/>
      </c>
      <c r="W46">
        <f>HYPERLINK("https://klasma.github.io/Logging_2061/klagomålsmail/A 46752-2023 FSC-klagomål mail.docx", "A 46752-2023")</f>
        <v/>
      </c>
      <c r="X46">
        <f>HYPERLINK("https://klasma.github.io/Logging_2061/tillsyn/A 46752-2023 tillsynsbegäran.docx", "A 46752-2023")</f>
        <v/>
      </c>
      <c r="Y46">
        <f>HYPERLINK("https://klasma.github.io/Logging_2061/tillsynsmail/A 46752-2023 tillsynsbegäran mail.docx", "A 46752-2023")</f>
        <v/>
      </c>
    </row>
    <row r="47" ht="15" customHeight="1">
      <c r="A47" t="inlineStr">
        <is>
          <t>A 46779-2023</t>
        </is>
      </c>
      <c r="B47" s="1" t="n">
        <v>45198</v>
      </c>
      <c r="C47" s="1" t="n">
        <v>45704</v>
      </c>
      <c r="D47" t="inlineStr">
        <is>
          <t>DALARNAS LÄN</t>
        </is>
      </c>
      <c r="E47" t="inlineStr">
        <is>
          <t>SMEDJEBACKEN</t>
        </is>
      </c>
      <c r="F47" t="inlineStr">
        <is>
          <t>Bergvik skog väst AB</t>
        </is>
      </c>
      <c r="G47" t="n">
        <v>14.2</v>
      </c>
      <c r="H47" t="n">
        <v>1</v>
      </c>
      <c r="I47" t="n">
        <v>0</v>
      </c>
      <c r="J47" t="n">
        <v>0</v>
      </c>
      <c r="K47" t="n">
        <v>1</v>
      </c>
      <c r="L47" t="n">
        <v>0</v>
      </c>
      <c r="M47" t="n">
        <v>0</v>
      </c>
      <c r="N47" t="n">
        <v>0</v>
      </c>
      <c r="O47" t="n">
        <v>1</v>
      </c>
      <c r="P47" t="n">
        <v>1</v>
      </c>
      <c r="Q47" t="n">
        <v>1</v>
      </c>
      <c r="R47" s="2" t="inlineStr">
        <is>
          <t>Väddnätfjäril</t>
        </is>
      </c>
      <c r="S47">
        <f>HYPERLINK("https://klasma.github.io/Logging_2061/artfynd/A 46779-2023 artfynd.xlsx", "A 46779-2023")</f>
        <v/>
      </c>
      <c r="T47">
        <f>HYPERLINK("https://klasma.github.io/Logging_2061/kartor/A 46779-2023 karta.png", "A 46779-2023")</f>
        <v/>
      </c>
      <c r="V47">
        <f>HYPERLINK("https://klasma.github.io/Logging_2061/klagomål/A 46779-2023 FSC-klagomål.docx", "A 46779-2023")</f>
        <v/>
      </c>
      <c r="W47">
        <f>HYPERLINK("https://klasma.github.io/Logging_2061/klagomålsmail/A 46779-2023 FSC-klagomål mail.docx", "A 46779-2023")</f>
        <v/>
      </c>
      <c r="X47">
        <f>HYPERLINK("https://klasma.github.io/Logging_2061/tillsyn/A 46779-2023 tillsynsbegäran.docx", "A 46779-2023")</f>
        <v/>
      </c>
      <c r="Y47">
        <f>HYPERLINK("https://klasma.github.io/Logging_2061/tillsynsmail/A 46779-2023 tillsynsbegäran mail.docx", "A 46779-2023")</f>
        <v/>
      </c>
    </row>
    <row r="48" ht="15" customHeight="1">
      <c r="A48" t="inlineStr">
        <is>
          <t>A 54156-2023</t>
        </is>
      </c>
      <c r="B48" s="1" t="n">
        <v>45225</v>
      </c>
      <c r="C48" s="1" t="n">
        <v>45704</v>
      </c>
      <c r="D48" t="inlineStr">
        <is>
          <t>DALARNAS LÄN</t>
        </is>
      </c>
      <c r="E48" t="inlineStr">
        <is>
          <t>SMEDJEBACKEN</t>
        </is>
      </c>
      <c r="F48" t="inlineStr">
        <is>
          <t>Bergvik skog väst AB</t>
        </is>
      </c>
      <c r="G48" t="n">
        <v>26.3</v>
      </c>
      <c r="H48" t="n">
        <v>1</v>
      </c>
      <c r="I48" t="n">
        <v>0</v>
      </c>
      <c r="J48" t="n">
        <v>0</v>
      </c>
      <c r="K48" t="n">
        <v>0</v>
      </c>
      <c r="L48" t="n">
        <v>0</v>
      </c>
      <c r="M48" t="n">
        <v>0</v>
      </c>
      <c r="N48" t="n">
        <v>0</v>
      </c>
      <c r="O48" t="n">
        <v>0</v>
      </c>
      <c r="P48" t="n">
        <v>0</v>
      </c>
      <c r="Q48" t="n">
        <v>1</v>
      </c>
      <c r="R48" s="2" t="inlineStr">
        <is>
          <t>Revlummer</t>
        </is>
      </c>
      <c r="S48">
        <f>HYPERLINK("https://klasma.github.io/Logging_2061/artfynd/A 54156-2023 artfynd.xlsx", "A 54156-2023")</f>
        <v/>
      </c>
      <c r="T48">
        <f>HYPERLINK("https://klasma.github.io/Logging_2061/kartor/A 54156-2023 karta.png", "A 54156-2023")</f>
        <v/>
      </c>
      <c r="V48">
        <f>HYPERLINK("https://klasma.github.io/Logging_2061/klagomål/A 54156-2023 FSC-klagomål.docx", "A 54156-2023")</f>
        <v/>
      </c>
      <c r="W48">
        <f>HYPERLINK("https://klasma.github.io/Logging_2061/klagomålsmail/A 54156-2023 FSC-klagomål mail.docx", "A 54156-2023")</f>
        <v/>
      </c>
      <c r="X48">
        <f>HYPERLINK("https://klasma.github.io/Logging_2061/tillsyn/A 54156-2023 tillsynsbegäran.docx", "A 54156-2023")</f>
        <v/>
      </c>
      <c r="Y48">
        <f>HYPERLINK("https://klasma.github.io/Logging_2061/tillsynsmail/A 54156-2023 tillsynsbegäran mail.docx", "A 54156-2023")</f>
        <v/>
      </c>
    </row>
    <row r="49" ht="15" customHeight="1">
      <c r="A49" t="inlineStr">
        <is>
          <t>A 52958-2023</t>
        </is>
      </c>
      <c r="B49" s="1" t="n">
        <v>45226</v>
      </c>
      <c r="C49" s="1" t="n">
        <v>45704</v>
      </c>
      <c r="D49" t="inlineStr">
        <is>
          <t>DALARNAS LÄN</t>
        </is>
      </c>
      <c r="E49" t="inlineStr">
        <is>
          <t>SMEDJEBACKEN</t>
        </is>
      </c>
      <c r="F49" t="inlineStr">
        <is>
          <t>Sveaskog</t>
        </is>
      </c>
      <c r="G49" t="n">
        <v>4.9</v>
      </c>
      <c r="H49" t="n">
        <v>0</v>
      </c>
      <c r="I49" t="n">
        <v>0</v>
      </c>
      <c r="J49" t="n">
        <v>1</v>
      </c>
      <c r="K49" t="n">
        <v>0</v>
      </c>
      <c r="L49" t="n">
        <v>0</v>
      </c>
      <c r="M49" t="n">
        <v>0</v>
      </c>
      <c r="N49" t="n">
        <v>0</v>
      </c>
      <c r="O49" t="n">
        <v>1</v>
      </c>
      <c r="P49" t="n">
        <v>0</v>
      </c>
      <c r="Q49" t="n">
        <v>1</v>
      </c>
      <c r="R49" s="2" t="inlineStr">
        <is>
          <t>Motaggsvamp</t>
        </is>
      </c>
      <c r="S49">
        <f>HYPERLINK("https://klasma.github.io/Logging_2061/artfynd/A 52958-2023 artfynd.xlsx", "A 52958-2023")</f>
        <v/>
      </c>
      <c r="T49">
        <f>HYPERLINK("https://klasma.github.io/Logging_2061/kartor/A 52958-2023 karta.png", "A 52958-2023")</f>
        <v/>
      </c>
      <c r="V49">
        <f>HYPERLINK("https://klasma.github.io/Logging_2061/klagomål/A 52958-2023 FSC-klagomål.docx", "A 52958-2023")</f>
        <v/>
      </c>
      <c r="W49">
        <f>HYPERLINK("https://klasma.github.io/Logging_2061/klagomålsmail/A 52958-2023 FSC-klagomål mail.docx", "A 52958-2023")</f>
        <v/>
      </c>
      <c r="X49">
        <f>HYPERLINK("https://klasma.github.io/Logging_2061/tillsyn/A 52958-2023 tillsynsbegäran.docx", "A 52958-2023")</f>
        <v/>
      </c>
      <c r="Y49">
        <f>HYPERLINK("https://klasma.github.io/Logging_2061/tillsynsmail/A 52958-2023 tillsynsbegäran mail.docx", "A 52958-2023")</f>
        <v/>
      </c>
    </row>
    <row r="50" ht="15" customHeight="1">
      <c r="A50" t="inlineStr">
        <is>
          <t>A 52953-2023</t>
        </is>
      </c>
      <c r="B50" s="1" t="n">
        <v>45226</v>
      </c>
      <c r="C50" s="1" t="n">
        <v>45704</v>
      </c>
      <c r="D50" t="inlineStr">
        <is>
          <t>DALARNAS LÄN</t>
        </is>
      </c>
      <c r="E50" t="inlineStr">
        <is>
          <t>SMEDJEBACKEN</t>
        </is>
      </c>
      <c r="F50" t="inlineStr">
        <is>
          <t>Sveaskog</t>
        </is>
      </c>
      <c r="G50" t="n">
        <v>0.9</v>
      </c>
      <c r="H50" t="n">
        <v>0</v>
      </c>
      <c r="I50" t="n">
        <v>0</v>
      </c>
      <c r="J50" t="n">
        <v>1</v>
      </c>
      <c r="K50" t="n">
        <v>0</v>
      </c>
      <c r="L50" t="n">
        <v>0</v>
      </c>
      <c r="M50" t="n">
        <v>0</v>
      </c>
      <c r="N50" t="n">
        <v>0</v>
      </c>
      <c r="O50" t="n">
        <v>1</v>
      </c>
      <c r="P50" t="n">
        <v>0</v>
      </c>
      <c r="Q50" t="n">
        <v>1</v>
      </c>
      <c r="R50" s="2" t="inlineStr">
        <is>
          <t>Motaggsvamp</t>
        </is>
      </c>
      <c r="S50">
        <f>HYPERLINK("https://klasma.github.io/Logging_2061/artfynd/A 52953-2023 artfynd.xlsx", "A 52953-2023")</f>
        <v/>
      </c>
      <c r="T50">
        <f>HYPERLINK("https://klasma.github.io/Logging_2061/kartor/A 52953-2023 karta.png", "A 52953-2023")</f>
        <v/>
      </c>
      <c r="V50">
        <f>HYPERLINK("https://klasma.github.io/Logging_2061/klagomål/A 52953-2023 FSC-klagomål.docx", "A 52953-2023")</f>
        <v/>
      </c>
      <c r="W50">
        <f>HYPERLINK("https://klasma.github.io/Logging_2061/klagomålsmail/A 52953-2023 FSC-klagomål mail.docx", "A 52953-2023")</f>
        <v/>
      </c>
      <c r="X50">
        <f>HYPERLINK("https://klasma.github.io/Logging_2061/tillsyn/A 52953-2023 tillsynsbegäran.docx", "A 52953-2023")</f>
        <v/>
      </c>
      <c r="Y50">
        <f>HYPERLINK("https://klasma.github.io/Logging_2061/tillsynsmail/A 52953-2023 tillsynsbegäran mail.docx", "A 52953-2023")</f>
        <v/>
      </c>
    </row>
    <row r="51" ht="15" customHeight="1">
      <c r="A51" t="inlineStr">
        <is>
          <t>A 55476-2023</t>
        </is>
      </c>
      <c r="B51" s="1" t="n">
        <v>45231</v>
      </c>
      <c r="C51" s="1" t="n">
        <v>45704</v>
      </c>
      <c r="D51" t="inlineStr">
        <is>
          <t>DALARNAS LÄN</t>
        </is>
      </c>
      <c r="E51" t="inlineStr">
        <is>
          <t>SMEDJEBACKEN</t>
        </is>
      </c>
      <c r="F51" t="inlineStr">
        <is>
          <t>Bergvik skog väst AB</t>
        </is>
      </c>
      <c r="G51" t="n">
        <v>16.3</v>
      </c>
      <c r="H51" t="n">
        <v>1</v>
      </c>
      <c r="I51" t="n">
        <v>0</v>
      </c>
      <c r="J51" t="n">
        <v>0</v>
      </c>
      <c r="K51" t="n">
        <v>0</v>
      </c>
      <c r="L51" t="n">
        <v>0</v>
      </c>
      <c r="M51" t="n">
        <v>0</v>
      </c>
      <c r="N51" t="n">
        <v>0</v>
      </c>
      <c r="O51" t="n">
        <v>0</v>
      </c>
      <c r="P51" t="n">
        <v>0</v>
      </c>
      <c r="Q51" t="n">
        <v>1</v>
      </c>
      <c r="R51" s="2" t="inlineStr">
        <is>
          <t>Revlummer</t>
        </is>
      </c>
      <c r="S51">
        <f>HYPERLINK("https://klasma.github.io/Logging_2061/artfynd/A 55476-2023 artfynd.xlsx", "A 55476-2023")</f>
        <v/>
      </c>
      <c r="T51">
        <f>HYPERLINK("https://klasma.github.io/Logging_2061/kartor/A 55476-2023 karta.png", "A 55476-2023")</f>
        <v/>
      </c>
      <c r="V51">
        <f>HYPERLINK("https://klasma.github.io/Logging_2061/klagomål/A 55476-2023 FSC-klagomål.docx", "A 55476-2023")</f>
        <v/>
      </c>
      <c r="W51">
        <f>HYPERLINK("https://klasma.github.io/Logging_2061/klagomålsmail/A 55476-2023 FSC-klagomål mail.docx", "A 55476-2023")</f>
        <v/>
      </c>
      <c r="X51">
        <f>HYPERLINK("https://klasma.github.io/Logging_2061/tillsyn/A 55476-2023 tillsynsbegäran.docx", "A 55476-2023")</f>
        <v/>
      </c>
      <c r="Y51">
        <f>HYPERLINK("https://klasma.github.io/Logging_2061/tillsynsmail/A 55476-2023 tillsynsbegäran mail.docx", "A 55476-2023")</f>
        <v/>
      </c>
    </row>
    <row r="52" ht="15" customHeight="1">
      <c r="A52" t="inlineStr">
        <is>
          <t>A 15389-2024</t>
        </is>
      </c>
      <c r="B52" s="1" t="n">
        <v>45401</v>
      </c>
      <c r="C52" s="1" t="n">
        <v>45704</v>
      </c>
      <c r="D52" t="inlineStr">
        <is>
          <t>DALARNAS LÄN</t>
        </is>
      </c>
      <c r="E52" t="inlineStr">
        <is>
          <t>SMEDJEBACKEN</t>
        </is>
      </c>
      <c r="F52" t="inlineStr">
        <is>
          <t>Sveaskog</t>
        </is>
      </c>
      <c r="G52" t="n">
        <v>2.8</v>
      </c>
      <c r="H52" t="n">
        <v>0</v>
      </c>
      <c r="I52" t="n">
        <v>1</v>
      </c>
      <c r="J52" t="n">
        <v>0</v>
      </c>
      <c r="K52" t="n">
        <v>0</v>
      </c>
      <c r="L52" t="n">
        <v>0</v>
      </c>
      <c r="M52" t="n">
        <v>0</v>
      </c>
      <c r="N52" t="n">
        <v>0</v>
      </c>
      <c r="O52" t="n">
        <v>0</v>
      </c>
      <c r="P52" t="n">
        <v>0</v>
      </c>
      <c r="Q52" t="n">
        <v>1</v>
      </c>
      <c r="R52" s="2" t="inlineStr">
        <is>
          <t>Svavelriska</t>
        </is>
      </c>
      <c r="S52">
        <f>HYPERLINK("https://klasma.github.io/Logging_2061/artfynd/A 15389-2024 artfynd.xlsx", "A 15389-2024")</f>
        <v/>
      </c>
      <c r="T52">
        <f>HYPERLINK("https://klasma.github.io/Logging_2061/kartor/A 15389-2024 karta.png", "A 15389-2024")</f>
        <v/>
      </c>
      <c r="V52">
        <f>HYPERLINK("https://klasma.github.io/Logging_2061/klagomål/A 15389-2024 FSC-klagomål.docx", "A 15389-2024")</f>
        <v/>
      </c>
      <c r="W52">
        <f>HYPERLINK("https://klasma.github.io/Logging_2061/klagomålsmail/A 15389-2024 FSC-klagomål mail.docx", "A 15389-2024")</f>
        <v/>
      </c>
      <c r="X52">
        <f>HYPERLINK("https://klasma.github.io/Logging_2061/tillsyn/A 15389-2024 tillsynsbegäran.docx", "A 15389-2024")</f>
        <v/>
      </c>
      <c r="Y52">
        <f>HYPERLINK("https://klasma.github.io/Logging_2061/tillsynsmail/A 15389-2024 tillsynsbegäran mail.docx", "A 15389-2024")</f>
        <v/>
      </c>
    </row>
    <row r="53" ht="15" customHeight="1">
      <c r="A53" t="inlineStr">
        <is>
          <t>A 18020-2024</t>
        </is>
      </c>
      <c r="B53" s="1" t="n">
        <v>45420</v>
      </c>
      <c r="C53" s="1" t="n">
        <v>45704</v>
      </c>
      <c r="D53" t="inlineStr">
        <is>
          <t>DALARNAS LÄN</t>
        </is>
      </c>
      <c r="E53" t="inlineStr">
        <is>
          <t>SMEDJEBACKEN</t>
        </is>
      </c>
      <c r="F53" t="inlineStr">
        <is>
          <t>Sveaskog</t>
        </is>
      </c>
      <c r="G53" t="n">
        <v>2.1</v>
      </c>
      <c r="H53" t="n">
        <v>0</v>
      </c>
      <c r="I53" t="n">
        <v>1</v>
      </c>
      <c r="J53" t="n">
        <v>0</v>
      </c>
      <c r="K53" t="n">
        <v>0</v>
      </c>
      <c r="L53" t="n">
        <v>0</v>
      </c>
      <c r="M53" t="n">
        <v>0</v>
      </c>
      <c r="N53" t="n">
        <v>0</v>
      </c>
      <c r="O53" t="n">
        <v>0</v>
      </c>
      <c r="P53" t="n">
        <v>0</v>
      </c>
      <c r="Q53" t="n">
        <v>1</v>
      </c>
      <c r="R53" s="2" t="inlineStr">
        <is>
          <t>Svavelriska</t>
        </is>
      </c>
      <c r="S53">
        <f>HYPERLINK("https://klasma.github.io/Logging_2061/artfynd/A 18020-2024 artfynd.xlsx", "A 18020-2024")</f>
        <v/>
      </c>
      <c r="T53">
        <f>HYPERLINK("https://klasma.github.io/Logging_2061/kartor/A 18020-2024 karta.png", "A 18020-2024")</f>
        <v/>
      </c>
      <c r="V53">
        <f>HYPERLINK("https://klasma.github.io/Logging_2061/klagomål/A 18020-2024 FSC-klagomål.docx", "A 18020-2024")</f>
        <v/>
      </c>
      <c r="W53">
        <f>HYPERLINK("https://klasma.github.io/Logging_2061/klagomålsmail/A 18020-2024 FSC-klagomål mail.docx", "A 18020-2024")</f>
        <v/>
      </c>
      <c r="X53">
        <f>HYPERLINK("https://klasma.github.io/Logging_2061/tillsyn/A 18020-2024 tillsynsbegäran.docx", "A 18020-2024")</f>
        <v/>
      </c>
      <c r="Y53">
        <f>HYPERLINK("https://klasma.github.io/Logging_2061/tillsynsmail/A 18020-2024 tillsynsbegäran mail.docx", "A 18020-2024")</f>
        <v/>
      </c>
    </row>
    <row r="54" ht="15" customHeight="1">
      <c r="A54" t="inlineStr">
        <is>
          <t>A 21507-2024</t>
        </is>
      </c>
      <c r="B54" s="1" t="n">
        <v>45441</v>
      </c>
      <c r="C54" s="1" t="n">
        <v>45704</v>
      </c>
      <c r="D54" t="inlineStr">
        <is>
          <t>DALARNAS LÄN</t>
        </is>
      </c>
      <c r="E54" t="inlineStr">
        <is>
          <t>SMEDJEBACKEN</t>
        </is>
      </c>
      <c r="F54" t="inlineStr">
        <is>
          <t>Sveaskog</t>
        </is>
      </c>
      <c r="G54" t="n">
        <v>16</v>
      </c>
      <c r="H54" t="n">
        <v>0</v>
      </c>
      <c r="I54" t="n">
        <v>0</v>
      </c>
      <c r="J54" t="n">
        <v>1</v>
      </c>
      <c r="K54" t="n">
        <v>0</v>
      </c>
      <c r="L54" t="n">
        <v>0</v>
      </c>
      <c r="M54" t="n">
        <v>0</v>
      </c>
      <c r="N54" t="n">
        <v>0</v>
      </c>
      <c r="O54" t="n">
        <v>1</v>
      </c>
      <c r="P54" t="n">
        <v>0</v>
      </c>
      <c r="Q54" t="n">
        <v>1</v>
      </c>
      <c r="R54" s="2" t="inlineStr">
        <is>
          <t>Ullticka</t>
        </is>
      </c>
      <c r="S54">
        <f>HYPERLINK("https://klasma.github.io/Logging_2061/artfynd/A 21507-2024 artfynd.xlsx", "A 21507-2024")</f>
        <v/>
      </c>
      <c r="T54">
        <f>HYPERLINK("https://klasma.github.io/Logging_2061/kartor/A 21507-2024 karta.png", "A 21507-2024")</f>
        <v/>
      </c>
      <c r="V54">
        <f>HYPERLINK("https://klasma.github.io/Logging_2061/klagomål/A 21507-2024 FSC-klagomål.docx", "A 21507-2024")</f>
        <v/>
      </c>
      <c r="W54">
        <f>HYPERLINK("https://klasma.github.io/Logging_2061/klagomålsmail/A 21507-2024 FSC-klagomål mail.docx", "A 21507-2024")</f>
        <v/>
      </c>
      <c r="X54">
        <f>HYPERLINK("https://klasma.github.io/Logging_2061/tillsyn/A 21507-2024 tillsynsbegäran.docx", "A 21507-2024")</f>
        <v/>
      </c>
      <c r="Y54">
        <f>HYPERLINK("https://klasma.github.io/Logging_2061/tillsynsmail/A 21507-2024 tillsynsbegäran mail.docx", "A 21507-2024")</f>
        <v/>
      </c>
    </row>
    <row r="55" ht="15" customHeight="1">
      <c r="A55" t="inlineStr">
        <is>
          <t>A 32954-2024</t>
        </is>
      </c>
      <c r="B55" s="1" t="n">
        <v>45517</v>
      </c>
      <c r="C55" s="1" t="n">
        <v>45704</v>
      </c>
      <c r="D55" t="inlineStr">
        <is>
          <t>DALARNAS LÄN</t>
        </is>
      </c>
      <c r="E55" t="inlineStr">
        <is>
          <t>SMEDJEBACKEN</t>
        </is>
      </c>
      <c r="F55" t="inlineStr">
        <is>
          <t>Övriga Aktiebolag</t>
        </is>
      </c>
      <c r="G55" t="n">
        <v>5.9</v>
      </c>
      <c r="H55" t="n">
        <v>1</v>
      </c>
      <c r="I55" t="n">
        <v>0</v>
      </c>
      <c r="J55" t="n">
        <v>0</v>
      </c>
      <c r="K55" t="n">
        <v>0</v>
      </c>
      <c r="L55" t="n">
        <v>0</v>
      </c>
      <c r="M55" t="n">
        <v>0</v>
      </c>
      <c r="N55" t="n">
        <v>0</v>
      </c>
      <c r="O55" t="n">
        <v>0</v>
      </c>
      <c r="P55" t="n">
        <v>0</v>
      </c>
      <c r="Q55" t="n">
        <v>1</v>
      </c>
      <c r="R55" s="2" t="inlineStr">
        <is>
          <t>Fläcknycklar</t>
        </is>
      </c>
      <c r="S55">
        <f>HYPERLINK("https://klasma.github.io/Logging_2061/artfynd/A 32954-2024 artfynd.xlsx", "A 32954-2024")</f>
        <v/>
      </c>
      <c r="T55">
        <f>HYPERLINK("https://klasma.github.io/Logging_2061/kartor/A 32954-2024 karta.png", "A 32954-2024")</f>
        <v/>
      </c>
      <c r="V55">
        <f>HYPERLINK("https://klasma.github.io/Logging_2061/klagomål/A 32954-2024 FSC-klagomål.docx", "A 32954-2024")</f>
        <v/>
      </c>
      <c r="W55">
        <f>HYPERLINK("https://klasma.github.io/Logging_2061/klagomålsmail/A 32954-2024 FSC-klagomål mail.docx", "A 32954-2024")</f>
        <v/>
      </c>
      <c r="X55">
        <f>HYPERLINK("https://klasma.github.io/Logging_2061/tillsyn/A 32954-2024 tillsynsbegäran.docx", "A 32954-2024")</f>
        <v/>
      </c>
      <c r="Y55">
        <f>HYPERLINK("https://klasma.github.io/Logging_2061/tillsynsmail/A 32954-2024 tillsynsbegäran mail.docx", "A 32954-2024")</f>
        <v/>
      </c>
    </row>
    <row r="56" ht="15" customHeight="1">
      <c r="A56" t="inlineStr">
        <is>
          <t>A 34942-2024</t>
        </is>
      </c>
      <c r="B56" s="1" t="n">
        <v>45527</v>
      </c>
      <c r="C56" s="1" t="n">
        <v>45704</v>
      </c>
      <c r="D56" t="inlineStr">
        <is>
          <t>DALARNAS LÄN</t>
        </is>
      </c>
      <c r="E56" t="inlineStr">
        <is>
          <t>SMEDJEBACKEN</t>
        </is>
      </c>
      <c r="G56" t="n">
        <v>11</v>
      </c>
      <c r="H56" t="n">
        <v>0</v>
      </c>
      <c r="I56" t="n">
        <v>0</v>
      </c>
      <c r="J56" t="n">
        <v>1</v>
      </c>
      <c r="K56" t="n">
        <v>0</v>
      </c>
      <c r="L56" t="n">
        <v>0</v>
      </c>
      <c r="M56" t="n">
        <v>0</v>
      </c>
      <c r="N56" t="n">
        <v>0</v>
      </c>
      <c r="O56" t="n">
        <v>1</v>
      </c>
      <c r="P56" t="n">
        <v>0</v>
      </c>
      <c r="Q56" t="n">
        <v>1</v>
      </c>
      <c r="R56" s="2" t="inlineStr">
        <is>
          <t>Skogsklocka</t>
        </is>
      </c>
      <c r="S56">
        <f>HYPERLINK("https://klasma.github.io/Logging_2061/artfynd/A 34942-2024 artfynd.xlsx", "A 34942-2024")</f>
        <v/>
      </c>
      <c r="T56">
        <f>HYPERLINK("https://klasma.github.io/Logging_2061/kartor/A 34942-2024 karta.png", "A 34942-2024")</f>
        <v/>
      </c>
      <c r="V56">
        <f>HYPERLINK("https://klasma.github.io/Logging_2061/klagomål/A 34942-2024 FSC-klagomål.docx", "A 34942-2024")</f>
        <v/>
      </c>
      <c r="W56">
        <f>HYPERLINK("https://klasma.github.io/Logging_2061/klagomålsmail/A 34942-2024 FSC-klagomål mail.docx", "A 34942-2024")</f>
        <v/>
      </c>
      <c r="X56">
        <f>HYPERLINK("https://klasma.github.io/Logging_2061/tillsyn/A 34942-2024 tillsynsbegäran.docx", "A 34942-2024")</f>
        <v/>
      </c>
      <c r="Y56">
        <f>HYPERLINK("https://klasma.github.io/Logging_2061/tillsynsmail/A 34942-2024 tillsynsbegäran mail.docx", "A 34942-2024")</f>
        <v/>
      </c>
    </row>
    <row r="57" ht="15" customHeight="1">
      <c r="A57" t="inlineStr">
        <is>
          <t>A 37313-2024</t>
        </is>
      </c>
      <c r="B57" s="1" t="n">
        <v>45540</v>
      </c>
      <c r="C57" s="1" t="n">
        <v>45704</v>
      </c>
      <c r="D57" t="inlineStr">
        <is>
          <t>DALARNAS LÄN</t>
        </is>
      </c>
      <c r="E57" t="inlineStr">
        <is>
          <t>SMEDJEBACKEN</t>
        </is>
      </c>
      <c r="F57" t="inlineStr">
        <is>
          <t>Bergvik skog väst AB</t>
        </is>
      </c>
      <c r="G57" t="n">
        <v>46.5</v>
      </c>
      <c r="H57" t="n">
        <v>0</v>
      </c>
      <c r="I57" t="n">
        <v>1</v>
      </c>
      <c r="J57" t="n">
        <v>0</v>
      </c>
      <c r="K57" t="n">
        <v>0</v>
      </c>
      <c r="L57" t="n">
        <v>0</v>
      </c>
      <c r="M57" t="n">
        <v>0</v>
      </c>
      <c r="N57" t="n">
        <v>0</v>
      </c>
      <c r="O57" t="n">
        <v>0</v>
      </c>
      <c r="P57" t="n">
        <v>0</v>
      </c>
      <c r="Q57" t="n">
        <v>1</v>
      </c>
      <c r="R57" s="2" t="inlineStr">
        <is>
          <t>Fjällig taggsvamp s.str.</t>
        </is>
      </c>
      <c r="S57">
        <f>HYPERLINK("https://klasma.github.io/Logging_2061/artfynd/A 37313-2024 artfynd.xlsx", "A 37313-2024")</f>
        <v/>
      </c>
      <c r="T57">
        <f>HYPERLINK("https://klasma.github.io/Logging_2061/kartor/A 37313-2024 karta.png", "A 37313-2024")</f>
        <v/>
      </c>
      <c r="V57">
        <f>HYPERLINK("https://klasma.github.io/Logging_2061/klagomål/A 37313-2024 FSC-klagomål.docx", "A 37313-2024")</f>
        <v/>
      </c>
      <c r="W57">
        <f>HYPERLINK("https://klasma.github.io/Logging_2061/klagomålsmail/A 37313-2024 FSC-klagomål mail.docx", "A 37313-2024")</f>
        <v/>
      </c>
      <c r="X57">
        <f>HYPERLINK("https://klasma.github.io/Logging_2061/tillsyn/A 37313-2024 tillsynsbegäran.docx", "A 37313-2024")</f>
        <v/>
      </c>
      <c r="Y57">
        <f>HYPERLINK("https://klasma.github.io/Logging_2061/tillsynsmail/A 37313-2024 tillsynsbegäran mail.docx", "A 37313-2024")</f>
        <v/>
      </c>
    </row>
    <row r="58" ht="15" customHeight="1">
      <c r="A58" t="inlineStr">
        <is>
          <t>A 45577-2024</t>
        </is>
      </c>
      <c r="B58" s="1" t="n">
        <v>45579</v>
      </c>
      <c r="C58" s="1" t="n">
        <v>45704</v>
      </c>
      <c r="D58" t="inlineStr">
        <is>
          <t>DALARNAS LÄN</t>
        </is>
      </c>
      <c r="E58" t="inlineStr">
        <is>
          <t>SMEDJEBACKEN</t>
        </is>
      </c>
      <c r="F58" t="inlineStr">
        <is>
          <t>Sveaskog</t>
        </is>
      </c>
      <c r="G58" t="n">
        <v>18.6</v>
      </c>
      <c r="H58" t="n">
        <v>1</v>
      </c>
      <c r="I58" t="n">
        <v>0</v>
      </c>
      <c r="J58" t="n">
        <v>0</v>
      </c>
      <c r="K58" t="n">
        <v>0</v>
      </c>
      <c r="L58" t="n">
        <v>0</v>
      </c>
      <c r="M58" t="n">
        <v>0</v>
      </c>
      <c r="N58" t="n">
        <v>0</v>
      </c>
      <c r="O58" t="n">
        <v>0</v>
      </c>
      <c r="P58" t="n">
        <v>0</v>
      </c>
      <c r="Q58" t="n">
        <v>1</v>
      </c>
      <c r="R58" s="2" t="inlineStr">
        <is>
          <t>Tjäder</t>
        </is>
      </c>
      <c r="S58">
        <f>HYPERLINK("https://klasma.github.io/Logging_2061/artfynd/A 45577-2024 artfynd.xlsx", "A 45577-2024")</f>
        <v/>
      </c>
      <c r="T58">
        <f>HYPERLINK("https://klasma.github.io/Logging_2061/kartor/A 45577-2024 karta.png", "A 45577-2024")</f>
        <v/>
      </c>
      <c r="V58">
        <f>HYPERLINK("https://klasma.github.io/Logging_2061/klagomål/A 45577-2024 FSC-klagomål.docx", "A 45577-2024")</f>
        <v/>
      </c>
      <c r="W58">
        <f>HYPERLINK("https://klasma.github.io/Logging_2061/klagomålsmail/A 45577-2024 FSC-klagomål mail.docx", "A 45577-2024")</f>
        <v/>
      </c>
      <c r="X58">
        <f>HYPERLINK("https://klasma.github.io/Logging_2061/tillsyn/A 45577-2024 tillsynsbegäran.docx", "A 45577-2024")</f>
        <v/>
      </c>
      <c r="Y58">
        <f>HYPERLINK("https://klasma.github.io/Logging_2061/tillsynsmail/A 45577-2024 tillsynsbegäran mail.docx", "A 45577-2024")</f>
        <v/>
      </c>
      <c r="Z58">
        <f>HYPERLINK("https://klasma.github.io/Logging_2061/fåglar/A 45577-2024 prioriterade fågelarter.docx", "A 45577-2024")</f>
        <v/>
      </c>
    </row>
    <row r="59" ht="15" customHeight="1">
      <c r="A59" t="inlineStr">
        <is>
          <t>A 52242-2024</t>
        </is>
      </c>
      <c r="B59" s="1" t="n">
        <v>45607</v>
      </c>
      <c r="C59" s="1" t="n">
        <v>45704</v>
      </c>
      <c r="D59" t="inlineStr">
        <is>
          <t>DALARNAS LÄN</t>
        </is>
      </c>
      <c r="E59" t="inlineStr">
        <is>
          <t>SMEDJEBACKEN</t>
        </is>
      </c>
      <c r="F59" t="inlineStr">
        <is>
          <t>Bergvik skog väst AB</t>
        </is>
      </c>
      <c r="G59" t="n">
        <v>26.2</v>
      </c>
      <c r="H59" t="n">
        <v>1</v>
      </c>
      <c r="I59" t="n">
        <v>0</v>
      </c>
      <c r="J59" t="n">
        <v>1</v>
      </c>
      <c r="K59" t="n">
        <v>0</v>
      </c>
      <c r="L59" t="n">
        <v>0</v>
      </c>
      <c r="M59" t="n">
        <v>0</v>
      </c>
      <c r="N59" t="n">
        <v>0</v>
      </c>
      <c r="O59" t="n">
        <v>1</v>
      </c>
      <c r="P59" t="n">
        <v>0</v>
      </c>
      <c r="Q59" t="n">
        <v>1</v>
      </c>
      <c r="R59" s="2" t="inlineStr">
        <is>
          <t>Havsörn</t>
        </is>
      </c>
      <c r="S59">
        <f>HYPERLINK("https://klasma.github.io/Logging_2061/artfynd/A 52242-2024 artfynd.xlsx", "A 52242-2024")</f>
        <v/>
      </c>
      <c r="T59">
        <f>HYPERLINK("https://klasma.github.io/Logging_2061/kartor/A 52242-2024 karta.png", "A 52242-2024")</f>
        <v/>
      </c>
      <c r="V59">
        <f>HYPERLINK("https://klasma.github.io/Logging_2061/klagomål/A 52242-2024 FSC-klagomål.docx", "A 52242-2024")</f>
        <v/>
      </c>
      <c r="W59">
        <f>HYPERLINK("https://klasma.github.io/Logging_2061/klagomålsmail/A 52242-2024 FSC-klagomål mail.docx", "A 52242-2024")</f>
        <v/>
      </c>
      <c r="X59">
        <f>HYPERLINK("https://klasma.github.io/Logging_2061/tillsyn/A 52242-2024 tillsynsbegäran.docx", "A 52242-2024")</f>
        <v/>
      </c>
      <c r="Y59">
        <f>HYPERLINK("https://klasma.github.io/Logging_2061/tillsynsmail/A 52242-2024 tillsynsbegäran mail.docx", "A 52242-2024")</f>
        <v/>
      </c>
      <c r="Z59">
        <f>HYPERLINK("https://klasma.github.io/Logging_2061/fåglar/A 52242-2024 prioriterade fågelarter.docx", "A 52242-2024")</f>
        <v/>
      </c>
    </row>
    <row r="60" ht="15" customHeight="1">
      <c r="A60" t="inlineStr">
        <is>
          <t>A 52601-2024</t>
        </is>
      </c>
      <c r="B60" s="1" t="n">
        <v>45609</v>
      </c>
      <c r="C60" s="1" t="n">
        <v>45704</v>
      </c>
      <c r="D60" t="inlineStr">
        <is>
          <t>DALARNAS LÄN</t>
        </is>
      </c>
      <c r="E60" t="inlineStr">
        <is>
          <t>SMEDJEBACKEN</t>
        </is>
      </c>
      <c r="F60" t="inlineStr">
        <is>
          <t>Bergvik skog väst AB</t>
        </is>
      </c>
      <c r="G60" t="n">
        <v>47.9</v>
      </c>
      <c r="H60" t="n">
        <v>0</v>
      </c>
      <c r="I60" t="n">
        <v>0</v>
      </c>
      <c r="J60" t="n">
        <v>1</v>
      </c>
      <c r="K60" t="n">
        <v>0</v>
      </c>
      <c r="L60" t="n">
        <v>0</v>
      </c>
      <c r="M60" t="n">
        <v>0</v>
      </c>
      <c r="N60" t="n">
        <v>0</v>
      </c>
      <c r="O60" t="n">
        <v>1</v>
      </c>
      <c r="P60" t="n">
        <v>0</v>
      </c>
      <c r="Q60" t="n">
        <v>1</v>
      </c>
      <c r="R60" s="2" t="inlineStr">
        <is>
          <t>Tallticka</t>
        </is>
      </c>
      <c r="S60">
        <f>HYPERLINK("https://klasma.github.io/Logging_2061/artfynd/A 52601-2024 artfynd.xlsx", "A 52601-2024")</f>
        <v/>
      </c>
      <c r="T60">
        <f>HYPERLINK("https://klasma.github.io/Logging_2061/kartor/A 52601-2024 karta.png", "A 52601-2024")</f>
        <v/>
      </c>
      <c r="U60">
        <f>HYPERLINK("https://klasma.github.io/Logging_2061/knärot/A 52601-2024 karta knärot.png", "A 52601-2024")</f>
        <v/>
      </c>
      <c r="V60">
        <f>HYPERLINK("https://klasma.github.io/Logging_2061/klagomål/A 52601-2024 FSC-klagomål.docx", "A 52601-2024")</f>
        <v/>
      </c>
      <c r="W60">
        <f>HYPERLINK("https://klasma.github.io/Logging_2061/klagomålsmail/A 52601-2024 FSC-klagomål mail.docx", "A 52601-2024")</f>
        <v/>
      </c>
      <c r="X60">
        <f>HYPERLINK("https://klasma.github.io/Logging_2061/tillsyn/A 52601-2024 tillsynsbegäran.docx", "A 52601-2024")</f>
        <v/>
      </c>
      <c r="Y60">
        <f>HYPERLINK("https://klasma.github.io/Logging_2061/tillsynsmail/A 52601-2024 tillsynsbegäran mail.docx", "A 52601-2024")</f>
        <v/>
      </c>
    </row>
    <row r="61" ht="15" customHeight="1">
      <c r="A61" t="inlineStr">
        <is>
          <t>A 61916-2024</t>
        </is>
      </c>
      <c r="B61" s="1" t="n">
        <v>45653</v>
      </c>
      <c r="C61" s="1" t="n">
        <v>45704</v>
      </c>
      <c r="D61" t="inlineStr">
        <is>
          <t>DALARNAS LÄN</t>
        </is>
      </c>
      <c r="E61" t="inlineStr">
        <is>
          <t>SMEDJEBACKEN</t>
        </is>
      </c>
      <c r="G61" t="n">
        <v>11.1</v>
      </c>
      <c r="H61" t="n">
        <v>1</v>
      </c>
      <c r="I61" t="n">
        <v>0</v>
      </c>
      <c r="J61" t="n">
        <v>0</v>
      </c>
      <c r="K61" t="n">
        <v>0</v>
      </c>
      <c r="L61" t="n">
        <v>0</v>
      </c>
      <c r="M61" t="n">
        <v>0</v>
      </c>
      <c r="N61" t="n">
        <v>0</v>
      </c>
      <c r="O61" t="n">
        <v>0</v>
      </c>
      <c r="P61" t="n">
        <v>0</v>
      </c>
      <c r="Q61" t="n">
        <v>1</v>
      </c>
      <c r="R61" s="2" t="inlineStr">
        <is>
          <t>Mattlummer</t>
        </is>
      </c>
      <c r="S61">
        <f>HYPERLINK("https://klasma.github.io/Logging_2061/artfynd/A 61916-2024 artfynd.xlsx", "A 61916-2024")</f>
        <v/>
      </c>
      <c r="T61">
        <f>HYPERLINK("https://klasma.github.io/Logging_2061/kartor/A 61916-2024 karta.png", "A 61916-2024")</f>
        <v/>
      </c>
      <c r="V61">
        <f>HYPERLINK("https://klasma.github.io/Logging_2061/klagomål/A 61916-2024 FSC-klagomål.docx", "A 61916-2024")</f>
        <v/>
      </c>
      <c r="W61">
        <f>HYPERLINK("https://klasma.github.io/Logging_2061/klagomålsmail/A 61916-2024 FSC-klagomål mail.docx", "A 61916-2024")</f>
        <v/>
      </c>
      <c r="X61">
        <f>HYPERLINK("https://klasma.github.io/Logging_2061/tillsyn/A 61916-2024 tillsynsbegäran.docx", "A 61916-2024")</f>
        <v/>
      </c>
      <c r="Y61">
        <f>HYPERLINK("https://klasma.github.io/Logging_2061/tillsynsmail/A 61916-2024 tillsynsbegäran mail.docx", "A 61916-2024")</f>
        <v/>
      </c>
    </row>
    <row r="62" ht="15" customHeight="1">
      <c r="A62" t="inlineStr">
        <is>
          <t>A 18701-2019</t>
        </is>
      </c>
      <c r="B62" s="1" t="n">
        <v>43560</v>
      </c>
      <c r="C62" s="1" t="n">
        <v>45704</v>
      </c>
      <c r="D62" t="inlineStr">
        <is>
          <t>DALARNAS LÄN</t>
        </is>
      </c>
      <c r="E62" t="inlineStr">
        <is>
          <t>SMEDJEBACKEN</t>
        </is>
      </c>
      <c r="G62" t="n">
        <v>3.4</v>
      </c>
      <c r="H62" t="n">
        <v>0</v>
      </c>
      <c r="I62" t="n">
        <v>0</v>
      </c>
      <c r="J62" t="n">
        <v>0</v>
      </c>
      <c r="K62" t="n">
        <v>0</v>
      </c>
      <c r="L62" t="n">
        <v>0</v>
      </c>
      <c r="M62" t="n">
        <v>0</v>
      </c>
      <c r="N62" t="n">
        <v>0</v>
      </c>
      <c r="O62" t="n">
        <v>0</v>
      </c>
      <c r="P62" t="n">
        <v>0</v>
      </c>
      <c r="Q62" t="n">
        <v>0</v>
      </c>
      <c r="R62" s="2" t="inlineStr"/>
    </row>
    <row r="63" ht="15" customHeight="1">
      <c r="A63" t="inlineStr">
        <is>
          <t>A 19527-2019</t>
        </is>
      </c>
      <c r="B63" s="1" t="n">
        <v>43565</v>
      </c>
      <c r="C63" s="1" t="n">
        <v>45704</v>
      </c>
      <c r="D63" t="inlineStr">
        <is>
          <t>DALARNAS LÄN</t>
        </is>
      </c>
      <c r="E63" t="inlineStr">
        <is>
          <t>SMEDJEBACKEN</t>
        </is>
      </c>
      <c r="G63" t="n">
        <v>1.8</v>
      </c>
      <c r="H63" t="n">
        <v>0</v>
      </c>
      <c r="I63" t="n">
        <v>0</v>
      </c>
      <c r="J63" t="n">
        <v>0</v>
      </c>
      <c r="K63" t="n">
        <v>0</v>
      </c>
      <c r="L63" t="n">
        <v>0</v>
      </c>
      <c r="M63" t="n">
        <v>0</v>
      </c>
      <c r="N63" t="n">
        <v>0</v>
      </c>
      <c r="O63" t="n">
        <v>0</v>
      </c>
      <c r="P63" t="n">
        <v>0</v>
      </c>
      <c r="Q63" t="n">
        <v>0</v>
      </c>
      <c r="R63" s="2" t="inlineStr"/>
    </row>
    <row r="64" ht="15" customHeight="1">
      <c r="A64" t="inlineStr">
        <is>
          <t>A 22029-2019</t>
        </is>
      </c>
      <c r="B64" s="1" t="n">
        <v>43584</v>
      </c>
      <c r="C64" s="1" t="n">
        <v>45704</v>
      </c>
      <c r="D64" t="inlineStr">
        <is>
          <t>DALARNAS LÄN</t>
        </is>
      </c>
      <c r="E64" t="inlineStr">
        <is>
          <t>SMEDJEBACKEN</t>
        </is>
      </c>
      <c r="G64" t="n">
        <v>3</v>
      </c>
      <c r="H64" t="n">
        <v>0</v>
      </c>
      <c r="I64" t="n">
        <v>0</v>
      </c>
      <c r="J64" t="n">
        <v>0</v>
      </c>
      <c r="K64" t="n">
        <v>0</v>
      </c>
      <c r="L64" t="n">
        <v>0</v>
      </c>
      <c r="M64" t="n">
        <v>0</v>
      </c>
      <c r="N64" t="n">
        <v>0</v>
      </c>
      <c r="O64" t="n">
        <v>0</v>
      </c>
      <c r="P64" t="n">
        <v>0</v>
      </c>
      <c r="Q64" t="n">
        <v>0</v>
      </c>
      <c r="R64" s="2" t="inlineStr"/>
    </row>
    <row r="65" ht="15" customHeight="1">
      <c r="A65" t="inlineStr">
        <is>
          <t>A 23576-2019</t>
        </is>
      </c>
      <c r="B65" s="1" t="n">
        <v>43593</v>
      </c>
      <c r="C65" s="1" t="n">
        <v>45704</v>
      </c>
      <c r="D65" t="inlineStr">
        <is>
          <t>DALARNAS LÄN</t>
        </is>
      </c>
      <c r="E65" t="inlineStr">
        <is>
          <t>SMEDJEBACKEN</t>
        </is>
      </c>
      <c r="G65" t="n">
        <v>1.4</v>
      </c>
      <c r="H65" t="n">
        <v>0</v>
      </c>
      <c r="I65" t="n">
        <v>0</v>
      </c>
      <c r="J65" t="n">
        <v>0</v>
      </c>
      <c r="K65" t="n">
        <v>0</v>
      </c>
      <c r="L65" t="n">
        <v>0</v>
      </c>
      <c r="M65" t="n">
        <v>0</v>
      </c>
      <c r="N65" t="n">
        <v>0</v>
      </c>
      <c r="O65" t="n">
        <v>0</v>
      </c>
      <c r="P65" t="n">
        <v>0</v>
      </c>
      <c r="Q65" t="n">
        <v>0</v>
      </c>
      <c r="R65" s="2" t="inlineStr"/>
    </row>
    <row r="66" ht="15" customHeight="1">
      <c r="A66" t="inlineStr">
        <is>
          <t>A 23907-2019</t>
        </is>
      </c>
      <c r="B66" s="1" t="n">
        <v>43595</v>
      </c>
      <c r="C66" s="1" t="n">
        <v>45704</v>
      </c>
      <c r="D66" t="inlineStr">
        <is>
          <t>DALARNAS LÄN</t>
        </is>
      </c>
      <c r="E66" t="inlineStr">
        <is>
          <t>SMEDJEBACKEN</t>
        </is>
      </c>
      <c r="G66" t="n">
        <v>7.2</v>
      </c>
      <c r="H66" t="n">
        <v>0</v>
      </c>
      <c r="I66" t="n">
        <v>0</v>
      </c>
      <c r="J66" t="n">
        <v>0</v>
      </c>
      <c r="K66" t="n">
        <v>0</v>
      </c>
      <c r="L66" t="n">
        <v>0</v>
      </c>
      <c r="M66" t="n">
        <v>0</v>
      </c>
      <c r="N66" t="n">
        <v>0</v>
      </c>
      <c r="O66" t="n">
        <v>0</v>
      </c>
      <c r="P66" t="n">
        <v>0</v>
      </c>
      <c r="Q66" t="n">
        <v>0</v>
      </c>
      <c r="R66" s="2" t="inlineStr"/>
    </row>
    <row r="67" ht="15" customHeight="1">
      <c r="A67" t="inlineStr">
        <is>
          <t>A 25671-2019</t>
        </is>
      </c>
      <c r="B67" s="1" t="n">
        <v>43607</v>
      </c>
      <c r="C67" s="1" t="n">
        <v>45704</v>
      </c>
      <c r="D67" t="inlineStr">
        <is>
          <t>DALARNAS LÄN</t>
        </is>
      </c>
      <c r="E67" t="inlineStr">
        <is>
          <t>SMEDJEBACKEN</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27354-2019</t>
        </is>
      </c>
      <c r="B68" s="1" t="n">
        <v>43616</v>
      </c>
      <c r="C68" s="1" t="n">
        <v>45704</v>
      </c>
      <c r="D68" t="inlineStr">
        <is>
          <t>DALARNAS LÄN</t>
        </is>
      </c>
      <c r="E68" t="inlineStr">
        <is>
          <t>SMEDJEBACKEN</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27345-2019</t>
        </is>
      </c>
      <c r="B69" s="1" t="n">
        <v>43616</v>
      </c>
      <c r="C69" s="1" t="n">
        <v>45704</v>
      </c>
      <c r="D69" t="inlineStr">
        <is>
          <t>DALARNAS LÄN</t>
        </is>
      </c>
      <c r="E69" t="inlineStr">
        <is>
          <t>SMEDJEBACKEN</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27351-2019</t>
        </is>
      </c>
      <c r="B70" s="1" t="n">
        <v>43616</v>
      </c>
      <c r="C70" s="1" t="n">
        <v>45704</v>
      </c>
      <c r="D70" t="inlineStr">
        <is>
          <t>DALARNAS LÄN</t>
        </is>
      </c>
      <c r="E70" t="inlineStr">
        <is>
          <t>SMEDJEBACKEN</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27352-2019</t>
        </is>
      </c>
      <c r="B71" s="1" t="n">
        <v>43616</v>
      </c>
      <c r="C71" s="1" t="n">
        <v>45704</v>
      </c>
      <c r="D71" t="inlineStr">
        <is>
          <t>DALARNAS LÄN</t>
        </is>
      </c>
      <c r="E71" t="inlineStr">
        <is>
          <t>SMEDJEBACKEN</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29124-2019</t>
        </is>
      </c>
      <c r="B72" s="1" t="n">
        <v>43628</v>
      </c>
      <c r="C72" s="1" t="n">
        <v>45704</v>
      </c>
      <c r="D72" t="inlineStr">
        <is>
          <t>DALARNAS LÄN</t>
        </is>
      </c>
      <c r="E72" t="inlineStr">
        <is>
          <t>SMEDJEBACKEN</t>
        </is>
      </c>
      <c r="G72" t="n">
        <v>1.9</v>
      </c>
      <c r="H72" t="n">
        <v>0</v>
      </c>
      <c r="I72" t="n">
        <v>0</v>
      </c>
      <c r="J72" t="n">
        <v>0</v>
      </c>
      <c r="K72" t="n">
        <v>0</v>
      </c>
      <c r="L72" t="n">
        <v>0</v>
      </c>
      <c r="M72" t="n">
        <v>0</v>
      </c>
      <c r="N72" t="n">
        <v>0</v>
      </c>
      <c r="O72" t="n">
        <v>0</v>
      </c>
      <c r="P72" t="n">
        <v>0</v>
      </c>
      <c r="Q72" t="n">
        <v>0</v>
      </c>
      <c r="R72" s="2" t="inlineStr"/>
    </row>
    <row r="73" ht="15" customHeight="1">
      <c r="A73" t="inlineStr">
        <is>
          <t>A 29467-2019</t>
        </is>
      </c>
      <c r="B73" s="1" t="n">
        <v>43629</v>
      </c>
      <c r="C73" s="1" t="n">
        <v>45704</v>
      </c>
      <c r="D73" t="inlineStr">
        <is>
          <t>DALARNAS LÄN</t>
        </is>
      </c>
      <c r="E73" t="inlineStr">
        <is>
          <t>SMEDJEBACKEN</t>
        </is>
      </c>
      <c r="G73" t="n">
        <v>2.9</v>
      </c>
      <c r="H73" t="n">
        <v>0</v>
      </c>
      <c r="I73" t="n">
        <v>0</v>
      </c>
      <c r="J73" t="n">
        <v>0</v>
      </c>
      <c r="K73" t="n">
        <v>0</v>
      </c>
      <c r="L73" t="n">
        <v>0</v>
      </c>
      <c r="M73" t="n">
        <v>0</v>
      </c>
      <c r="N73" t="n">
        <v>0</v>
      </c>
      <c r="O73" t="n">
        <v>0</v>
      </c>
      <c r="P73" t="n">
        <v>0</v>
      </c>
      <c r="Q73" t="n">
        <v>0</v>
      </c>
      <c r="R73" s="2" t="inlineStr"/>
    </row>
    <row r="74" ht="15" customHeight="1">
      <c r="A74" t="inlineStr">
        <is>
          <t>A 29661-2019</t>
        </is>
      </c>
      <c r="B74" s="1" t="n">
        <v>43630</v>
      </c>
      <c r="C74" s="1" t="n">
        <v>45704</v>
      </c>
      <c r="D74" t="inlineStr">
        <is>
          <t>DALARNAS LÄN</t>
        </is>
      </c>
      <c r="E74" t="inlineStr">
        <is>
          <t>SMEDJEBACKEN</t>
        </is>
      </c>
      <c r="G74" t="n">
        <v>3.6</v>
      </c>
      <c r="H74" t="n">
        <v>0</v>
      </c>
      <c r="I74" t="n">
        <v>0</v>
      </c>
      <c r="J74" t="n">
        <v>0</v>
      </c>
      <c r="K74" t="n">
        <v>0</v>
      </c>
      <c r="L74" t="n">
        <v>0</v>
      </c>
      <c r="M74" t="n">
        <v>0</v>
      </c>
      <c r="N74" t="n">
        <v>0</v>
      </c>
      <c r="O74" t="n">
        <v>0</v>
      </c>
      <c r="P74" t="n">
        <v>0</v>
      </c>
      <c r="Q74" t="n">
        <v>0</v>
      </c>
      <c r="R74" s="2" t="inlineStr"/>
    </row>
    <row r="75" ht="15" customHeight="1">
      <c r="A75" t="inlineStr">
        <is>
          <t>A 32138-2019</t>
        </is>
      </c>
      <c r="B75" s="1" t="n">
        <v>43643</v>
      </c>
      <c r="C75" s="1" t="n">
        <v>45704</v>
      </c>
      <c r="D75" t="inlineStr">
        <is>
          <t>DALARNAS LÄN</t>
        </is>
      </c>
      <c r="E75" t="inlineStr">
        <is>
          <t>SMEDJEBACKEN</t>
        </is>
      </c>
      <c r="G75" t="n">
        <v>0.8</v>
      </c>
      <c r="H75" t="n">
        <v>0</v>
      </c>
      <c r="I75" t="n">
        <v>0</v>
      </c>
      <c r="J75" t="n">
        <v>0</v>
      </c>
      <c r="K75" t="n">
        <v>0</v>
      </c>
      <c r="L75" t="n">
        <v>0</v>
      </c>
      <c r="M75" t="n">
        <v>0</v>
      </c>
      <c r="N75" t="n">
        <v>0</v>
      </c>
      <c r="O75" t="n">
        <v>0</v>
      </c>
      <c r="P75" t="n">
        <v>0</v>
      </c>
      <c r="Q75" t="n">
        <v>0</v>
      </c>
      <c r="R75" s="2" t="inlineStr"/>
    </row>
    <row r="76" ht="15" customHeight="1">
      <c r="A76" t="inlineStr">
        <is>
          <t>A 32457-2019</t>
        </is>
      </c>
      <c r="B76" s="1" t="n">
        <v>43644</v>
      </c>
      <c r="C76" s="1" t="n">
        <v>45704</v>
      </c>
      <c r="D76" t="inlineStr">
        <is>
          <t>DALARNAS LÄN</t>
        </is>
      </c>
      <c r="E76" t="inlineStr">
        <is>
          <t>SMEDJEBACKEN</t>
        </is>
      </c>
      <c r="G76" t="n">
        <v>2.3</v>
      </c>
      <c r="H76" t="n">
        <v>0</v>
      </c>
      <c r="I76" t="n">
        <v>0</v>
      </c>
      <c r="J76" t="n">
        <v>0</v>
      </c>
      <c r="K76" t="n">
        <v>0</v>
      </c>
      <c r="L76" t="n">
        <v>0</v>
      </c>
      <c r="M76" t="n">
        <v>0</v>
      </c>
      <c r="N76" t="n">
        <v>0</v>
      </c>
      <c r="O76" t="n">
        <v>0</v>
      </c>
      <c r="P76" t="n">
        <v>0</v>
      </c>
      <c r="Q76" t="n">
        <v>0</v>
      </c>
      <c r="R76" s="2" t="inlineStr"/>
    </row>
    <row r="77" ht="15" customHeight="1">
      <c r="A77" t="inlineStr">
        <is>
          <t>A 33859-2019</t>
        </is>
      </c>
      <c r="B77" s="1" t="n">
        <v>43652</v>
      </c>
      <c r="C77" s="1" t="n">
        <v>45704</v>
      </c>
      <c r="D77" t="inlineStr">
        <is>
          <t>DALARNAS LÄN</t>
        </is>
      </c>
      <c r="E77" t="inlineStr">
        <is>
          <t>SMEDJEBACKEN</t>
        </is>
      </c>
      <c r="G77" t="n">
        <v>1.4</v>
      </c>
      <c r="H77" t="n">
        <v>0</v>
      </c>
      <c r="I77" t="n">
        <v>0</v>
      </c>
      <c r="J77" t="n">
        <v>0</v>
      </c>
      <c r="K77" t="n">
        <v>0</v>
      </c>
      <c r="L77" t="n">
        <v>0</v>
      </c>
      <c r="M77" t="n">
        <v>0</v>
      </c>
      <c r="N77" t="n">
        <v>0</v>
      </c>
      <c r="O77" t="n">
        <v>0</v>
      </c>
      <c r="P77" t="n">
        <v>0</v>
      </c>
      <c r="Q77" t="n">
        <v>0</v>
      </c>
      <c r="R77" s="2" t="inlineStr"/>
    </row>
    <row r="78" ht="15" customHeight="1">
      <c r="A78" t="inlineStr">
        <is>
          <t>A 37360-2019</t>
        </is>
      </c>
      <c r="B78" s="1" t="n">
        <v>43678</v>
      </c>
      <c r="C78" s="1" t="n">
        <v>45704</v>
      </c>
      <c r="D78" t="inlineStr">
        <is>
          <t>DALARNAS LÄN</t>
        </is>
      </c>
      <c r="E78" t="inlineStr">
        <is>
          <t>SMEDJEBACKEN</t>
        </is>
      </c>
      <c r="G78" t="n">
        <v>1.1</v>
      </c>
      <c r="H78" t="n">
        <v>0</v>
      </c>
      <c r="I78" t="n">
        <v>0</v>
      </c>
      <c r="J78" t="n">
        <v>0</v>
      </c>
      <c r="K78" t="n">
        <v>0</v>
      </c>
      <c r="L78" t="n">
        <v>0</v>
      </c>
      <c r="M78" t="n">
        <v>0</v>
      </c>
      <c r="N78" t="n">
        <v>0</v>
      </c>
      <c r="O78" t="n">
        <v>0</v>
      </c>
      <c r="P78" t="n">
        <v>0</v>
      </c>
      <c r="Q78" t="n">
        <v>0</v>
      </c>
      <c r="R78" s="2" t="inlineStr"/>
    </row>
    <row r="79" ht="15" customHeight="1">
      <c r="A79" t="inlineStr">
        <is>
          <t>A 37368-2019</t>
        </is>
      </c>
      <c r="B79" s="1" t="n">
        <v>43678</v>
      </c>
      <c r="C79" s="1" t="n">
        <v>45704</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38152-2019</t>
        </is>
      </c>
      <c r="B80" s="1" t="n">
        <v>43684</v>
      </c>
      <c r="C80" s="1" t="n">
        <v>45704</v>
      </c>
      <c r="D80" t="inlineStr">
        <is>
          <t>DALARNAS LÄN</t>
        </is>
      </c>
      <c r="E80" t="inlineStr">
        <is>
          <t>SMEDJEBACKEN</t>
        </is>
      </c>
      <c r="G80" t="n">
        <v>2.5</v>
      </c>
      <c r="H80" t="n">
        <v>0</v>
      </c>
      <c r="I80" t="n">
        <v>0</v>
      </c>
      <c r="J80" t="n">
        <v>0</v>
      </c>
      <c r="K80" t="n">
        <v>0</v>
      </c>
      <c r="L80" t="n">
        <v>0</v>
      </c>
      <c r="M80" t="n">
        <v>0</v>
      </c>
      <c r="N80" t="n">
        <v>0</v>
      </c>
      <c r="O80" t="n">
        <v>0</v>
      </c>
      <c r="P80" t="n">
        <v>0</v>
      </c>
      <c r="Q80" t="n">
        <v>0</v>
      </c>
      <c r="R80" s="2" t="inlineStr"/>
    </row>
    <row r="81" ht="15" customHeight="1">
      <c r="A81" t="inlineStr">
        <is>
          <t>A 38149-2019</t>
        </is>
      </c>
      <c r="B81" s="1" t="n">
        <v>43684</v>
      </c>
      <c r="C81" s="1" t="n">
        <v>45704</v>
      </c>
      <c r="D81" t="inlineStr">
        <is>
          <t>DALARNAS LÄN</t>
        </is>
      </c>
      <c r="E81" t="inlineStr">
        <is>
          <t>SMEDJEBACKEN</t>
        </is>
      </c>
      <c r="G81" t="n">
        <v>3.5</v>
      </c>
      <c r="H81" t="n">
        <v>0</v>
      </c>
      <c r="I81" t="n">
        <v>0</v>
      </c>
      <c r="J81" t="n">
        <v>0</v>
      </c>
      <c r="K81" t="n">
        <v>0</v>
      </c>
      <c r="L81" t="n">
        <v>0</v>
      </c>
      <c r="M81" t="n">
        <v>0</v>
      </c>
      <c r="N81" t="n">
        <v>0</v>
      </c>
      <c r="O81" t="n">
        <v>0</v>
      </c>
      <c r="P81" t="n">
        <v>0</v>
      </c>
      <c r="Q81" t="n">
        <v>0</v>
      </c>
      <c r="R81" s="2" t="inlineStr"/>
    </row>
    <row r="82" ht="15" customHeight="1">
      <c r="A82" t="inlineStr">
        <is>
          <t>A 38842-2019</t>
        </is>
      </c>
      <c r="B82" s="1" t="n">
        <v>43689</v>
      </c>
      <c r="C82" s="1" t="n">
        <v>45704</v>
      </c>
      <c r="D82" t="inlineStr">
        <is>
          <t>DALARNAS LÄN</t>
        </is>
      </c>
      <c r="E82" t="inlineStr">
        <is>
          <t>SMEDJEBACKEN</t>
        </is>
      </c>
      <c r="G82" t="n">
        <v>0.6</v>
      </c>
      <c r="H82" t="n">
        <v>0</v>
      </c>
      <c r="I82" t="n">
        <v>0</v>
      </c>
      <c r="J82" t="n">
        <v>0</v>
      </c>
      <c r="K82" t="n">
        <v>0</v>
      </c>
      <c r="L82" t="n">
        <v>0</v>
      </c>
      <c r="M82" t="n">
        <v>0</v>
      </c>
      <c r="N82" t="n">
        <v>0</v>
      </c>
      <c r="O82" t="n">
        <v>0</v>
      </c>
      <c r="P82" t="n">
        <v>0</v>
      </c>
      <c r="Q82" t="n">
        <v>0</v>
      </c>
      <c r="R82" s="2" t="inlineStr"/>
    </row>
    <row r="83" ht="15" customHeight="1">
      <c r="A83" t="inlineStr">
        <is>
          <t>A 40067-2019</t>
        </is>
      </c>
      <c r="B83" s="1" t="n">
        <v>43693</v>
      </c>
      <c r="C83" s="1" t="n">
        <v>45704</v>
      </c>
      <c r="D83" t="inlineStr">
        <is>
          <t>DALARNAS LÄN</t>
        </is>
      </c>
      <c r="E83" t="inlineStr">
        <is>
          <t>SMEDJEBACKEN</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40129-2019</t>
        </is>
      </c>
      <c r="B84" s="1" t="n">
        <v>43693</v>
      </c>
      <c r="C84" s="1" t="n">
        <v>45704</v>
      </c>
      <c r="D84" t="inlineStr">
        <is>
          <t>DALARNAS LÄN</t>
        </is>
      </c>
      <c r="E84" t="inlineStr">
        <is>
          <t>SMEDJEBACKEN</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40828-2019</t>
        </is>
      </c>
      <c r="B85" s="1" t="n">
        <v>43697</v>
      </c>
      <c r="C85" s="1" t="n">
        <v>45704</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41421-2019</t>
        </is>
      </c>
      <c r="B86" s="1" t="n">
        <v>43698</v>
      </c>
      <c r="C86" s="1" t="n">
        <v>45704</v>
      </c>
      <c r="D86" t="inlineStr">
        <is>
          <t>DALARNAS LÄN</t>
        </is>
      </c>
      <c r="E86" t="inlineStr">
        <is>
          <t>SMEDJEBACKEN</t>
        </is>
      </c>
      <c r="F86" t="inlineStr">
        <is>
          <t>Kyrkan</t>
        </is>
      </c>
      <c r="G86" t="n">
        <v>5.8</v>
      </c>
      <c r="H86" t="n">
        <v>0</v>
      </c>
      <c r="I86" t="n">
        <v>0</v>
      </c>
      <c r="J86" t="n">
        <v>0</v>
      </c>
      <c r="K86" t="n">
        <v>0</v>
      </c>
      <c r="L86" t="n">
        <v>0</v>
      </c>
      <c r="M86" t="n">
        <v>0</v>
      </c>
      <c r="N86" t="n">
        <v>0</v>
      </c>
      <c r="O86" t="n">
        <v>0</v>
      </c>
      <c r="P86" t="n">
        <v>0</v>
      </c>
      <c r="Q86" t="n">
        <v>0</v>
      </c>
      <c r="R86" s="2" t="inlineStr"/>
    </row>
    <row r="87" ht="15" customHeight="1">
      <c r="A87" t="inlineStr">
        <is>
          <t>A 41803-2019</t>
        </is>
      </c>
      <c r="B87" s="1" t="n">
        <v>43700</v>
      </c>
      <c r="C87" s="1" t="n">
        <v>45704</v>
      </c>
      <c r="D87" t="inlineStr">
        <is>
          <t>DALARNAS LÄN</t>
        </is>
      </c>
      <c r="E87" t="inlineStr">
        <is>
          <t>SMEDJEBACKEN</t>
        </is>
      </c>
      <c r="G87" t="n">
        <v>4.8</v>
      </c>
      <c r="H87" t="n">
        <v>0</v>
      </c>
      <c r="I87" t="n">
        <v>0</v>
      </c>
      <c r="J87" t="n">
        <v>0</v>
      </c>
      <c r="K87" t="n">
        <v>0</v>
      </c>
      <c r="L87" t="n">
        <v>0</v>
      </c>
      <c r="M87" t="n">
        <v>0</v>
      </c>
      <c r="N87" t="n">
        <v>0</v>
      </c>
      <c r="O87" t="n">
        <v>0</v>
      </c>
      <c r="P87" t="n">
        <v>0</v>
      </c>
      <c r="Q87" t="n">
        <v>0</v>
      </c>
      <c r="R87" s="2" t="inlineStr"/>
    </row>
    <row r="88" ht="15" customHeight="1">
      <c r="A88" t="inlineStr">
        <is>
          <t>A 41986-2019</t>
        </is>
      </c>
      <c r="B88" s="1" t="n">
        <v>43700</v>
      </c>
      <c r="C88" s="1" t="n">
        <v>45704</v>
      </c>
      <c r="D88" t="inlineStr">
        <is>
          <t>DALARNAS LÄN</t>
        </is>
      </c>
      <c r="E88" t="inlineStr">
        <is>
          <t>SMEDJEBACKEN</t>
        </is>
      </c>
      <c r="G88" t="n">
        <v>0.8</v>
      </c>
      <c r="H88" t="n">
        <v>0</v>
      </c>
      <c r="I88" t="n">
        <v>0</v>
      </c>
      <c r="J88" t="n">
        <v>0</v>
      </c>
      <c r="K88" t="n">
        <v>0</v>
      </c>
      <c r="L88" t="n">
        <v>0</v>
      </c>
      <c r="M88" t="n">
        <v>0</v>
      </c>
      <c r="N88" t="n">
        <v>0</v>
      </c>
      <c r="O88" t="n">
        <v>0</v>
      </c>
      <c r="P88" t="n">
        <v>0</v>
      </c>
      <c r="Q88" t="n">
        <v>0</v>
      </c>
      <c r="R88" s="2" t="inlineStr"/>
    </row>
    <row r="89" ht="15" customHeight="1">
      <c r="A89" t="inlineStr">
        <is>
          <t>A 42186-2019</t>
        </is>
      </c>
      <c r="B89" s="1" t="n">
        <v>43703</v>
      </c>
      <c r="C89" s="1" t="n">
        <v>45704</v>
      </c>
      <c r="D89" t="inlineStr">
        <is>
          <t>DALARNAS LÄN</t>
        </is>
      </c>
      <c r="E89" t="inlineStr">
        <is>
          <t>SMEDJEBACKEN</t>
        </is>
      </c>
      <c r="G89" t="n">
        <v>8</v>
      </c>
      <c r="H89" t="n">
        <v>0</v>
      </c>
      <c r="I89" t="n">
        <v>0</v>
      </c>
      <c r="J89" t="n">
        <v>0</v>
      </c>
      <c r="K89" t="n">
        <v>0</v>
      </c>
      <c r="L89" t="n">
        <v>0</v>
      </c>
      <c r="M89" t="n">
        <v>0</v>
      </c>
      <c r="N89" t="n">
        <v>0</v>
      </c>
      <c r="O89" t="n">
        <v>0</v>
      </c>
      <c r="P89" t="n">
        <v>0</v>
      </c>
      <c r="Q89" t="n">
        <v>0</v>
      </c>
      <c r="R89" s="2" t="inlineStr"/>
    </row>
    <row r="90" ht="15" customHeight="1">
      <c r="A90" t="inlineStr">
        <is>
          <t>A 42201-2019</t>
        </is>
      </c>
      <c r="B90" s="1" t="n">
        <v>43703</v>
      </c>
      <c r="C90" s="1" t="n">
        <v>45704</v>
      </c>
      <c r="D90" t="inlineStr">
        <is>
          <t>DALARNAS LÄN</t>
        </is>
      </c>
      <c r="E90" t="inlineStr">
        <is>
          <t>SMEDJEBACKEN</t>
        </is>
      </c>
      <c r="G90" t="n">
        <v>5.4</v>
      </c>
      <c r="H90" t="n">
        <v>0</v>
      </c>
      <c r="I90" t="n">
        <v>0</v>
      </c>
      <c r="J90" t="n">
        <v>0</v>
      </c>
      <c r="K90" t="n">
        <v>0</v>
      </c>
      <c r="L90" t="n">
        <v>0</v>
      </c>
      <c r="M90" t="n">
        <v>0</v>
      </c>
      <c r="N90" t="n">
        <v>0</v>
      </c>
      <c r="O90" t="n">
        <v>0</v>
      </c>
      <c r="P90" t="n">
        <v>0</v>
      </c>
      <c r="Q90" t="n">
        <v>0</v>
      </c>
      <c r="R90" s="2" t="inlineStr"/>
    </row>
    <row r="91" ht="15" customHeight="1">
      <c r="A91" t="inlineStr">
        <is>
          <t>A 42684-2019</t>
        </is>
      </c>
      <c r="B91" s="1" t="n">
        <v>43703</v>
      </c>
      <c r="C91" s="1" t="n">
        <v>45704</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42576-2019</t>
        </is>
      </c>
      <c r="B92" s="1" t="n">
        <v>43704</v>
      </c>
      <c r="C92" s="1" t="n">
        <v>45704</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43510-2019</t>
        </is>
      </c>
      <c r="B93" s="1" t="n">
        <v>43706</v>
      </c>
      <c r="C93" s="1" t="n">
        <v>45704</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48238-2019</t>
        </is>
      </c>
      <c r="B94" s="1" t="n">
        <v>43726</v>
      </c>
      <c r="C94" s="1" t="n">
        <v>45704</v>
      </c>
      <c r="D94" t="inlineStr">
        <is>
          <t>DALARNAS LÄN</t>
        </is>
      </c>
      <c r="E94" t="inlineStr">
        <is>
          <t>SMEDJEBACKEN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48251-2019</t>
        </is>
      </c>
      <c r="B95" s="1" t="n">
        <v>43726</v>
      </c>
      <c r="C95" s="1" t="n">
        <v>45704</v>
      </c>
      <c r="D95" t="inlineStr">
        <is>
          <t>DALARNAS LÄN</t>
        </is>
      </c>
      <c r="E95" t="inlineStr">
        <is>
          <t>SMEDJEBACKEN</t>
        </is>
      </c>
      <c r="G95" t="n">
        <v>5.7</v>
      </c>
      <c r="H95" t="n">
        <v>0</v>
      </c>
      <c r="I95" t="n">
        <v>0</v>
      </c>
      <c r="J95" t="n">
        <v>0</v>
      </c>
      <c r="K95" t="n">
        <v>0</v>
      </c>
      <c r="L95" t="n">
        <v>0</v>
      </c>
      <c r="M95" t="n">
        <v>0</v>
      </c>
      <c r="N95" t="n">
        <v>0</v>
      </c>
      <c r="O95" t="n">
        <v>0</v>
      </c>
      <c r="P95" t="n">
        <v>0</v>
      </c>
      <c r="Q95" t="n">
        <v>0</v>
      </c>
      <c r="R95" s="2" t="inlineStr"/>
    </row>
    <row r="96" ht="15" customHeight="1">
      <c r="A96" t="inlineStr">
        <is>
          <t>A 49122-2019</t>
        </is>
      </c>
      <c r="B96" s="1" t="n">
        <v>43731</v>
      </c>
      <c r="C96" s="1" t="n">
        <v>45704</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49303-2019</t>
        </is>
      </c>
      <c r="B97" s="1" t="n">
        <v>43731</v>
      </c>
      <c r="C97" s="1" t="n">
        <v>45704</v>
      </c>
      <c r="D97" t="inlineStr">
        <is>
          <t>DALARNAS LÄN</t>
        </is>
      </c>
      <c r="E97" t="inlineStr">
        <is>
          <t>SMEDJEBACKEN</t>
        </is>
      </c>
      <c r="G97" t="n">
        <v>2.3</v>
      </c>
      <c r="H97" t="n">
        <v>0</v>
      </c>
      <c r="I97" t="n">
        <v>0</v>
      </c>
      <c r="J97" t="n">
        <v>0</v>
      </c>
      <c r="K97" t="n">
        <v>0</v>
      </c>
      <c r="L97" t="n">
        <v>0</v>
      </c>
      <c r="M97" t="n">
        <v>0</v>
      </c>
      <c r="N97" t="n">
        <v>0</v>
      </c>
      <c r="O97" t="n">
        <v>0</v>
      </c>
      <c r="P97" t="n">
        <v>0</v>
      </c>
      <c r="Q97" t="n">
        <v>0</v>
      </c>
      <c r="R97" s="2" t="inlineStr"/>
    </row>
    <row r="98" ht="15" customHeight="1">
      <c r="A98" t="inlineStr">
        <is>
          <t>A 51146-2019</t>
        </is>
      </c>
      <c r="B98" s="1" t="n">
        <v>43732</v>
      </c>
      <c r="C98" s="1" t="n">
        <v>45704</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52834-2019</t>
        </is>
      </c>
      <c r="B99" s="1" t="n">
        <v>43739</v>
      </c>
      <c r="C99" s="1" t="n">
        <v>45704</v>
      </c>
      <c r="D99" t="inlineStr">
        <is>
          <t>DALARNAS LÄN</t>
        </is>
      </c>
      <c r="E99" t="inlineStr">
        <is>
          <t>SMEDJEBACKEN</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54239-2019</t>
        </is>
      </c>
      <c r="B100" s="1" t="n">
        <v>43745</v>
      </c>
      <c r="C100" s="1" t="n">
        <v>45704</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54273-2019</t>
        </is>
      </c>
      <c r="B101" s="1" t="n">
        <v>43745</v>
      </c>
      <c r="C101" s="1" t="n">
        <v>45704</v>
      </c>
      <c r="D101" t="inlineStr">
        <is>
          <t>DALARNAS LÄN</t>
        </is>
      </c>
      <c r="E101" t="inlineStr">
        <is>
          <t>SMEDJEBACKEN</t>
        </is>
      </c>
      <c r="F101" t="inlineStr">
        <is>
          <t>Bergvik skog väst AB</t>
        </is>
      </c>
      <c r="G101" t="n">
        <v>7.2</v>
      </c>
      <c r="H101" t="n">
        <v>0</v>
      </c>
      <c r="I101" t="n">
        <v>0</v>
      </c>
      <c r="J101" t="n">
        <v>0</v>
      </c>
      <c r="K101" t="n">
        <v>0</v>
      </c>
      <c r="L101" t="n">
        <v>0</v>
      </c>
      <c r="M101" t="n">
        <v>0</v>
      </c>
      <c r="N101" t="n">
        <v>0</v>
      </c>
      <c r="O101" t="n">
        <v>0</v>
      </c>
      <c r="P101" t="n">
        <v>0</v>
      </c>
      <c r="Q101" t="n">
        <v>0</v>
      </c>
      <c r="R101" s="2" t="inlineStr"/>
    </row>
    <row r="102" ht="15" customHeight="1">
      <c r="A102" t="inlineStr">
        <is>
          <t>A 54250-2019</t>
        </is>
      </c>
      <c r="B102" s="1" t="n">
        <v>43745</v>
      </c>
      <c r="C102" s="1" t="n">
        <v>45704</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55370-2019</t>
        </is>
      </c>
      <c r="B103" s="1" t="n">
        <v>43754</v>
      </c>
      <c r="C103" s="1" t="n">
        <v>45704</v>
      </c>
      <c r="D103" t="inlineStr">
        <is>
          <t>DALARNAS LÄN</t>
        </is>
      </c>
      <c r="E103" t="inlineStr">
        <is>
          <t>SMEDJEBACKEN</t>
        </is>
      </c>
      <c r="G103" t="n">
        <v>1.8</v>
      </c>
      <c r="H103" t="n">
        <v>0</v>
      </c>
      <c r="I103" t="n">
        <v>0</v>
      </c>
      <c r="J103" t="n">
        <v>0</v>
      </c>
      <c r="K103" t="n">
        <v>0</v>
      </c>
      <c r="L103" t="n">
        <v>0</v>
      </c>
      <c r="M103" t="n">
        <v>0</v>
      </c>
      <c r="N103" t="n">
        <v>0</v>
      </c>
      <c r="O103" t="n">
        <v>0</v>
      </c>
      <c r="P103" t="n">
        <v>0</v>
      </c>
      <c r="Q103" t="n">
        <v>0</v>
      </c>
      <c r="R103" s="2" t="inlineStr"/>
    </row>
    <row r="104" ht="15" customHeight="1">
      <c r="A104" t="inlineStr">
        <is>
          <t>A 54441-2019</t>
        </is>
      </c>
      <c r="B104" s="1" t="n">
        <v>43754</v>
      </c>
      <c r="C104" s="1" t="n">
        <v>45704</v>
      </c>
      <c r="D104" t="inlineStr">
        <is>
          <t>DALARNAS LÄN</t>
        </is>
      </c>
      <c r="E104" t="inlineStr">
        <is>
          <t>SMEDJEBACKEN</t>
        </is>
      </c>
      <c r="G104" t="n">
        <v>1.7</v>
      </c>
      <c r="H104" t="n">
        <v>0</v>
      </c>
      <c r="I104" t="n">
        <v>0</v>
      </c>
      <c r="J104" t="n">
        <v>0</v>
      </c>
      <c r="K104" t="n">
        <v>0</v>
      </c>
      <c r="L104" t="n">
        <v>0</v>
      </c>
      <c r="M104" t="n">
        <v>0</v>
      </c>
      <c r="N104" t="n">
        <v>0</v>
      </c>
      <c r="O104" t="n">
        <v>0</v>
      </c>
      <c r="P104" t="n">
        <v>0</v>
      </c>
      <c r="Q104" t="n">
        <v>0</v>
      </c>
      <c r="R104" s="2" t="inlineStr"/>
    </row>
    <row r="105" ht="15" customHeight="1">
      <c r="A105" t="inlineStr">
        <is>
          <t>A 55576-2019</t>
        </is>
      </c>
      <c r="B105" s="1" t="n">
        <v>43760</v>
      </c>
      <c r="C105" s="1" t="n">
        <v>45704</v>
      </c>
      <c r="D105" t="inlineStr">
        <is>
          <t>DALARNAS LÄN</t>
        </is>
      </c>
      <c r="E105" t="inlineStr">
        <is>
          <t>SMEDJEBACKEN</t>
        </is>
      </c>
      <c r="F105" t="inlineStr">
        <is>
          <t>Övriga Aktiebolag</t>
        </is>
      </c>
      <c r="G105" t="n">
        <v>5.2</v>
      </c>
      <c r="H105" t="n">
        <v>0</v>
      </c>
      <c r="I105" t="n">
        <v>0</v>
      </c>
      <c r="J105" t="n">
        <v>0</v>
      </c>
      <c r="K105" t="n">
        <v>0</v>
      </c>
      <c r="L105" t="n">
        <v>0</v>
      </c>
      <c r="M105" t="n">
        <v>0</v>
      </c>
      <c r="N105" t="n">
        <v>0</v>
      </c>
      <c r="O105" t="n">
        <v>0</v>
      </c>
      <c r="P105" t="n">
        <v>0</v>
      </c>
      <c r="Q105" t="n">
        <v>0</v>
      </c>
      <c r="R105" s="2" t="inlineStr"/>
    </row>
    <row r="106" ht="15" customHeight="1">
      <c r="A106" t="inlineStr">
        <is>
          <t>A 55633-2019</t>
        </is>
      </c>
      <c r="B106" s="1" t="n">
        <v>43760</v>
      </c>
      <c r="C106" s="1" t="n">
        <v>45704</v>
      </c>
      <c r="D106" t="inlineStr">
        <is>
          <t>DALARNAS LÄN</t>
        </is>
      </c>
      <c r="E106" t="inlineStr">
        <is>
          <t>SMEDJEBACKEN</t>
        </is>
      </c>
      <c r="G106" t="n">
        <v>0.8</v>
      </c>
      <c r="H106" t="n">
        <v>0</v>
      </c>
      <c r="I106" t="n">
        <v>0</v>
      </c>
      <c r="J106" t="n">
        <v>0</v>
      </c>
      <c r="K106" t="n">
        <v>0</v>
      </c>
      <c r="L106" t="n">
        <v>0</v>
      </c>
      <c r="M106" t="n">
        <v>0</v>
      </c>
      <c r="N106" t="n">
        <v>0</v>
      </c>
      <c r="O106" t="n">
        <v>0</v>
      </c>
      <c r="P106" t="n">
        <v>0</v>
      </c>
      <c r="Q106" t="n">
        <v>0</v>
      </c>
      <c r="R106" s="2" t="inlineStr"/>
    </row>
    <row r="107" ht="15" customHeight="1">
      <c r="A107" t="inlineStr">
        <is>
          <t>A 57067-2019</t>
        </is>
      </c>
      <c r="B107" s="1" t="n">
        <v>43766</v>
      </c>
      <c r="C107" s="1" t="n">
        <v>45704</v>
      </c>
      <c r="D107" t="inlineStr">
        <is>
          <t>DALARNAS LÄN</t>
        </is>
      </c>
      <c r="E107" t="inlineStr">
        <is>
          <t>SMEDJEBACKEN</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57357-2019</t>
        </is>
      </c>
      <c r="B108" s="1" t="n">
        <v>43767</v>
      </c>
      <c r="C108" s="1" t="n">
        <v>45704</v>
      </c>
      <c r="D108" t="inlineStr">
        <is>
          <t>DALARNAS LÄN</t>
        </is>
      </c>
      <c r="E108" t="inlineStr">
        <is>
          <t>SMEDJEBACKEN</t>
        </is>
      </c>
      <c r="G108" t="n">
        <v>5</v>
      </c>
      <c r="H108" t="n">
        <v>0</v>
      </c>
      <c r="I108" t="n">
        <v>0</v>
      </c>
      <c r="J108" t="n">
        <v>0</v>
      </c>
      <c r="K108" t="n">
        <v>0</v>
      </c>
      <c r="L108" t="n">
        <v>0</v>
      </c>
      <c r="M108" t="n">
        <v>0</v>
      </c>
      <c r="N108" t="n">
        <v>0</v>
      </c>
      <c r="O108" t="n">
        <v>0</v>
      </c>
      <c r="P108" t="n">
        <v>0</v>
      </c>
      <c r="Q108" t="n">
        <v>0</v>
      </c>
      <c r="R108" s="2" t="inlineStr"/>
    </row>
    <row r="109" ht="15" customHeight="1">
      <c r="A109" t="inlineStr">
        <is>
          <t>A 58674-2019</t>
        </is>
      </c>
      <c r="B109" s="1" t="n">
        <v>43773</v>
      </c>
      <c r="C109" s="1" t="n">
        <v>45704</v>
      </c>
      <c r="D109" t="inlineStr">
        <is>
          <t>DALARNAS LÄN</t>
        </is>
      </c>
      <c r="E109" t="inlineStr">
        <is>
          <t>SMEDJEBACKEN</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58603-2019</t>
        </is>
      </c>
      <c r="B110" s="1" t="n">
        <v>43773</v>
      </c>
      <c r="C110" s="1" t="n">
        <v>45704</v>
      </c>
      <c r="D110" t="inlineStr">
        <is>
          <t>DALARNAS LÄN</t>
        </is>
      </c>
      <c r="E110" t="inlineStr">
        <is>
          <t>SMEDJEBACKEN</t>
        </is>
      </c>
      <c r="G110" t="n">
        <v>6.2</v>
      </c>
      <c r="H110" t="n">
        <v>0</v>
      </c>
      <c r="I110" t="n">
        <v>0</v>
      </c>
      <c r="J110" t="n">
        <v>0</v>
      </c>
      <c r="K110" t="n">
        <v>0</v>
      </c>
      <c r="L110" t="n">
        <v>0</v>
      </c>
      <c r="M110" t="n">
        <v>0</v>
      </c>
      <c r="N110" t="n">
        <v>0</v>
      </c>
      <c r="O110" t="n">
        <v>0</v>
      </c>
      <c r="P110" t="n">
        <v>0</v>
      </c>
      <c r="Q110" t="n">
        <v>0</v>
      </c>
      <c r="R110" s="2" t="inlineStr"/>
    </row>
    <row r="111" ht="15" customHeight="1">
      <c r="A111" t="inlineStr">
        <is>
          <t>A 59267-2019</t>
        </is>
      </c>
      <c r="B111" s="1" t="n">
        <v>43775</v>
      </c>
      <c r="C111" s="1" t="n">
        <v>45704</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60095-2019</t>
        </is>
      </c>
      <c r="B112" s="1" t="n">
        <v>43777</v>
      </c>
      <c r="C112" s="1" t="n">
        <v>45704</v>
      </c>
      <c r="D112" t="inlineStr">
        <is>
          <t>DALARNAS LÄN</t>
        </is>
      </c>
      <c r="E112" t="inlineStr">
        <is>
          <t>SMEDJEBACKEN</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60148-2019</t>
        </is>
      </c>
      <c r="B113" s="1" t="n">
        <v>43779</v>
      </c>
      <c r="C113" s="1" t="n">
        <v>45704</v>
      </c>
      <c r="D113" t="inlineStr">
        <is>
          <t>DALARNAS LÄN</t>
        </is>
      </c>
      <c r="E113" t="inlineStr">
        <is>
          <t>SMEDJEBACKEN</t>
        </is>
      </c>
      <c r="G113" t="n">
        <v>2.5</v>
      </c>
      <c r="H113" t="n">
        <v>0</v>
      </c>
      <c r="I113" t="n">
        <v>0</v>
      </c>
      <c r="J113" t="n">
        <v>0</v>
      </c>
      <c r="K113" t="n">
        <v>0</v>
      </c>
      <c r="L113" t="n">
        <v>0</v>
      </c>
      <c r="M113" t="n">
        <v>0</v>
      </c>
      <c r="N113" t="n">
        <v>0</v>
      </c>
      <c r="O113" t="n">
        <v>0</v>
      </c>
      <c r="P113" t="n">
        <v>0</v>
      </c>
      <c r="Q113" t="n">
        <v>0</v>
      </c>
      <c r="R113" s="2" t="inlineStr"/>
    </row>
    <row r="114" ht="15" customHeight="1">
      <c r="A114" t="inlineStr">
        <is>
          <t>A 60421-2019</t>
        </is>
      </c>
      <c r="B114" s="1" t="n">
        <v>43780</v>
      </c>
      <c r="C114" s="1" t="n">
        <v>45704</v>
      </c>
      <c r="D114" t="inlineStr">
        <is>
          <t>DALARNAS LÄN</t>
        </is>
      </c>
      <c r="E114" t="inlineStr">
        <is>
          <t>SMEDJEBACKEN</t>
        </is>
      </c>
      <c r="G114" t="n">
        <v>3.1</v>
      </c>
      <c r="H114" t="n">
        <v>0</v>
      </c>
      <c r="I114" t="n">
        <v>0</v>
      </c>
      <c r="J114" t="n">
        <v>0</v>
      </c>
      <c r="K114" t="n">
        <v>0</v>
      </c>
      <c r="L114" t="n">
        <v>0</v>
      </c>
      <c r="M114" t="n">
        <v>0</v>
      </c>
      <c r="N114" t="n">
        <v>0</v>
      </c>
      <c r="O114" t="n">
        <v>0</v>
      </c>
      <c r="P114" t="n">
        <v>0</v>
      </c>
      <c r="Q114" t="n">
        <v>0</v>
      </c>
      <c r="R114" s="2" t="inlineStr"/>
    </row>
    <row r="115" ht="15" customHeight="1">
      <c r="A115" t="inlineStr">
        <is>
          <t>A 63796-2019</t>
        </is>
      </c>
      <c r="B115" s="1" t="n">
        <v>43795</v>
      </c>
      <c r="C115" s="1" t="n">
        <v>45704</v>
      </c>
      <c r="D115" t="inlineStr">
        <is>
          <t>DALARNAS LÄN</t>
        </is>
      </c>
      <c r="E115" t="inlineStr">
        <is>
          <t>SMEDJEBACKEN</t>
        </is>
      </c>
      <c r="G115" t="n">
        <v>1.2</v>
      </c>
      <c r="H115" t="n">
        <v>0</v>
      </c>
      <c r="I115" t="n">
        <v>0</v>
      </c>
      <c r="J115" t="n">
        <v>0</v>
      </c>
      <c r="K115" t="n">
        <v>0</v>
      </c>
      <c r="L115" t="n">
        <v>0</v>
      </c>
      <c r="M115" t="n">
        <v>0</v>
      </c>
      <c r="N115" t="n">
        <v>0</v>
      </c>
      <c r="O115" t="n">
        <v>0</v>
      </c>
      <c r="P115" t="n">
        <v>0</v>
      </c>
      <c r="Q115" t="n">
        <v>0</v>
      </c>
      <c r="R115" s="2" t="inlineStr"/>
    </row>
    <row r="116" ht="15" customHeight="1">
      <c r="A116" t="inlineStr">
        <is>
          <t>A 64705-2019</t>
        </is>
      </c>
      <c r="B116" s="1" t="n">
        <v>43798</v>
      </c>
      <c r="C116" s="1" t="n">
        <v>45704</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67991-2019</t>
        </is>
      </c>
      <c r="B117" s="1" t="n">
        <v>43811</v>
      </c>
      <c r="C117" s="1" t="n">
        <v>45704</v>
      </c>
      <c r="D117" t="inlineStr">
        <is>
          <t>DALARNAS LÄN</t>
        </is>
      </c>
      <c r="E117" t="inlineStr">
        <is>
          <t>SMEDJEBACKEN</t>
        </is>
      </c>
      <c r="F117" t="inlineStr">
        <is>
          <t>Bergvik skog väst AB</t>
        </is>
      </c>
      <c r="G117" t="n">
        <v>13.9</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45704</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45704</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45704</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45704</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45704</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45704</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45704</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45704</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45704</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45704</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45704</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45704</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45704</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45704</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45704</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45704</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45704</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45704</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45704</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45704</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45704</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45704</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45704</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45704</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45704</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45704</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45704</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45704</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45704</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45704</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45704</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45704</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45704</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45704</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45704</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45704</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45704</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45704</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45704</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45704</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45704</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45704</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45704</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45704</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45704</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45704</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45704</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45704</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45704</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45704</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45704</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45704</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45704</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45704</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45704</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45704</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45704</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45704</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45704</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45704</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45704</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45704</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45704</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45704</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45704</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45704</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45704</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45704</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45704</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45704</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45704</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45704</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45704</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45704</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45704</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45704</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45704</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45704</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45704</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45704</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45704</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45704</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45704</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45704</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45704</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45704</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45704</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45704</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45704</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45704</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45704</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45704</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45704</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45704</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45704</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45704</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45704</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45704</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45704</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45704</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45704</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45704</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45704</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45704</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45704</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45704</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45704</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45704</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45704</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45704</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45704</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45704</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45704</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45704</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45704</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45704</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45704</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45704</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45704</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45704</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45704</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45704</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45704</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45704</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45704</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45704</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45704</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45704</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45704</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45704</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45704</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45704</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45704</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45704</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45704</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45704</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45704</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45704</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45704</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45704</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45704</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45704</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45704</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45704</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45704</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45704</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45704</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45704</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45704</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45704</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45704</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45704</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45704</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45704</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45704</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45704</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45704</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45704</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45704</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45704</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45704</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45704</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45704</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45704</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45704</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45704</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45704</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45704</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45704</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45704</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45704</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45704</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45704</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45704</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45704</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45704</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45704</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45704</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45704</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45704</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45704</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45704</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45704</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45704</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45704</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45704</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45704</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45704</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45704</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45704</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45704</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45704</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45704</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45704</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45704</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45704</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45704</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45704</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45704</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45704</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45704</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45704</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45704</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45704</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45704</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45704</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45704</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45704</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45704</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45704</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45704</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45704</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45704</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45704</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45704</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45704</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45704</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45704</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45704</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45704</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45704</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45704</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45704</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45704</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45704</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45704</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45704</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45704</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45704</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45704</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45704</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45704</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45704</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45704</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45704</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45704</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45704</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45704</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45704</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45704</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45704</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45704</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45704</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45704</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45704</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45704</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45704</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45704</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45704</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45704</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45704</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45704</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45704</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45704</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45704</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45704</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45704</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45704</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45704</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45704</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45704</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45704</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45704</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45704</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45704</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45704</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45704</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45704</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45704</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45704</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45704</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45704</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45704</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45704</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45704</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45704</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45704</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45704</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45704</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45704</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45704</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45704</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45704</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45704</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45704</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45704</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45704</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45704</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45704</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45704</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45704</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45704</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45704</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45704</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45704</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45704</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45704</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45704</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45704</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45704</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45704</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45704</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45704</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45704</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45704</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45704</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45704</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45704</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45704</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45704</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45704</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45704</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45704</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45704</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45704</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45704</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45704</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45704</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45704</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45704</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45704</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45704</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45704</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45704</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45704</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45704</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45704</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45704</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45704</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45704</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45704</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45704</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45704</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45704</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45704</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45704</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45704</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45704</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45704</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45704</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45704</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45704</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45704</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45704</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45704</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45704</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45704</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45704</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45704</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45704</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45704</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45704</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45704</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45704</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45704</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45704</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45704</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45704</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45704</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45704</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45704</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45704</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45704</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45704</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45704</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45704</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45704</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45704</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45704</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45704</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45704</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45704</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45704</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45704</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45704</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45704</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45704</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45704</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45704</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45704</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45704</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45704</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45704</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45704</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45704</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45704</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45704</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45704</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45704</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45704</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45704</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45704</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45704</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45704</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45704</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45704</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45704</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45704</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45704</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45704</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45704</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45704</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45704</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45704</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45704</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45704</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45704</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45704</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45704</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45704</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45704</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45704</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45704</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45704</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45704</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45704</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45704</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45704</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45704</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45704</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45704</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45704</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45704</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45704</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45704</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45704</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45704</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45704</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45704</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45704</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45704</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45704</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45704</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45704</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45704</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45704</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45704</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45704</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45704</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45704</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45704</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45704</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45704</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45704</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45704</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45704</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45704</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45704</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45704</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45704</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45704</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45704</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45704</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45704</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45704</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45704</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45704</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45704</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45704</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45704</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45704</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45704</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45704</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45704</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45704</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45704</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45704</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45704</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45704</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45704</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45704</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45704</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45704</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45704</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45704</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45704</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45704</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45704</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45704</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45704</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45704</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45704</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45704</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45704</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45704</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45704</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45704</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45704</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45704</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45704</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45704</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45704</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45704</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45704</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45704</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45704</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45704</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45704</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45704</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45704</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45704</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45704</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45704</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45704</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45704</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45704</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45704</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45704</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45704</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45704</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45704</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45704</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45704</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45704</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45704</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45704</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45704</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45704</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45704</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45704</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45704</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45704</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45704</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45704</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45704</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45704</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45704</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45704</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45704</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45704</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45704</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45704</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45704</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45704</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45704</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45704</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45704</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45704</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45704</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45704</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45704</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45704</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45704</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45704</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45704</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45704</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45704</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45704</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45704</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45704</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45704</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45704</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45704</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45704</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45704</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45704</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45704</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45704</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45704</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45704</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45704</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45704</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45704</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45704</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45704</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45704</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45704</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45704</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45704</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45704</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45704</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45704</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45704</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45704</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45704</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45704</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45704</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45704</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45704</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45704</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45704</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45704</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45704</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45704</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45704</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45704</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45704</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45704</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45704</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45704</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45704</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45704</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45704</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45704</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45704</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45704</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45704</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45704</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45704</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45704</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45704</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45704</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45704</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45704</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45704</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45704</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45704</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45704</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45704</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45704</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45704</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45704</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45704</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45704</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45704</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45704</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45704</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45704</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45704</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45704</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45704</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45704</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45704</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45704</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45704</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45704</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45704</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45704</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45704</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45704</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45704</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45704</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45704</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45704</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45704</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45704</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45704</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45704</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45704</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45704</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45704</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45704</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45704</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45704</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45704</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45704</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45704</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45704</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45704</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45704</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45704</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45704</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45704</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45704</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45704</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45704</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45704</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45704</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45704</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45704</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45704</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45704</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45704</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45704</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45704</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45704</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45704</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45704</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45704</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45704</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45704</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45704</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45704</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45704</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45704</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45704</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45704</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45704</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45704</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45704</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45704</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45704</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45704</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45704</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45704</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45704</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45704</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45704</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45704</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45704</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45704</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45704</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45704</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45704</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45704</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45704</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45704</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45704</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45704</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45704</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45704</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45704</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45704</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45704</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45704</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45704</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45704</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45704</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45704</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45704</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45704</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45704</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45704</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45704</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45704</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45704</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45704</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45704</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45704</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45704</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45704</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45704</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45704</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45704</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45704</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45704</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45704</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45704</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45704</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45704</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45704</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45704</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45704</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45704</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45704</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45704</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45704</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45704</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45704</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45704</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45704</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45704</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45704</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45704</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45704</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45704</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45704</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45704</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45704</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45704</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45704</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45704</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45704</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45704</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45704</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45704</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45704</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45704</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45704</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45704</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45704</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45704</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45704</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45704</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45704</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45704</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45704</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45704</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45704</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45704</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45704</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45704</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45704</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45704</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45704</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45704</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45704</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45704</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45704</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45704</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45704</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45704</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45704</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45704</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45704</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45704</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45704</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45704</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45704</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45704</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45704</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45704</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45704</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45704</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45704</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45704</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45704</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45704</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45704</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45704</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45704</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45704</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45704</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45704</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45704</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45704</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45704</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45704</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45704</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45704</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45704</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45704</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45704</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45704</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45704</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45704</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45704</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45704</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45704</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45704</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45704</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45704</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45704</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45704</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45704</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45704</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45704</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45704</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45704</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45704</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45704</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45704</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45704</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45704</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45704</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45704</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45704</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45704</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45704</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45704</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45704</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45704</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45704</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45704</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45704</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45704</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45704</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45704</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45704</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45704</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45704</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45704</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45704</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45704</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45704</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45704</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45704</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45704</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45704</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45704</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45704</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45704</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45704</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45704</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45704</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45704</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45704</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45704</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45704</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45704</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45704</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45704</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45704</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45704</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45704</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45704</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45704</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45704</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45704</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45704</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45704</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45704</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45704</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45704</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45704</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45704</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45704</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45704</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45704</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45704</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45704</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45704</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45704</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45704</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45704</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45704</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45704</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45704</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45704</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45704</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45704</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45704</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45704</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45704</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45704</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45704</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45704</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45704</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45704</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45704</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45704</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45704</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45704</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45704</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45704</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45704</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45704</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45704</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45704</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45704</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45704</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45704</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45704</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45704</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45704</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45704</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45704</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45704</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45704</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45704</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45704</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45704</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45704</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45704</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45704</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45704</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45704</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45704</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45704</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45704</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45704</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45704</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45704</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45704</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45704</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45704</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45704</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45704</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45704</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45704</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45704</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45704</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45704</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45704</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45704</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45704</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45704</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45704</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45704</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45704</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45704</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45704</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45704</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45704</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45704</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45704</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45704</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45704</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45704</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45704</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45704</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45704</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45704</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45704</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45704</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45704</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45704</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45704</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45704</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45704</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45704</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45704</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45704</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45704</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45704</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45704</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6604-2025</t>
        </is>
      </c>
      <c r="B1112" s="1" t="n">
        <v>45700</v>
      </c>
      <c r="C1112" s="1" t="n">
        <v>45704</v>
      </c>
      <c r="D1112" t="inlineStr">
        <is>
          <t>DALARNAS LÄN</t>
        </is>
      </c>
      <c r="E1112" t="inlineStr">
        <is>
          <t>SMEDJEBACKEN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6606-2025</t>
        </is>
      </c>
      <c r="B1113" s="1" t="n">
        <v>45700</v>
      </c>
      <c r="C1113" s="1" t="n">
        <v>45704</v>
      </c>
      <c r="D1113" t="inlineStr">
        <is>
          <t>DALARNAS LÄN</t>
        </is>
      </c>
      <c r="E1113" t="inlineStr">
        <is>
          <t>SMEDJEBACKEN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45704</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c r="A1115" t="inlineStr">
        <is>
          <t>A 7275-2025</t>
        </is>
      </c>
      <c r="B1115" s="1" t="n">
        <v>45702</v>
      </c>
      <c r="C1115" s="1" t="n">
        <v>45704</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2025-02-16T15:55:07Z</dcterms:created>
  <dcterms:modified xmlns:dcterms="http://purl.org/dc/terms/" xmlns:xsi="http://www.w3.org/2001/XMLSchema-instance" xsi:type="dcterms:W3CDTF">2025-02-16T15:55:08Z</dcterms:modified>
</cp:coreProperties>
</file>