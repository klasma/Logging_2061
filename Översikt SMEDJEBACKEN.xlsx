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45847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45847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45847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45847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57321-2024</t>
        </is>
      </c>
      <c r="B6" s="1" t="n">
        <v>45629</v>
      </c>
      <c r="C6" s="1" t="n">
        <v>45847</v>
      </c>
      <c r="D6" t="inlineStr">
        <is>
          <t>DALARNAS LÄN</t>
        </is>
      </c>
      <c r="E6" t="inlineStr">
        <is>
          <t>SMEDJEBACKEN</t>
        </is>
      </c>
      <c r="F6" t="inlineStr">
        <is>
          <t>Bergvik skog väst AB</t>
        </is>
      </c>
      <c r="G6" t="n">
        <v>4.1</v>
      </c>
      <c r="H6" t="n">
        <v>3</v>
      </c>
      <c r="I6" t="n">
        <v>4</v>
      </c>
      <c r="J6" t="n">
        <v>3</v>
      </c>
      <c r="K6" t="n">
        <v>2</v>
      </c>
      <c r="L6" t="n">
        <v>0</v>
      </c>
      <c r="M6" t="n">
        <v>0</v>
      </c>
      <c r="N6" t="n">
        <v>0</v>
      </c>
      <c r="O6" t="n">
        <v>5</v>
      </c>
      <c r="P6" t="n">
        <v>2</v>
      </c>
      <c r="Q6" t="n">
        <v>11</v>
      </c>
      <c r="R6" s="2" t="inlineStr">
        <is>
          <t>Knärot
Rynkskinn
Gul taggsvamp
Rovspindling
Vedtrappmossa
Bollvitmossa
Svavelriska
Tibast
Vårärt
Fläcknycklar
Blåsippa</t>
        </is>
      </c>
      <c r="S6">
        <f>HYPERLINK("https://klasma.github.io/Logging_2061/artfynd/A 57321-2024 artfynd.xlsx", "A 57321-2024")</f>
        <v/>
      </c>
      <c r="T6">
        <f>HYPERLINK("https://klasma.github.io/Logging_2061/kartor/A 57321-2024 karta.png", "A 57321-2024")</f>
        <v/>
      </c>
      <c r="U6">
        <f>HYPERLINK("https://klasma.github.io/Logging_2061/knärot/A 57321-2024 karta knärot.png", "A 57321-2024")</f>
        <v/>
      </c>
      <c r="V6">
        <f>HYPERLINK("https://klasma.github.io/Logging_2061/klagomål/A 57321-2024 FSC-klagomål.docx", "A 57321-2024")</f>
        <v/>
      </c>
      <c r="W6">
        <f>HYPERLINK("https://klasma.github.io/Logging_2061/klagomålsmail/A 57321-2024 FSC-klagomål mail.docx", "A 57321-2024")</f>
        <v/>
      </c>
      <c r="X6">
        <f>HYPERLINK("https://klasma.github.io/Logging_2061/tillsyn/A 57321-2024 tillsynsbegäran.docx", "A 57321-2024")</f>
        <v/>
      </c>
      <c r="Y6">
        <f>HYPERLINK("https://klasma.github.io/Logging_2061/tillsynsmail/A 57321-2024 tillsynsbegäran mail.docx", "A 57321-2024")</f>
        <v/>
      </c>
    </row>
    <row r="7" ht="15" customHeight="1">
      <c r="A7" t="inlineStr">
        <is>
          <t>A 5125-2025</t>
        </is>
      </c>
      <c r="B7" s="1" t="n">
        <v>45691</v>
      </c>
      <c r="C7" s="1" t="n">
        <v>45847</v>
      </c>
      <c r="D7" t="inlineStr">
        <is>
          <t>DALARNAS LÄN</t>
        </is>
      </c>
      <c r="E7" t="inlineStr">
        <is>
          <t>SMEDJEBACKEN</t>
        </is>
      </c>
      <c r="F7" t="inlineStr">
        <is>
          <t>Bergvik skog väst AB</t>
        </is>
      </c>
      <c r="G7" t="n">
        <v>23.1</v>
      </c>
      <c r="H7" t="n">
        <v>3</v>
      </c>
      <c r="I7" t="n">
        <v>5</v>
      </c>
      <c r="J7" t="n">
        <v>1</v>
      </c>
      <c r="K7" t="n">
        <v>1</v>
      </c>
      <c r="L7" t="n">
        <v>0</v>
      </c>
      <c r="M7" t="n">
        <v>0</v>
      </c>
      <c r="N7" t="n">
        <v>0</v>
      </c>
      <c r="O7" t="n">
        <v>4</v>
      </c>
      <c r="P7" t="n">
        <v>1</v>
      </c>
      <c r="Q7" t="n">
        <v>11</v>
      </c>
      <c r="R7" s="2" t="inlineStr">
        <is>
          <t>Knärot
Stjärntagging
Mörk kådsvartspik
Röd kådsvartspik
Bronshjon
Jättesvampmal
Kattfotslav
Rostfläck
Vedticka
Kungsfågel
Sångsvan</t>
        </is>
      </c>
      <c r="S7">
        <f>HYPERLINK("https://klasma.github.io/Logging_2061/artfynd/A 5125-2025 artfynd.xlsx", "A 5125-2025")</f>
        <v/>
      </c>
      <c r="T7">
        <f>HYPERLINK("https://klasma.github.io/Logging_2061/kartor/A 5125-2025 karta.png", "A 5125-2025")</f>
        <v/>
      </c>
      <c r="U7">
        <f>HYPERLINK("https://klasma.github.io/Logging_2061/knärot/A 5125-2025 karta knärot.png", "A 5125-2025")</f>
        <v/>
      </c>
      <c r="V7">
        <f>HYPERLINK("https://klasma.github.io/Logging_2061/klagomål/A 5125-2025 FSC-klagomål.docx", "A 5125-2025")</f>
        <v/>
      </c>
      <c r="W7">
        <f>HYPERLINK("https://klasma.github.io/Logging_2061/klagomålsmail/A 5125-2025 FSC-klagomål mail.docx", "A 5125-2025")</f>
        <v/>
      </c>
      <c r="X7">
        <f>HYPERLINK("https://klasma.github.io/Logging_2061/tillsyn/A 5125-2025 tillsynsbegäran.docx", "A 5125-2025")</f>
        <v/>
      </c>
      <c r="Y7">
        <f>HYPERLINK("https://klasma.github.io/Logging_2061/tillsynsmail/A 5125-2025 tillsynsbegäran mail.docx", "A 5125-2025")</f>
        <v/>
      </c>
      <c r="Z7">
        <f>HYPERLINK("https://klasma.github.io/Logging_2061/fåglar/A 5125-2025 prioriterade fågelarter.docx", "A 5125-2025")</f>
        <v/>
      </c>
    </row>
    <row r="8" ht="15" customHeight="1">
      <c r="A8" t="inlineStr">
        <is>
          <t>A 18375-2021</t>
        </is>
      </c>
      <c r="B8" s="1" t="n">
        <v>44305</v>
      </c>
      <c r="C8" s="1" t="n">
        <v>45847</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45847</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45847</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45847</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45847</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45847</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45847</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45847</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45847</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45847</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45847</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45847</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45847</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45847</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45847</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45847</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45847</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45847</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45847</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45847</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45847</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45847</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45847</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45847</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45847</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45847</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45847</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45847</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45847</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45847</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45847</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45847</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45847</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45847</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45847</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45847</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45847</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45847</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45847</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45847</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45847</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45847</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45847</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45847</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45847</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45847</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45847</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45847</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45847</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45847</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45847</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45847</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45847</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45847</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45847</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45847</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45847</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45847</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45847</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45847</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45847</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45847</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45847</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45847</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45847</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45847</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45847</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45847</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45847</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45847</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45847</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45847</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45847</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45847</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45847</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45847</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45847</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45847</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45847</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45847</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45847</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45847</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45847</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45847</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45847</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45847</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45847</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45847</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45847</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45847</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45847</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45847</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45847</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45847</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45847</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45847</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45847</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45847</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45847</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45847</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45847</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45847</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45847</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45847</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45847</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45847</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45847</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45847</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45847</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45847</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45847</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45847</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45847</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45847</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45847</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45847</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45847</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45847</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45847</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45847</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45847</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45847</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45847</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45847</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45847</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45847</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45847</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45847</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45847</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45847</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45847</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45847</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45847</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45847</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45847</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45847</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45847</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45847</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45847</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45847</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45847</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45847</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45847</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45847</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45847</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45847</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45847</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45847</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45847</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45847</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45847</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45847</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45847</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45847</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45847</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45847</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45847</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45847</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45847</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45847</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45847</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45847</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45847</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45847</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45847</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45847</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45847</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45847</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45847</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45847</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45847</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45847</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45847</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45847</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45847</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45847</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45847</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45847</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45847</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45847</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45847</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45847</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45847</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45847</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45847</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45847</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45847</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45847</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45847</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45847</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45847</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45847</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45847</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45847</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45847</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45847</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45847</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45847</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45847</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45847</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45847</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45847</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45847</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45847</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45847</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45847</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45847</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45847</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45847</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45847</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45847</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45847</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45847</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45847</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45847</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45847</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45847</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45847</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45847</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45847</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45847</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45847</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45847</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45847</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45847</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45847</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45847</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45847</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45847</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45847</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45847</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45847</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45847</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45847</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45847</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45847</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45847</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45847</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45847</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45847</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45847</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45847</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45847</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45847</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45847</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45847</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45847</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45847</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45847</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45847</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45847</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45847</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45847</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45847</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45847</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45847</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45847</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45847</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45847</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45847</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45847</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45847</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45847</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45847</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45847</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45847</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45847</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45847</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45847</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45847</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45847</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45847</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45847</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45847</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45847</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45847</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45847</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45847</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45847</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45847</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45847</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45847</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45847</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45847</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45847</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45847</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45847</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45847</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45847</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45847</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45847</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45847</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45847</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45847</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45847</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45847</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45847</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45847</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45847</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45847</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45847</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45847</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45847</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45847</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45847</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45847</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45847</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45847</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45847</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45847</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45847</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45847</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45847</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45847</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45847</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45847</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45847</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45847</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45847</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45847</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45847</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45847</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45847</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45847</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45847</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45847</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45847</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45847</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45847</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45847</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45847</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45847</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45847</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45847</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45847</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45847</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45847</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45847</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45847</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45847</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45847</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45847</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45847</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45847</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45847</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45847</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45847</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45847</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45847</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45847</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45847</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45847</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45847</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45847</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45847</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45847</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45847</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45847</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45847</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45847</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45847</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45847</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45847</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45847</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45847</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45847</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45847</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45847</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45847</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45847</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45847</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45847</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45847</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45847</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45847</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45847</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45847</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45847</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45847</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45847</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45847</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45847</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45847</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45847</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45847</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45847</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45847</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45847</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45847</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45847</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45847</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45847</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45847</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45847</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45847</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45847</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45847</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45847</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45847</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45847</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45847</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45847</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45847</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45847</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45847</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45847</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45847</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45847</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45847</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45847</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45847</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45847</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45847</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45847</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45847</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45847</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45847</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45847</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45847</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45847</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45847</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45847</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45847</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45847</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45847</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45847</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45847</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45847</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45847</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45847</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45847</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45847</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45847</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45847</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45847</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45847</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45847</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45847</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45847</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45847</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45847</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45847</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45847</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45847</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45847</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45847</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45847</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45847</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45847</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45847</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45847</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45847</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45847</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45847</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45847</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45847</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45847</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45847</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45847</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45847</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45847</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45847</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45847</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45847</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45847</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45847</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45847</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45847</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45847</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45847</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45847</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45847</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45847</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45847</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45847</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45847</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45847</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45847</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45847</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45847</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45847</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45847</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45847</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45847</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45847</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45847</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45847</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45847</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45847</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45847</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45847</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45847</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45847</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45847</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45847</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45847</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45847</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45847</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45847</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45847</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45847</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45847</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45847</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45847</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45847</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45847</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45847</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45847</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45847</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45847</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45847</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45847</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45847</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45847</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45847</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45847</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45847</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45847</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45847</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45847</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45847</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45847</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45847</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45847</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45847</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45847</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45847</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45847</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45847</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45847</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45847</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45847</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45847</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45847</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45847</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45847</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45847</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45847</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45847</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45847</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45847</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45847</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45847</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45847</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45847</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45847</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45847</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45847</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45847</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45847</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45847</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45847</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45847</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45847</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45847</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45847</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45847</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45847</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45847</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45847</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45847</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45847</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45847</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45847</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45847</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45847</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45847</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45847</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45847</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45847</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45847</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45847</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45847</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45847</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45847</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45847</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45847</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45847</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45847</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45847</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45847</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45847</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45847</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45847</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45847</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45847</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45847</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45847</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45847</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45847</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45847</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45847</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45847</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45847</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45847</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45847</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45847</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45847</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45847</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45847</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45847</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45847</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45847</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45847</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45847</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45847</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45847</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45847</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45847</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45847</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45847</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45847</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45847</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45847</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45847</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45847</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45847</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45847</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45847</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45847</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45847</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45847</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45847</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45847</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45847</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45847</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45847</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45847</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45847</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45847</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45847</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45847</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45847</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45847</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45847</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45847</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45847</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45847</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45847</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45847</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45847</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45847</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45847</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45847</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45847</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45847</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45847</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45847</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45847</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45847</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45847</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45847</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45847</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45847</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45847</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45847</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45847</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45847</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45847</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45847</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45847</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45847</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45847</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45847</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45847</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45847</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45847</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45847</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45847</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45847</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45847</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45847</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45847</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45847</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45847</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45847</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45847</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45847</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45847</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45847</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45847</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45847</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45847</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45847</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45847</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45847</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45847</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45847</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45847</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45847</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45847</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45847</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45847</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45847</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45847</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45847</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45847</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45847</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45847</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45847</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45847</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45847</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45847</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45847</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45847</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45847</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45847</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45847</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45847</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45847</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45847</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45847</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45847</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45847</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45847</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45847</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45847</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45847</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45847</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45847</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45847</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45847</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45847</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45847</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45847</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45847</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45847</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45847</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45847</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45847</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45847</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45847</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45847</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45847</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45847</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45847</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45847</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45847</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45847</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45847</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45847</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45847</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45847</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45847</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45847</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45847</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45847</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45847</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45847</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45847</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45847</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45847</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45847</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45847</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45847</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45847</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45847</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45847</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45847</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45847</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45847</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45847</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45847</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45847</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45847</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45847</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45847</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45847</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45847</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45847</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45847</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45847</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45847</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45847</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45847</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45847</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45847</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45847</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45847</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45847</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45847</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45847</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45847</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45847</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45847</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45847</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45847</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45847</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45847</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45847</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45847</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45847</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45847</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45847</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45847</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45847</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45847</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45847</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45847</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45847</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45847</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45847</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45847</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45847</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45847</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45847</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45847</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45847</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45847</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45847</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45847</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45847</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45847</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45847</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45847</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45847</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45847</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45847</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45847</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45847</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45847</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45847</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45847</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45847</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45847</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45847</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45847</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45847</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45847</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45847</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45847</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45847</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45847</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45847</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45847</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45847</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45847</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45847</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45847</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45847</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45847</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45847</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45847</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45847</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45847</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45847</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45847</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45847</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45847</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45847</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45847</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45847</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45847</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45847</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45847</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45847</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45847</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45847</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45847</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45847</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45847</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45847</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45847</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45847</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45847</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45847</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45847</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45847</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45847</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45847</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45847</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45847</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45847</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45847</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45847</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45847</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45847</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45847</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45847</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45847</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45847</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45847</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45847</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45847</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45847</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45847</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45847</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45847</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45847</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45847</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45847</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45847</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45847</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45847</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45847</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45847</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45847</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45847</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45847</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45847</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45847</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45847</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45847</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45847</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45847</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45847</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45847</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45847</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45847</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45847</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45847</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45847</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45847</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45847</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45847</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45847</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45847</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45847</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45847</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45847</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45847</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45847</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45847</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45847</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45847</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45847</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45847</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45847</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45847</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45847</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45847</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45847</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45847</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45847</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45847</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45847</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45847</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45847</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45847</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45847</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45847</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45847</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45847</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45847</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45847</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45847</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45847</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45847</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45847</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45847</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45847</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45847</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45847</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45847</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45847</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45847</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45847</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45847</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45847</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45847</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45847</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45847</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45847</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45847</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45847</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45847</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45847</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45847</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45847</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45847</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45847</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45847</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45847</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45847</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45847</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45847</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45847</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45847</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45847</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45847</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45847</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45847</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45847</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45847</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45847</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45847</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45847</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45847</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45847</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45847</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45847</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45847</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45847</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45847</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45847</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45847</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45847</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45847</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45847</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45847</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45847</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45847</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45847</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45847</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45847</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45847</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45847</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45847</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45847</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45847</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45847</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45847</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45847</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45847</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45847</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45847</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45847</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45847</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45847</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45847</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45847</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45847</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45847</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45847</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45847</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45847</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45847</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45847</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45847</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45847</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45847</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45847</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45847</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45847</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45847</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45847</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45847</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45847</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45847</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45847</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45847</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45847</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45847</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45847</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45847</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45847</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45847</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45847</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45847</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45847</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45847</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45847</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45847</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45847</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45847</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45847</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45847</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45847</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45847</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45847</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45847</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45847</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45847</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45847</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45847</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45847</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45847</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45847</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45847</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45847</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45847</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45847</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45847</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45847</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45847</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45847</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45847</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45847</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45847</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45847</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45847</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45847</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45847</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45847</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45847</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45847</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45847</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45847</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45847</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45847</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45847</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45847</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45847</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45847</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45847</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45847</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45847</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45847</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45847</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45847</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45847</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45847</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45847</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45847</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45847</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45847</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45847</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45847</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45847</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45847</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45847</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45847</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45847</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45847</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45847</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45847</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45847</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45847</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45847</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45847</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45847</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45847</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45847</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45847</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45847</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45847</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45847</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45847</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45847</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45847</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45847</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45847</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45847</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45847</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45847</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45847</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45847</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45847</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45847</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45847</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45847</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45847</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45847</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45847</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45847</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45847</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45847</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45847</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45847</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45847</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45847</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45847</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45847</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45847</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45847</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45847</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45847</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45847</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45847</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45847</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45847</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45847</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45847</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45847</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45847</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45847</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45847</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45847</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45847</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45847</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45847</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45847</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45847</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45847</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45847</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45847</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45847</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45847</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45847</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45847</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45847</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45847</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45847</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45847</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45847</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45847</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45847</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45847</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45847</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45847</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45847</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45847</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45847</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45847</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45847</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45847</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45847</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45847</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45847</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45847</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45847</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45847</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45847</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28544-2025</t>
        </is>
      </c>
      <c r="B1211" s="1" t="n">
        <v>45819</v>
      </c>
      <c r="C1211" s="1" t="n">
        <v>45847</v>
      </c>
      <c r="D1211" t="inlineStr">
        <is>
          <t>DALARNAS LÄN</t>
        </is>
      </c>
      <c r="E1211" t="inlineStr">
        <is>
          <t>SMEDJEBACKEN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28775-2025</t>
        </is>
      </c>
      <c r="B1212" s="1" t="n">
        <v>45819</v>
      </c>
      <c r="C1212" s="1" t="n">
        <v>45847</v>
      </c>
      <c r="D1212" t="inlineStr">
        <is>
          <t>DALARNAS LÄN</t>
        </is>
      </c>
      <c r="E1212" t="inlineStr">
        <is>
          <t>SMEDJEBACKEN</t>
        </is>
      </c>
      <c r="F1212" t="inlineStr">
        <is>
          <t>Bergvik skog väst AB</t>
        </is>
      </c>
      <c r="G1212" t="n">
        <v>22.8</v>
      </c>
      <c r="H1212" t="n">
        <v>0</v>
      </c>
      <c r="I1212" t="n">
        <v>0</v>
      </c>
      <c r="J1212" t="n">
        <v>0</v>
      </c>
      <c r="K1212" t="n">
        <v>0</v>
      </c>
      <c r="L1212" t="n">
        <v>0</v>
      </c>
      <c r="M1212" t="n">
        <v>0</v>
      </c>
      <c r="N1212" t="n">
        <v>0</v>
      </c>
      <c r="O1212" t="n">
        <v>0</v>
      </c>
      <c r="P1212" t="n">
        <v>0</v>
      </c>
      <c r="Q1212" t="n">
        <v>0</v>
      </c>
      <c r="R1212" s="2" t="inlineStr"/>
    </row>
    <row r="1213" ht="15" customHeight="1">
      <c r="A1213" t="inlineStr">
        <is>
          <t>A 28444-2025</t>
        </is>
      </c>
      <c r="B1213" s="1" t="n">
        <v>45819</v>
      </c>
      <c r="C1213" s="1" t="n">
        <v>45847</v>
      </c>
      <c r="D1213" t="inlineStr">
        <is>
          <t>DALARNAS LÄN</t>
        </is>
      </c>
      <c r="E1213" t="inlineStr">
        <is>
          <t>SMEDJEBACKEN</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45847</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45847</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45847</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45847</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45847</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31470-2025</t>
        </is>
      </c>
      <c r="B1219" s="1" t="n">
        <v>45833</v>
      </c>
      <c r="C1219" s="1" t="n">
        <v>45847</v>
      </c>
      <c r="D1219" t="inlineStr">
        <is>
          <t>DALARNAS LÄN</t>
        </is>
      </c>
      <c r="E1219" t="inlineStr">
        <is>
          <t>SMEDJEBACKEN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31473-2025</t>
        </is>
      </c>
      <c r="B1220" s="1" t="n">
        <v>45833</v>
      </c>
      <c r="C1220" s="1" t="n">
        <v>45847</v>
      </c>
      <c r="D1220" t="inlineStr">
        <is>
          <t>DALARNAS LÄN</t>
        </is>
      </c>
      <c r="E1220" t="inlineStr">
        <is>
          <t>SMEDJEBACKEN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31411-2025</t>
        </is>
      </c>
      <c r="B1221" s="1" t="n">
        <v>45833</v>
      </c>
      <c r="C1221" s="1" t="n">
        <v>45847</v>
      </c>
      <c r="D1221" t="inlineStr">
        <is>
          <t>DALARNAS LÄN</t>
        </is>
      </c>
      <c r="E1221" t="inlineStr">
        <is>
          <t>SMEDJEBACKEN</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32091-2025</t>
        </is>
      </c>
      <c r="B1222" s="1" t="n">
        <v>45835</v>
      </c>
      <c r="C1222" s="1" t="n">
        <v>45847</v>
      </c>
      <c r="D1222" t="inlineStr">
        <is>
          <t>DALARNAS LÄN</t>
        </is>
      </c>
      <c r="E1222" t="inlineStr">
        <is>
          <t>SMEDJEBACKEN</t>
        </is>
      </c>
      <c r="F1222" t="inlineStr">
        <is>
          <t>Övriga Aktiebolag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32696-2025</t>
        </is>
      </c>
      <c r="B1223" s="1" t="n">
        <v>45839</v>
      </c>
      <c r="C1223" s="1" t="n">
        <v>45847</v>
      </c>
      <c r="D1223" t="inlineStr">
        <is>
          <t>DALARNAS LÄN</t>
        </is>
      </c>
      <c r="E1223" t="inlineStr">
        <is>
          <t>SMEDJEBACKEN</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33017-2025</t>
        </is>
      </c>
      <c r="B1224" s="1" t="n">
        <v>45840</v>
      </c>
      <c r="C1224" s="1" t="n">
        <v>45847</v>
      </c>
      <c r="D1224" t="inlineStr">
        <is>
          <t>DALARNAS LÄN</t>
        </is>
      </c>
      <c r="E1224" t="inlineStr">
        <is>
          <t>SMEDJEBACKEN</t>
        </is>
      </c>
      <c r="F1224" t="inlineStr">
        <is>
          <t>Övriga Aktiebolag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33064-2025</t>
        </is>
      </c>
      <c r="B1225" s="1" t="n">
        <v>45840</v>
      </c>
      <c r="C1225" s="1" t="n">
        <v>45847</v>
      </c>
      <c r="D1225" t="inlineStr">
        <is>
          <t>DALARNAS LÄN</t>
        </is>
      </c>
      <c r="E1225" t="inlineStr">
        <is>
          <t>SMEDJEBACKEN</t>
        </is>
      </c>
      <c r="F1225" t="inlineStr">
        <is>
          <t>Övriga Aktiebolag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32996-2025</t>
        </is>
      </c>
      <c r="B1226" s="1" t="n">
        <v>45840</v>
      </c>
      <c r="C1226" s="1" t="n">
        <v>45847</v>
      </c>
      <c r="D1226" t="inlineStr">
        <is>
          <t>DALARNAS LÄN</t>
        </is>
      </c>
      <c r="E1226" t="inlineStr">
        <is>
          <t>SMEDJEBACKEN</t>
        </is>
      </c>
      <c r="F1226" t="inlineStr">
        <is>
          <t>Övriga Aktiebolag</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33464-2025</t>
        </is>
      </c>
      <c r="B1227" s="1" t="n">
        <v>45841</v>
      </c>
      <c r="C1227" s="1" t="n">
        <v>45847</v>
      </c>
      <c r="D1227" t="inlineStr">
        <is>
          <t>DALARNAS LÄN</t>
        </is>
      </c>
      <c r="E1227" t="inlineStr">
        <is>
          <t>SMEDJEBACKEN</t>
        </is>
      </c>
      <c r="F1227" t="inlineStr">
        <is>
          <t>Sveaskog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33466-2025</t>
        </is>
      </c>
      <c r="B1228" s="1" t="n">
        <v>45841</v>
      </c>
      <c r="C1228" s="1" t="n">
        <v>45847</v>
      </c>
      <c r="D1228" t="inlineStr">
        <is>
          <t>DALARNAS LÄN</t>
        </is>
      </c>
      <c r="E1228" t="inlineStr">
        <is>
          <t>SMEDJEBACKEN</t>
        </is>
      </c>
      <c r="F1228" t="inlineStr">
        <is>
          <t>Sveaskog</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33912-2025</t>
        </is>
      </c>
      <c r="B1229" s="1" t="n">
        <v>45842</v>
      </c>
      <c r="C1229" s="1" t="n">
        <v>45847</v>
      </c>
      <c r="D1229" t="inlineStr">
        <is>
          <t>DALARNAS LÄN</t>
        </is>
      </c>
      <c r="E1229" t="inlineStr">
        <is>
          <t>SMEDJEBACKEN</t>
        </is>
      </c>
      <c r="G1229" t="n">
        <v>1.6</v>
      </c>
      <c r="H1229" t="n">
        <v>0</v>
      </c>
      <c r="I1229" t="n">
        <v>0</v>
      </c>
      <c r="J1229" t="n">
        <v>0</v>
      </c>
      <c r="K1229" t="n">
        <v>0</v>
      </c>
      <c r="L1229" t="n">
        <v>0</v>
      </c>
      <c r="M1229" t="n">
        <v>0</v>
      </c>
      <c r="N1229" t="n">
        <v>0</v>
      </c>
      <c r="O1229" t="n">
        <v>0</v>
      </c>
      <c r="P1229" t="n">
        <v>0</v>
      </c>
      <c r="Q1229" t="n">
        <v>0</v>
      </c>
      <c r="R1229" s="2" t="inlineStr"/>
    </row>
    <row r="1230">
      <c r="A1230" t="inlineStr">
        <is>
          <t>A 34444-2025</t>
        </is>
      </c>
      <c r="B1230" s="1" t="n">
        <v>45846</v>
      </c>
      <c r="C1230" s="1" t="n">
        <v>45847</v>
      </c>
      <c r="D1230" t="inlineStr">
        <is>
          <t>DALARNAS LÄN</t>
        </is>
      </c>
      <c r="E1230" t="inlineStr">
        <is>
          <t>SMEDJEBACKEN</t>
        </is>
      </c>
      <c r="G1230" t="n">
        <v>4.7</v>
      </c>
      <c r="H1230" t="n">
        <v>0</v>
      </c>
      <c r="I1230" t="n">
        <v>0</v>
      </c>
      <c r="J1230" t="n">
        <v>0</v>
      </c>
      <c r="K1230" t="n">
        <v>0</v>
      </c>
      <c r="L1230" t="n">
        <v>0</v>
      </c>
      <c r="M1230" t="n">
        <v>0</v>
      </c>
      <c r="N1230" t="n">
        <v>0</v>
      </c>
      <c r="O1230" t="n">
        <v>0</v>
      </c>
      <c r="P1230" t="n">
        <v>0</v>
      </c>
      <c r="Q1230" t="n">
        <v>0</v>
      </c>
      <c r="R12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2025-07-09T20:34:38Z</dcterms:created>
  <dcterms:modified xmlns:dcterms="http://purl.org/dc/terms/" xmlns:xsi="http://www.w3.org/2001/XMLSchema-instance" xsi:type="dcterms:W3CDTF">2025-07-09T20:34:39Z</dcterms:modified>
</cp:coreProperties>
</file>