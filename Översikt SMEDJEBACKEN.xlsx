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45983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45983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45983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45983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45983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45983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45983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45983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45983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45983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45983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45983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45983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45983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45983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45983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45983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45983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45983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45983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45983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45983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45983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45983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45983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45983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45983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45983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50681-2025</t>
        </is>
      </c>
      <c r="B30" s="1" t="n">
        <v>45945</v>
      </c>
      <c r="C30" s="1" t="n">
        <v>45983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HYPERLINK("https://klasma.github.io/Logging_2061/artfynd/A 50681-2025 artfynd.xlsx", "A 50681-2025")</f>
        <v/>
      </c>
      <c r="T30">
        <f>HYPERLINK("https://klasma.github.io/Logging_2061/kartor/A 50681-2025 karta.png", "A 50681-2025")</f>
        <v/>
      </c>
      <c r="V30">
        <f>HYPERLINK("https://klasma.github.io/Logging_2061/klagomål/A 50681-2025 FSC-klagomål.docx", "A 50681-2025")</f>
        <v/>
      </c>
      <c r="W30">
        <f>HYPERLINK("https://klasma.github.io/Logging_2061/klagomålsmail/A 50681-2025 FSC-klagomål mail.docx", "A 50681-2025")</f>
        <v/>
      </c>
      <c r="X30">
        <f>HYPERLINK("https://klasma.github.io/Logging_2061/tillsyn/A 50681-2025 tillsynsbegäran.docx", "A 50681-2025")</f>
        <v/>
      </c>
      <c r="Y30">
        <f>HYPERLINK("https://klasma.github.io/Logging_2061/tillsynsmail/A 50681-2025 tillsynsbegäran mail.docx", "A 50681-2025")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45983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45983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45983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45983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45983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52601-2024</t>
        </is>
      </c>
      <c r="B36" s="1" t="n">
        <v>45609</v>
      </c>
      <c r="C36" s="1" t="n">
        <v>45983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HYPERLINK("https://klasma.github.io/Logging_2061/artfynd/A 52601-2024 artfynd.xlsx", "A 52601-2024")</f>
        <v/>
      </c>
      <c r="T36">
        <f>HYPERLINK("https://klasma.github.io/Logging_2061/kartor/A 52601-2024 karta.png", "A 52601-2024")</f>
        <v/>
      </c>
      <c r="U36">
        <f>HYPERLINK("https://klasma.github.io/Logging_2061/knärot/A 52601-2024 karta knärot.png", "A 52601-2024")</f>
        <v/>
      </c>
      <c r="V36">
        <f>HYPERLINK("https://klasma.github.io/Logging_2061/klagomål/A 52601-2024 FSC-klagomål.docx", "A 52601-2024")</f>
        <v/>
      </c>
      <c r="W36">
        <f>HYPERLINK("https://klasma.github.io/Logging_2061/klagomålsmail/A 52601-2024 FSC-klagomål mail.docx", "A 52601-2024")</f>
        <v/>
      </c>
      <c r="X36">
        <f>HYPERLINK("https://klasma.github.io/Logging_2061/tillsyn/A 52601-2024 tillsynsbegäran.docx", "A 52601-2024")</f>
        <v/>
      </c>
      <c r="Y36">
        <f>HYPERLINK("https://klasma.github.io/Logging_2061/tillsynsmail/A 52601-2024 tillsynsbegäran mail.docx", "A 52601-2024")</f>
        <v/>
      </c>
    </row>
    <row r="37" ht="15" customHeight="1">
      <c r="A37" t="inlineStr">
        <is>
          <t>A 53977-2023</t>
        </is>
      </c>
      <c r="B37" s="1" t="n">
        <v>45225</v>
      </c>
      <c r="C37" s="1" t="n">
        <v>45983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HYPERLINK("https://klasma.github.io/Logging_2061/artfynd/A 53977-2023 artfynd.xlsx", "A 53977-2023")</f>
        <v/>
      </c>
      <c r="T37">
        <f>HYPERLINK("https://klasma.github.io/Logging_2061/kartor/A 53977-2023 karta.png", "A 53977-2023")</f>
        <v/>
      </c>
      <c r="V37">
        <f>HYPERLINK("https://klasma.github.io/Logging_2061/klagomål/A 53977-2023 FSC-klagomål.docx", "A 53977-2023")</f>
        <v/>
      </c>
      <c r="W37">
        <f>HYPERLINK("https://klasma.github.io/Logging_2061/klagomålsmail/A 53977-2023 FSC-klagomål mail.docx", "A 53977-2023")</f>
        <v/>
      </c>
      <c r="X37">
        <f>HYPERLINK("https://klasma.github.io/Logging_2061/tillsyn/A 53977-2023 tillsynsbegäran.docx", "A 53977-2023")</f>
        <v/>
      </c>
      <c r="Y37">
        <f>HYPERLINK("https://klasma.github.io/Logging_2061/tillsynsmail/A 53977-2023 tillsynsbegäran mail.docx", "A 53977-2023")</f>
        <v/>
      </c>
      <c r="Z37">
        <f>HYPERLINK("https://klasma.github.io/Logging_2061/fåglar/A 53977-2023 prioriterade fågelarter.docx", "A 53977-2023")</f>
        <v/>
      </c>
    </row>
    <row r="38" ht="15" customHeight="1">
      <c r="A38" t="inlineStr">
        <is>
          <t>A 18020-2024</t>
        </is>
      </c>
      <c r="B38" s="1" t="n">
        <v>45420.29810185185</v>
      </c>
      <c r="C38" s="1" t="n">
        <v>45983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18020-2024 artfynd.xlsx", "A 18020-2024")</f>
        <v/>
      </c>
      <c r="T38">
        <f>HYPERLINK("https://klasma.github.io/Logging_2061/kartor/A 18020-2024 karta.png", "A 18020-2024")</f>
        <v/>
      </c>
      <c r="V38">
        <f>HYPERLINK("https://klasma.github.io/Logging_2061/klagomål/A 18020-2024 FSC-klagomål.docx", "A 18020-2024")</f>
        <v/>
      </c>
      <c r="W38">
        <f>HYPERLINK("https://klasma.github.io/Logging_2061/klagomålsmail/A 18020-2024 FSC-klagomål mail.docx", "A 18020-2024")</f>
        <v/>
      </c>
      <c r="X38">
        <f>HYPERLINK("https://klasma.github.io/Logging_2061/tillsyn/A 18020-2024 tillsynsbegäran.docx", "A 18020-2024")</f>
        <v/>
      </c>
      <c r="Y38">
        <f>HYPERLINK("https://klasma.github.io/Logging_2061/tillsynsmail/A 18020-2024 tillsynsbegäran mail.docx", "A 18020-2024")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45983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45983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45983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45983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45983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45983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45983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45983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45983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45983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45983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45983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45983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45983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45983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45983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45983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45983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45983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45983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45983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45983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45983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45983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45983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45983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45983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45983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45983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45983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45983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45983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45983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45983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45983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45983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45983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45983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45983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45983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45983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45983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45983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45983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45983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45983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62690-2020</t>
        </is>
      </c>
      <c r="B85" s="1" t="n">
        <v>44161</v>
      </c>
      <c r="C85" s="1" t="n">
        <v>45983</v>
      </c>
      <c r="D85" t="inlineStr">
        <is>
          <t>DALARNAS LÄN</t>
        </is>
      </c>
      <c r="E85" t="inlineStr">
        <is>
          <t>SMEDJEBACKEN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45983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25366-2021</t>
        </is>
      </c>
      <c r="B87" s="1" t="n">
        <v>44342</v>
      </c>
      <c r="C87" s="1" t="n">
        <v>45983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45983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45983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45983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45983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45983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45983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45983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45983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45983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45983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45983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45983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45983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45983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45983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45983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45983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45983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45983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45983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63546-2020</t>
        </is>
      </c>
      <c r="B108" s="1" t="n">
        <v>44165</v>
      </c>
      <c r="C108" s="1" t="n">
        <v>45983</v>
      </c>
      <c r="D108" t="inlineStr">
        <is>
          <t>DALARNAS LÄN</t>
        </is>
      </c>
      <c r="E108" t="inlineStr">
        <is>
          <t>SMEDJEBACKEN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45983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45983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45983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45983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45983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64129-2020</t>
        </is>
      </c>
      <c r="B114" s="1" t="n">
        <v>44167</v>
      </c>
      <c r="C114" s="1" t="n">
        <v>45983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45983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45983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45983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45983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45983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45983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45983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45983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45983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45983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45983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45983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45983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45983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45983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32945-2022</t>
        </is>
      </c>
      <c r="B130" s="1" t="n">
        <v>44784.70158564814</v>
      </c>
      <c r="C130" s="1" t="n">
        <v>45983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45983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45983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68784-2020</t>
        </is>
      </c>
      <c r="B133" s="1" t="n">
        <v>44187</v>
      </c>
      <c r="C133" s="1" t="n">
        <v>45983</v>
      </c>
      <c r="D133" t="inlineStr">
        <is>
          <t>DALARNAS LÄN</t>
        </is>
      </c>
      <c r="E133" t="inlineStr">
        <is>
          <t>SMEDJEBACKEN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45983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45983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49275-2022</t>
        </is>
      </c>
      <c r="B136" s="1" t="n">
        <v>44861</v>
      </c>
      <c r="C136" s="1" t="n">
        <v>45983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45983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45983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45983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53583-2021</t>
        </is>
      </c>
      <c r="B140" s="1" t="n">
        <v>44469</v>
      </c>
      <c r="C140" s="1" t="n">
        <v>45983</v>
      </c>
      <c r="D140" t="inlineStr">
        <is>
          <t>DALARNAS LÄN</t>
        </is>
      </c>
      <c r="E140" t="inlineStr">
        <is>
          <t>SMEDJEBACKEN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66730-2020</t>
        </is>
      </c>
      <c r="B141" s="1" t="n">
        <v>44179</v>
      </c>
      <c r="C141" s="1" t="n">
        <v>45983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45983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44249-2021</t>
        </is>
      </c>
      <c r="B143" s="1" t="n">
        <v>44434</v>
      </c>
      <c r="C143" s="1" t="n">
        <v>45983</v>
      </c>
      <c r="D143" t="inlineStr">
        <is>
          <t>DALARNAS LÄN</t>
        </is>
      </c>
      <c r="E143" t="inlineStr">
        <is>
          <t>SMEDJEBACKEN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44141-2021</t>
        </is>
      </c>
      <c r="B144" s="1" t="n">
        <v>44434.63518518519</v>
      </c>
      <c r="C144" s="1" t="n">
        <v>45983</v>
      </c>
      <c r="D144" t="inlineStr">
        <is>
          <t>DALARNAS LÄN</t>
        </is>
      </c>
      <c r="E144" t="inlineStr">
        <is>
          <t>SMEDJEBACKEN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45983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45983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45983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69512-2021</t>
        </is>
      </c>
      <c r="B148" s="1" t="n">
        <v>44531.80703703704</v>
      </c>
      <c r="C148" s="1" t="n">
        <v>45983</v>
      </c>
      <c r="D148" t="inlineStr">
        <is>
          <t>DALARNAS LÄN</t>
        </is>
      </c>
      <c r="E148" t="inlineStr">
        <is>
          <t>SMEDJEBACKEN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20990-2021</t>
        </is>
      </c>
      <c r="B149" s="1" t="n">
        <v>44319</v>
      </c>
      <c r="C149" s="1" t="n">
        <v>45983</v>
      </c>
      <c r="D149" t="inlineStr">
        <is>
          <t>DALARNAS LÄN</t>
        </is>
      </c>
      <c r="E149" t="inlineStr">
        <is>
          <t>SMEDJEBACKEN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45983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34382-2022</t>
        </is>
      </c>
      <c r="B151" s="1" t="n">
        <v>44792.4921412037</v>
      </c>
      <c r="C151" s="1" t="n">
        <v>45983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2836-2022</t>
        </is>
      </c>
      <c r="B152" s="1" t="n">
        <v>44581</v>
      </c>
      <c r="C152" s="1" t="n">
        <v>45983</v>
      </c>
      <c r="D152" t="inlineStr">
        <is>
          <t>DALARNAS LÄN</t>
        </is>
      </c>
      <c r="E152" t="inlineStr">
        <is>
          <t>SMEDJEBACKEN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45983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42496-2022</t>
        </is>
      </c>
      <c r="B154" s="1" t="n">
        <v>44831</v>
      </c>
      <c r="C154" s="1" t="n">
        <v>45983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51164-2023</t>
        </is>
      </c>
      <c r="B155" s="1" t="n">
        <v>45219.38086805555</v>
      </c>
      <c r="C155" s="1" t="n">
        <v>45983</v>
      </c>
      <c r="D155" t="inlineStr">
        <is>
          <t>DALARNAS LÄN</t>
        </is>
      </c>
      <c r="E155" t="inlineStr">
        <is>
          <t>SMEDJEBACKEN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27070-2022</t>
        </is>
      </c>
      <c r="B156" s="1" t="n">
        <v>44741.39358796296</v>
      </c>
      <c r="C156" s="1" t="n">
        <v>45983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16842-2021</t>
        </is>
      </c>
      <c r="B157" s="1" t="n">
        <v>44295.39846064815</v>
      </c>
      <c r="C157" s="1" t="n">
        <v>45983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17134-2024</t>
        </is>
      </c>
      <c r="B158" s="1" t="n">
        <v>45412</v>
      </c>
      <c r="C158" s="1" t="n">
        <v>45983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45983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6464-2024</t>
        </is>
      </c>
      <c r="B160" s="1" t="n">
        <v>45338</v>
      </c>
      <c r="C160" s="1" t="n">
        <v>45983</v>
      </c>
      <c r="D160" t="inlineStr">
        <is>
          <t>DALARNAS LÄN</t>
        </is>
      </c>
      <c r="E160" t="inlineStr">
        <is>
          <t>SMEDJEBACKEN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45983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45983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45983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45983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45983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55680-2022</t>
        </is>
      </c>
      <c r="B166" s="1" t="n">
        <v>44883</v>
      </c>
      <c r="C166" s="1" t="n">
        <v>45983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37501-2022</t>
        </is>
      </c>
      <c r="B167" s="1" t="n">
        <v>44809.57108796296</v>
      </c>
      <c r="C167" s="1" t="n">
        <v>45983</v>
      </c>
      <c r="D167" t="inlineStr">
        <is>
          <t>DALARNAS LÄN</t>
        </is>
      </c>
      <c r="E167" t="inlineStr">
        <is>
          <t>SMEDJEBACKEN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19411-2024</t>
        </is>
      </c>
      <c r="B168" s="1" t="n">
        <v>45429.40702546296</v>
      </c>
      <c r="C168" s="1" t="n">
        <v>45983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45983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38473-2024</t>
        </is>
      </c>
      <c r="B170" s="1" t="n">
        <v>45546.47719907408</v>
      </c>
      <c r="C170" s="1" t="n">
        <v>45983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22462-2025</t>
        </is>
      </c>
      <c r="B171" s="1" t="n">
        <v>45786.60820601852</v>
      </c>
      <c r="C171" s="1" t="n">
        <v>45983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43926-2024</t>
        </is>
      </c>
      <c r="B172" s="1" t="n">
        <v>45572.45065972222</v>
      </c>
      <c r="C172" s="1" t="n">
        <v>45983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28049-2021</t>
        </is>
      </c>
      <c r="B173" s="1" t="n">
        <v>44355</v>
      </c>
      <c r="C173" s="1" t="n">
        <v>45983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18022-2024</t>
        </is>
      </c>
      <c r="B174" s="1" t="n">
        <v>45420.30623842592</v>
      </c>
      <c r="C174" s="1" t="n">
        <v>45983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17650-2025</t>
        </is>
      </c>
      <c r="B175" s="1" t="n">
        <v>45758.33210648148</v>
      </c>
      <c r="C175" s="1" t="n">
        <v>45983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25393-2024</t>
        </is>
      </c>
      <c r="B176" s="1" t="n">
        <v>45463.32146990741</v>
      </c>
      <c r="C176" s="1" t="n">
        <v>45983</v>
      </c>
      <c r="D176" t="inlineStr">
        <is>
          <t>DALARNAS LÄN</t>
        </is>
      </c>
      <c r="E176" t="inlineStr">
        <is>
          <t>SMEDJEBACKEN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50539-2024</t>
        </is>
      </c>
      <c r="B177" s="1" t="n">
        <v>45600</v>
      </c>
      <c r="C177" s="1" t="n">
        <v>45983</v>
      </c>
      <c r="D177" t="inlineStr">
        <is>
          <t>DALARNAS LÄN</t>
        </is>
      </c>
      <c r="E177" t="inlineStr">
        <is>
          <t>SMEDJEBACKEN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22198-2025</t>
        </is>
      </c>
      <c r="B178" s="1" t="n">
        <v>45785.64866898148</v>
      </c>
      <c r="C178" s="1" t="n">
        <v>45983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42866-2024</t>
        </is>
      </c>
      <c r="B179" s="1" t="n">
        <v>45566.66189814815</v>
      </c>
      <c r="C179" s="1" t="n">
        <v>45983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22459-2025</t>
        </is>
      </c>
      <c r="B180" s="1" t="n">
        <v>45786.60678240741</v>
      </c>
      <c r="C180" s="1" t="n">
        <v>45983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38477-2025</t>
        </is>
      </c>
      <c r="B181" s="1" t="n">
        <v>45884.31744212963</v>
      </c>
      <c r="C181" s="1" t="n">
        <v>45983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18133-2024</t>
        </is>
      </c>
      <c r="B182" s="1" t="n">
        <v>45420.56997685185</v>
      </c>
      <c r="C182" s="1" t="n">
        <v>45983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39536-2021</t>
        </is>
      </c>
      <c r="B183" s="1" t="n">
        <v>44415.9652662037</v>
      </c>
      <c r="C183" s="1" t="n">
        <v>45983</v>
      </c>
      <c r="D183" t="inlineStr">
        <is>
          <t>DALARNAS LÄN</t>
        </is>
      </c>
      <c r="E183" t="inlineStr">
        <is>
          <t>SMEDJEBACKEN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22292-2025</t>
        </is>
      </c>
      <c r="B184" s="1" t="n">
        <v>45786.34594907407</v>
      </c>
      <c r="C184" s="1" t="n">
        <v>45983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12218-2024</t>
        </is>
      </c>
      <c r="B185" s="1" t="n">
        <v>45378.32930555556</v>
      </c>
      <c r="C185" s="1" t="n">
        <v>45983</v>
      </c>
      <c r="D185" t="inlineStr">
        <is>
          <t>DALARNAS LÄN</t>
        </is>
      </c>
      <c r="E185" t="inlineStr">
        <is>
          <t>SMEDJEBACKEN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32934-2024</t>
        </is>
      </c>
      <c r="B186" s="1" t="n">
        <v>45517.32456018519</v>
      </c>
      <c r="C186" s="1" t="n">
        <v>45983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41333-2024</t>
        </is>
      </c>
      <c r="B187" s="1" t="n">
        <v>45559.66320601852</v>
      </c>
      <c r="C187" s="1" t="n">
        <v>45983</v>
      </c>
      <c r="D187" t="inlineStr">
        <is>
          <t>DALARNAS LÄN</t>
        </is>
      </c>
      <c r="E187" t="inlineStr">
        <is>
          <t>SMEDJEBACKEN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58397-2023</t>
        </is>
      </c>
      <c r="B188" s="1" t="n">
        <v>45250</v>
      </c>
      <c r="C188" s="1" t="n">
        <v>45983</v>
      </c>
      <c r="D188" t="inlineStr">
        <is>
          <t>DALARNAS LÄN</t>
        </is>
      </c>
      <c r="E188" t="inlineStr">
        <is>
          <t>SMEDJEBACKEN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51771-2024</t>
        </is>
      </c>
      <c r="B189" s="1" t="n">
        <v>45607.44939814815</v>
      </c>
      <c r="C189" s="1" t="n">
        <v>45983</v>
      </c>
      <c r="D189" t="inlineStr">
        <is>
          <t>DALARNAS LÄN</t>
        </is>
      </c>
      <c r="E189" t="inlineStr">
        <is>
          <t>SMEDJEBACKEN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29991-2023</t>
        </is>
      </c>
      <c r="B190" s="1" t="n">
        <v>45109.49123842592</v>
      </c>
      <c r="C190" s="1" t="n">
        <v>45983</v>
      </c>
      <c r="D190" t="inlineStr">
        <is>
          <t>DALARNAS LÄN</t>
        </is>
      </c>
      <c r="E190" t="inlineStr">
        <is>
          <t>SMEDJEBACKEN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23547-2025</t>
        </is>
      </c>
      <c r="B191" s="1" t="n">
        <v>45792.56722222222</v>
      </c>
      <c r="C191" s="1" t="n">
        <v>45983</v>
      </c>
      <c r="D191" t="inlineStr">
        <is>
          <t>DALARNAS LÄN</t>
        </is>
      </c>
      <c r="E191" t="inlineStr">
        <is>
          <t>SMEDJEBACKEN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45983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46756-2023</t>
        </is>
      </c>
      <c r="B193" s="1" t="n">
        <v>45198.61319444444</v>
      </c>
      <c r="C193" s="1" t="n">
        <v>45983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38768-2025</t>
        </is>
      </c>
      <c r="B194" s="1" t="n">
        <v>45887.41387731482</v>
      </c>
      <c r="C194" s="1" t="n">
        <v>45983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48716-2022</t>
        </is>
      </c>
      <c r="B195" s="1" t="n">
        <v>44859.5005787037</v>
      </c>
      <c r="C195" s="1" t="n">
        <v>45983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41569-2023</t>
        </is>
      </c>
      <c r="B196" s="1" t="n">
        <v>45175</v>
      </c>
      <c r="C196" s="1" t="n">
        <v>45983</v>
      </c>
      <c r="D196" t="inlineStr">
        <is>
          <t>DALARNAS LÄN</t>
        </is>
      </c>
      <c r="E196" t="inlineStr">
        <is>
          <t>SMEDJEBACKEN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38755-2025</t>
        </is>
      </c>
      <c r="B197" s="1" t="n">
        <v>45887.39440972222</v>
      </c>
      <c r="C197" s="1" t="n">
        <v>45983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45983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45983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25809-2024</t>
        </is>
      </c>
      <c r="B200" s="1" t="n">
        <v>45467.37267361111</v>
      </c>
      <c r="C200" s="1" t="n">
        <v>45983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52780-2023</t>
        </is>
      </c>
      <c r="B201" s="1" t="n">
        <v>45226.34015046297</v>
      </c>
      <c r="C201" s="1" t="n">
        <v>45983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50567-2024</t>
        </is>
      </c>
      <c r="B202" s="1" t="n">
        <v>45600</v>
      </c>
      <c r="C202" s="1" t="n">
        <v>45983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45983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45983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45983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23645-2024</t>
        </is>
      </c>
      <c r="B206" s="1" t="n">
        <v>45454</v>
      </c>
      <c r="C206" s="1" t="n">
        <v>45983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38750-2025</t>
        </is>
      </c>
      <c r="B207" s="1" t="n">
        <v>45887.38953703704</v>
      </c>
      <c r="C207" s="1" t="n">
        <v>45983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45983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28675-2021</t>
        </is>
      </c>
      <c r="B209" s="1" t="n">
        <v>44357</v>
      </c>
      <c r="C209" s="1" t="n">
        <v>45983</v>
      </c>
      <c r="D209" t="inlineStr">
        <is>
          <t>DALARNAS LÄN</t>
        </is>
      </c>
      <c r="E209" t="inlineStr">
        <is>
          <t>SMEDJEBACKEN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49144-2024</t>
        </is>
      </c>
      <c r="B210" s="1" t="n">
        <v>45594</v>
      </c>
      <c r="C210" s="1" t="n">
        <v>45983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47664-2024</t>
        </is>
      </c>
      <c r="B211" s="1" t="n">
        <v>45588.38876157408</v>
      </c>
      <c r="C211" s="1" t="n">
        <v>45983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22367-2024</t>
        </is>
      </c>
      <c r="B212" s="1" t="n">
        <v>45446.64342592593</v>
      </c>
      <c r="C212" s="1" t="n">
        <v>45983</v>
      </c>
      <c r="D212" t="inlineStr">
        <is>
          <t>DALARNAS LÄN</t>
        </is>
      </c>
      <c r="E212" t="inlineStr">
        <is>
          <t>SMEDJEBACKEN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39802-2025</t>
        </is>
      </c>
      <c r="B213" s="1" t="n">
        <v>45891.50247685185</v>
      </c>
      <c r="C213" s="1" t="n">
        <v>45983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39806-2025</t>
        </is>
      </c>
      <c r="B214" s="1" t="n">
        <v>45891.50767361111</v>
      </c>
      <c r="C214" s="1" t="n">
        <v>45983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24164-2025</t>
        </is>
      </c>
      <c r="B215" s="1" t="n">
        <v>45796.67230324074</v>
      </c>
      <c r="C215" s="1" t="n">
        <v>45983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45527.44208333334</v>
      </c>
      <c r="C216" s="1" t="n">
        <v>45983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39800-2025</t>
        </is>
      </c>
      <c r="B217" s="1" t="n">
        <v>45891.50084490741</v>
      </c>
      <c r="C217" s="1" t="n">
        <v>45983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39805-2025</t>
        </is>
      </c>
      <c r="B218" s="1" t="n">
        <v>45891.50685185185</v>
      </c>
      <c r="C218" s="1" t="n">
        <v>45983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658-2025</t>
        </is>
      </c>
      <c r="B219" s="1" t="n">
        <v>45664.67826388889</v>
      </c>
      <c r="C219" s="1" t="n">
        <v>45983</v>
      </c>
      <c r="D219" t="inlineStr">
        <is>
          <t>DALARNAS LÄN</t>
        </is>
      </c>
      <c r="E219" t="inlineStr">
        <is>
          <t>SMEDJEBACKEN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45983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53859-2023</t>
        </is>
      </c>
      <c r="B221" s="1" t="n">
        <v>45224</v>
      </c>
      <c r="C221" s="1" t="n">
        <v>45983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39804-2025</t>
        </is>
      </c>
      <c r="B222" s="1" t="n">
        <v>45891.50608796296</v>
      </c>
      <c r="C222" s="1" t="n">
        <v>45983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45983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24379-2025</t>
        </is>
      </c>
      <c r="B224" s="1" t="n">
        <v>45797.62625</v>
      </c>
      <c r="C224" s="1" t="n">
        <v>45983</v>
      </c>
      <c r="D224" t="inlineStr">
        <is>
          <t>DALARNAS LÄN</t>
        </is>
      </c>
      <c r="E224" t="inlineStr">
        <is>
          <t>SMEDJEBACKEN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24372-2025</t>
        </is>
      </c>
      <c r="B225" s="1" t="n">
        <v>45797.61049768519</v>
      </c>
      <c r="C225" s="1" t="n">
        <v>45983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33171-2024</t>
        </is>
      </c>
      <c r="B226" s="1" t="n">
        <v>45518.42835648148</v>
      </c>
      <c r="C226" s="1" t="n">
        <v>45983</v>
      </c>
      <c r="D226" t="inlineStr">
        <is>
          <t>DALARNAS LÄN</t>
        </is>
      </c>
      <c r="E226" t="inlineStr">
        <is>
          <t>SMEDJEBACKEN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22812-2025</t>
        </is>
      </c>
      <c r="B227" s="1" t="n">
        <v>45789.68395833333</v>
      </c>
      <c r="C227" s="1" t="n">
        <v>45983</v>
      </c>
      <c r="D227" t="inlineStr">
        <is>
          <t>DALARNAS LÄN</t>
        </is>
      </c>
      <c r="E227" t="inlineStr">
        <is>
          <t>SMEDJEBACKEN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31206-2024</t>
        </is>
      </c>
      <c r="B228" s="1" t="n">
        <v>45503</v>
      </c>
      <c r="C228" s="1" t="n">
        <v>45983</v>
      </c>
      <c r="D228" t="inlineStr">
        <is>
          <t>DALARNAS LÄN</t>
        </is>
      </c>
      <c r="E228" t="inlineStr">
        <is>
          <t>SMEDJEBACKEN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22813-2025</t>
        </is>
      </c>
      <c r="B229" s="1" t="n">
        <v>45789.68653935185</v>
      </c>
      <c r="C229" s="1" t="n">
        <v>45983</v>
      </c>
      <c r="D229" t="inlineStr">
        <is>
          <t>DALARNAS LÄN</t>
        </is>
      </c>
      <c r="E229" t="inlineStr">
        <is>
          <t>SMEDJEBACKEN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45568-2024</t>
        </is>
      </c>
      <c r="B230" s="1" t="n">
        <v>45578</v>
      </c>
      <c r="C230" s="1" t="n">
        <v>45983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24262-2024</t>
        </is>
      </c>
      <c r="B231" s="1" t="n">
        <v>45457.4087037037</v>
      </c>
      <c r="C231" s="1" t="n">
        <v>45983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34039-2023</t>
        </is>
      </c>
      <c r="B232" s="1" t="n">
        <v>45125</v>
      </c>
      <c r="C232" s="1" t="n">
        <v>45983</v>
      </c>
      <c r="D232" t="inlineStr">
        <is>
          <t>DALARNAS LÄN</t>
        </is>
      </c>
      <c r="E232" t="inlineStr">
        <is>
          <t>SMEDJEBACKEN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17970-2025</t>
        </is>
      </c>
      <c r="B233" s="1" t="n">
        <v>45761.36349537037</v>
      </c>
      <c r="C233" s="1" t="n">
        <v>45983</v>
      </c>
      <c r="D233" t="inlineStr">
        <is>
          <t>DALARNAS LÄN</t>
        </is>
      </c>
      <c r="E233" t="inlineStr">
        <is>
          <t>SMEDJEBACKEN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24361-2025</t>
        </is>
      </c>
      <c r="B234" s="1" t="n">
        <v>45797.59802083333</v>
      </c>
      <c r="C234" s="1" t="n">
        <v>45983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45983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45983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45983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29530-2024</t>
        </is>
      </c>
      <c r="B238" s="1" t="n">
        <v>45484.47273148148</v>
      </c>
      <c r="C238" s="1" t="n">
        <v>45983</v>
      </c>
      <c r="D238" t="inlineStr">
        <is>
          <t>DALARNAS LÄN</t>
        </is>
      </c>
      <c r="E238" t="inlineStr">
        <is>
          <t>SMEDJEBACKEN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28251-2024</t>
        </is>
      </c>
      <c r="B239" s="1" t="n">
        <v>45477.41841435185</v>
      </c>
      <c r="C239" s="1" t="n">
        <v>45983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54260-2022</t>
        </is>
      </c>
      <c r="B240" s="1" t="n">
        <v>44882.25943287037</v>
      </c>
      <c r="C240" s="1" t="n">
        <v>45983</v>
      </c>
      <c r="D240" t="inlineStr">
        <is>
          <t>DALARNAS LÄN</t>
        </is>
      </c>
      <c r="E240" t="inlineStr">
        <is>
          <t>SMEDJEBACKEN</t>
        </is>
      </c>
      <c r="F240" t="inlineStr">
        <is>
          <t>Kyrkan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56305-2021</t>
        </is>
      </c>
      <c r="B241" s="1" t="n">
        <v>44477</v>
      </c>
      <c r="C241" s="1" t="n">
        <v>45983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25160-2025</t>
        </is>
      </c>
      <c r="B242" s="1" t="n">
        <v>45800</v>
      </c>
      <c r="C242" s="1" t="n">
        <v>45983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57146-2022</t>
        </is>
      </c>
      <c r="B243" s="1" t="n">
        <v>44895</v>
      </c>
      <c r="C243" s="1" t="n">
        <v>45983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45983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29894-2024</t>
        </is>
      </c>
      <c r="B245" s="1" t="n">
        <v>45487.50223379629</v>
      </c>
      <c r="C245" s="1" t="n">
        <v>45983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19258-2024</t>
        </is>
      </c>
      <c r="B246" s="1" t="n">
        <v>45428.60715277777</v>
      </c>
      <c r="C246" s="1" t="n">
        <v>45983</v>
      </c>
      <c r="D246" t="inlineStr">
        <is>
          <t>DALARNAS LÄN</t>
        </is>
      </c>
      <c r="E246" t="inlineStr">
        <is>
          <t>SMEDJEBACKEN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38747-2023</t>
        </is>
      </c>
      <c r="B247" s="1" t="n">
        <v>45163</v>
      </c>
      <c r="C247" s="1" t="n">
        <v>45983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40904-2025</t>
        </is>
      </c>
      <c r="B248" s="1" t="n">
        <v>45897.61613425926</v>
      </c>
      <c r="C248" s="1" t="n">
        <v>45983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14462-2023</t>
        </is>
      </c>
      <c r="B249" s="1" t="n">
        <v>45012</v>
      </c>
      <c r="C249" s="1" t="n">
        <v>45983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37046-2023</t>
        </is>
      </c>
      <c r="B250" s="1" t="n">
        <v>45154</v>
      </c>
      <c r="C250" s="1" t="n">
        <v>45983</v>
      </c>
      <c r="D250" t="inlineStr">
        <is>
          <t>DALARNAS LÄN</t>
        </is>
      </c>
      <c r="E250" t="inlineStr">
        <is>
          <t>SMEDJEBACKEN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41479-2025</t>
        </is>
      </c>
      <c r="B251" s="1" t="n">
        <v>45901.47142361111</v>
      </c>
      <c r="C251" s="1" t="n">
        <v>45983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29120-2024</t>
        </is>
      </c>
      <c r="B252" s="1" t="n">
        <v>45481.97899305556</v>
      </c>
      <c r="C252" s="1" t="n">
        <v>45983</v>
      </c>
      <c r="D252" t="inlineStr">
        <is>
          <t>DALARNAS LÄN</t>
        </is>
      </c>
      <c r="E252" t="inlineStr">
        <is>
          <t>SMEDJEBACKEN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26000-2025</t>
        </is>
      </c>
      <c r="B253" s="1" t="n">
        <v>45804.66270833334</v>
      </c>
      <c r="C253" s="1" t="n">
        <v>45983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45983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41846-2025</t>
        </is>
      </c>
      <c r="B255" s="1" t="n">
        <v>45902.74388888889</v>
      </c>
      <c r="C255" s="1" t="n">
        <v>45983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45983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18096-2024</t>
        </is>
      </c>
      <c r="B257" s="1" t="n">
        <v>45420.47038194445</v>
      </c>
      <c r="C257" s="1" t="n">
        <v>45983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33895-2024</t>
        </is>
      </c>
      <c r="B258" s="1" t="n">
        <v>45523.34726851852</v>
      </c>
      <c r="C258" s="1" t="n">
        <v>45983</v>
      </c>
      <c r="D258" t="inlineStr">
        <is>
          <t>DALARNAS LÄN</t>
        </is>
      </c>
      <c r="E258" t="inlineStr">
        <is>
          <t>SMEDJEBACKEN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19410-2023</t>
        </is>
      </c>
      <c r="B259" s="1" t="n">
        <v>45049.84429398148</v>
      </c>
      <c r="C259" s="1" t="n">
        <v>45983</v>
      </c>
      <c r="D259" t="inlineStr">
        <is>
          <t>DALARNAS LÄN</t>
        </is>
      </c>
      <c r="E259" t="inlineStr">
        <is>
          <t>SMEDJEBACKEN</t>
        </is>
      </c>
      <c r="F259" t="inlineStr">
        <is>
          <t>Övriga Aktiebolag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11100-2024</t>
        </is>
      </c>
      <c r="B260" s="1" t="n">
        <v>45371.30335648148</v>
      </c>
      <c r="C260" s="1" t="n">
        <v>45983</v>
      </c>
      <c r="D260" t="inlineStr">
        <is>
          <t>DALARNAS LÄN</t>
        </is>
      </c>
      <c r="E260" t="inlineStr">
        <is>
          <t>SMEDJEBACKEN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50779-2025</t>
        </is>
      </c>
      <c r="B261" s="1" t="n">
        <v>45946.45733796297</v>
      </c>
      <c r="C261" s="1" t="n">
        <v>45983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42202-2024</t>
        </is>
      </c>
      <c r="B262" s="1" t="n">
        <v>45562.5187037037</v>
      </c>
      <c r="C262" s="1" t="n">
        <v>45983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50682-2025</t>
        </is>
      </c>
      <c r="B263" s="1" t="n">
        <v>45945</v>
      </c>
      <c r="C263" s="1" t="n">
        <v>45983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60049-2022</t>
        </is>
      </c>
      <c r="B264" s="1" t="n">
        <v>44909.52246527778</v>
      </c>
      <c r="C264" s="1" t="n">
        <v>45983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45983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26717-2025</t>
        </is>
      </c>
      <c r="B266" s="1" t="n">
        <v>45810.47641203704</v>
      </c>
      <c r="C266" s="1" t="n">
        <v>45983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41480-2023</t>
        </is>
      </c>
      <c r="B267" s="1" t="n">
        <v>45172</v>
      </c>
      <c r="C267" s="1" t="n">
        <v>45983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50680-2025</t>
        </is>
      </c>
      <c r="B268" s="1" t="n">
        <v>45945</v>
      </c>
      <c r="C268" s="1" t="n">
        <v>45983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24.5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50668-2025</t>
        </is>
      </c>
      <c r="B269" s="1" t="n">
        <v>45945</v>
      </c>
      <c r="C269" s="1" t="n">
        <v>45983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50782-2025</t>
        </is>
      </c>
      <c r="B270" s="1" t="n">
        <v>45946.46168981482</v>
      </c>
      <c r="C270" s="1" t="n">
        <v>45983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43810-2024</t>
        </is>
      </c>
      <c r="B271" s="1" t="n">
        <v>45571.73517361111</v>
      </c>
      <c r="C271" s="1" t="n">
        <v>45983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51138-2025</t>
        </is>
      </c>
      <c r="B272" s="1" t="n">
        <v>45947.5597337963</v>
      </c>
      <c r="C272" s="1" t="n">
        <v>45983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51140-2025</t>
        </is>
      </c>
      <c r="B273" s="1" t="n">
        <v>45947.56268518518</v>
      </c>
      <c r="C273" s="1" t="n">
        <v>45983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51151-2025</t>
        </is>
      </c>
      <c r="B274" s="1" t="n">
        <v>45947.57368055556</v>
      </c>
      <c r="C274" s="1" t="n">
        <v>45983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51135-2025</t>
        </is>
      </c>
      <c r="B275" s="1" t="n">
        <v>45947.55684027778</v>
      </c>
      <c r="C275" s="1" t="n">
        <v>45983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51456-2025</t>
        </is>
      </c>
      <c r="B276" s="1" t="n">
        <v>45950</v>
      </c>
      <c r="C276" s="1" t="n">
        <v>45983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48527-2023</t>
        </is>
      </c>
      <c r="B277" s="1" t="n">
        <v>45208</v>
      </c>
      <c r="C277" s="1" t="n">
        <v>45983</v>
      </c>
      <c r="D277" t="inlineStr">
        <is>
          <t>DALARNAS LÄN</t>
        </is>
      </c>
      <c r="E277" t="inlineStr">
        <is>
          <t>SMEDJEBACKEN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60683-2024</t>
        </is>
      </c>
      <c r="B278" s="1" t="n">
        <v>45644.46488425926</v>
      </c>
      <c r="C278" s="1" t="n">
        <v>45983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15786-2023</t>
        </is>
      </c>
      <c r="B279" s="1" t="n">
        <v>45021</v>
      </c>
      <c r="C279" s="1" t="n">
        <v>45983</v>
      </c>
      <c r="D279" t="inlineStr">
        <is>
          <t>DALARNAS LÄN</t>
        </is>
      </c>
      <c r="E279" t="inlineStr">
        <is>
          <t>SMEDJEBACKEN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51444-2025</t>
        </is>
      </c>
      <c r="B280" s="1" t="n">
        <v>45950</v>
      </c>
      <c r="C280" s="1" t="n">
        <v>45983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51443-2025</t>
        </is>
      </c>
      <c r="B281" s="1" t="n">
        <v>45950</v>
      </c>
      <c r="C281" s="1" t="n">
        <v>45983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51051-2025</t>
        </is>
      </c>
      <c r="B282" s="1" t="n">
        <v>45947.43714120371</v>
      </c>
      <c r="C282" s="1" t="n">
        <v>45983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51053-2025</t>
        </is>
      </c>
      <c r="B283" s="1" t="n">
        <v>45947.4393287037</v>
      </c>
      <c r="C283" s="1" t="n">
        <v>45983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51054-2025</t>
        </is>
      </c>
      <c r="B284" s="1" t="n">
        <v>45947.4418287037</v>
      </c>
      <c r="C284" s="1" t="n">
        <v>45983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18830-2025</t>
        </is>
      </c>
      <c r="B285" s="1" t="n">
        <v>45764.39090277778</v>
      </c>
      <c r="C285" s="1" t="n">
        <v>45983</v>
      </c>
      <c r="D285" t="inlineStr">
        <is>
          <t>DALARNAS LÄN</t>
        </is>
      </c>
      <c r="E285" t="inlineStr">
        <is>
          <t>SMEDJEBACKEN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51063-2025</t>
        </is>
      </c>
      <c r="B286" s="1" t="n">
        <v>45947.44696759259</v>
      </c>
      <c r="C286" s="1" t="n">
        <v>45983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34484-2024</t>
        </is>
      </c>
      <c r="B287" s="1" t="n">
        <v>45525.60667824074</v>
      </c>
      <c r="C287" s="1" t="n">
        <v>45983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51173-2025</t>
        </is>
      </c>
      <c r="B288" s="1" t="n">
        <v>45947.60856481481</v>
      </c>
      <c r="C288" s="1" t="n">
        <v>45983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51071-2025</t>
        </is>
      </c>
      <c r="B289" s="1" t="n">
        <v>45947.45814814815</v>
      </c>
      <c r="C289" s="1" t="n">
        <v>45983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28283-2025</t>
        </is>
      </c>
      <c r="B290" s="1" t="n">
        <v>45818.58821759259</v>
      </c>
      <c r="C290" s="1" t="n">
        <v>45983</v>
      </c>
      <c r="D290" t="inlineStr">
        <is>
          <t>DALARNAS LÄN</t>
        </is>
      </c>
      <c r="E290" t="inlineStr">
        <is>
          <t>SMEDJEBACKEN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33019-2024</t>
        </is>
      </c>
      <c r="B291" s="1" t="n">
        <v>45517.54996527778</v>
      </c>
      <c r="C291" s="1" t="n">
        <v>45983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42663-2025</t>
        </is>
      </c>
      <c r="B292" s="1" t="n">
        <v>45907.84583333333</v>
      </c>
      <c r="C292" s="1" t="n">
        <v>45983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53982-2024</t>
        </is>
      </c>
      <c r="B293" s="1" t="n">
        <v>45615</v>
      </c>
      <c r="C293" s="1" t="n">
        <v>45983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16598-2024</t>
        </is>
      </c>
      <c r="B294" s="1" t="n">
        <v>45408.52369212963</v>
      </c>
      <c r="C294" s="1" t="n">
        <v>45983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30384-2024</t>
        </is>
      </c>
      <c r="B295" s="1" t="n">
        <v>45490</v>
      </c>
      <c r="C295" s="1" t="n">
        <v>45983</v>
      </c>
      <c r="D295" t="inlineStr">
        <is>
          <t>DALARNAS LÄN</t>
        </is>
      </c>
      <c r="E295" t="inlineStr">
        <is>
          <t>SMEDJEBACKEN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63248-2020</t>
        </is>
      </c>
      <c r="B296" s="1" t="n">
        <v>44164</v>
      </c>
      <c r="C296" s="1" t="n">
        <v>45983</v>
      </c>
      <c r="D296" t="inlineStr">
        <is>
          <t>DALARNAS LÄN</t>
        </is>
      </c>
      <c r="E296" t="inlineStr">
        <is>
          <t>SMEDJEBACKEN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52004-2025</t>
        </is>
      </c>
      <c r="B297" s="1" t="n">
        <v>45952.59214120371</v>
      </c>
      <c r="C297" s="1" t="n">
        <v>45983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63854-2020</t>
        </is>
      </c>
      <c r="B298" s="1" t="n">
        <v>44165</v>
      </c>
      <c r="C298" s="1" t="n">
        <v>45983</v>
      </c>
      <c r="D298" t="inlineStr">
        <is>
          <t>DALARNAS LÄN</t>
        </is>
      </c>
      <c r="E298" t="inlineStr">
        <is>
          <t>SMEDJEBACKEN</t>
        </is>
      </c>
      <c r="G298" t="n">
        <v>22.4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43203-2025</t>
        </is>
      </c>
      <c r="B299" s="1" t="n">
        <v>45910.44527777778</v>
      </c>
      <c r="C299" s="1" t="n">
        <v>45983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28444-2025</t>
        </is>
      </c>
      <c r="B300" s="1" t="n">
        <v>45819.39711805555</v>
      </c>
      <c r="C300" s="1" t="n">
        <v>45983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28980-2025</t>
        </is>
      </c>
      <c r="B301" s="1" t="n">
        <v>45821</v>
      </c>
      <c r="C301" s="1" t="n">
        <v>45983</v>
      </c>
      <c r="D301" t="inlineStr">
        <is>
          <t>DALARNAS LÄN</t>
        </is>
      </c>
      <c r="E301" t="inlineStr">
        <is>
          <t>SMEDJEBACKEN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29042-2025</t>
        </is>
      </c>
      <c r="B302" s="1" t="n">
        <v>45821</v>
      </c>
      <c r="C302" s="1" t="n">
        <v>45983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52000-2025</t>
        </is>
      </c>
      <c r="B303" s="1" t="n">
        <v>45952.58974537037</v>
      </c>
      <c r="C303" s="1" t="n">
        <v>45983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51555-2025</t>
        </is>
      </c>
      <c r="B304" s="1" t="n">
        <v>45950.88679398148</v>
      </c>
      <c r="C304" s="1" t="n">
        <v>45983</v>
      </c>
      <c r="D304" t="inlineStr">
        <is>
          <t>DALARNAS LÄN</t>
        </is>
      </c>
      <c r="E304" t="inlineStr">
        <is>
          <t>SMEDJEBACKEN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42688-2024</t>
        </is>
      </c>
      <c r="B305" s="1" t="n">
        <v>45565</v>
      </c>
      <c r="C305" s="1" t="n">
        <v>45983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60762-2022</t>
        </is>
      </c>
      <c r="B306" s="1" t="n">
        <v>44914</v>
      </c>
      <c r="C306" s="1" t="n">
        <v>45983</v>
      </c>
      <c r="D306" t="inlineStr">
        <is>
          <t>DALARNAS LÄN</t>
        </is>
      </c>
      <c r="E306" t="inlineStr">
        <is>
          <t>SMEDJEBACKEN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60764-2022</t>
        </is>
      </c>
      <c r="B307" s="1" t="n">
        <v>44914</v>
      </c>
      <c r="C307" s="1" t="n">
        <v>45983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29222-2025</t>
        </is>
      </c>
      <c r="B308" s="1" t="n">
        <v>45824.32958333333</v>
      </c>
      <c r="C308" s="1" t="n">
        <v>45983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28775-2025</t>
        </is>
      </c>
      <c r="B309" s="1" t="n">
        <v>45819</v>
      </c>
      <c r="C309" s="1" t="n">
        <v>45983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52610-2025</t>
        </is>
      </c>
      <c r="B310" s="1" t="n">
        <v>45954.66931712963</v>
      </c>
      <c r="C310" s="1" t="n">
        <v>45983</v>
      </c>
      <c r="D310" t="inlineStr">
        <is>
          <t>DALARNAS LÄN</t>
        </is>
      </c>
      <c r="E310" t="inlineStr">
        <is>
          <t>SMEDJEBACKEN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61541-2022</t>
        </is>
      </c>
      <c r="B311" s="1" t="n">
        <v>44916.55944444444</v>
      </c>
      <c r="C311" s="1" t="n">
        <v>45983</v>
      </c>
      <c r="D311" t="inlineStr">
        <is>
          <t>DALARNAS LÄN</t>
        </is>
      </c>
      <c r="E311" t="inlineStr">
        <is>
          <t>SMEDJEBACKEN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32696-2025</t>
        </is>
      </c>
      <c r="B312" s="1" t="n">
        <v>45839</v>
      </c>
      <c r="C312" s="1" t="n">
        <v>45983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11514-2024</t>
        </is>
      </c>
      <c r="B313" s="1" t="n">
        <v>45372</v>
      </c>
      <c r="C313" s="1" t="n">
        <v>45983</v>
      </c>
      <c r="D313" t="inlineStr">
        <is>
          <t>DALARNAS LÄN</t>
        </is>
      </c>
      <c r="E313" t="inlineStr">
        <is>
          <t>SMEDJEBACKEN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33022-2024</t>
        </is>
      </c>
      <c r="B314" s="1" t="n">
        <v>45517.56021990741</v>
      </c>
      <c r="C314" s="1" t="n">
        <v>45983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44197-2025</t>
        </is>
      </c>
      <c r="B315" s="1" t="n">
        <v>45915.61997685185</v>
      </c>
      <c r="C315" s="1" t="n">
        <v>45983</v>
      </c>
      <c r="D315" t="inlineStr">
        <is>
          <t>DALARNAS LÄN</t>
        </is>
      </c>
      <c r="E315" t="inlineStr">
        <is>
          <t>SMEDJEBACKEN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HYPERLINK("https://klasma.github.io/Logging_2061/knärot/A 44197-2025 karta knärot.png", "A 44197-2025")</f>
        <v/>
      </c>
      <c r="V315">
        <f>HYPERLINK("https://klasma.github.io/Logging_2061/klagomål/A 44197-2025 FSC-klagomål.docx", "A 44197-2025")</f>
        <v/>
      </c>
      <c r="W315">
        <f>HYPERLINK("https://klasma.github.io/Logging_2061/klagomålsmail/A 44197-2025 FSC-klagomål mail.docx", "A 44197-2025")</f>
        <v/>
      </c>
      <c r="X315">
        <f>HYPERLINK("https://klasma.github.io/Logging_2061/tillsyn/A 44197-2025 tillsynsbegäran.docx", "A 44197-2025")</f>
        <v/>
      </c>
      <c r="Y315">
        <f>HYPERLINK("https://klasma.github.io/Logging_2061/tillsynsmail/A 44197-2025 tillsynsbegäran mail.docx", "A 44197-2025")</f>
        <v/>
      </c>
    </row>
    <row r="316" ht="15" customHeight="1">
      <c r="A316" t="inlineStr">
        <is>
          <t>A 30903-2025</t>
        </is>
      </c>
      <c r="B316" s="1" t="n">
        <v>45832.36197916666</v>
      </c>
      <c r="C316" s="1" t="n">
        <v>45983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16155-2022</t>
        </is>
      </c>
      <c r="B317" s="1" t="n">
        <v>44666</v>
      </c>
      <c r="C317" s="1" t="n">
        <v>45983</v>
      </c>
      <c r="D317" t="inlineStr">
        <is>
          <t>DALARNAS LÄN</t>
        </is>
      </c>
      <c r="E317" t="inlineStr">
        <is>
          <t>SMEDJEBACKEN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52761-2025</t>
        </is>
      </c>
      <c r="B318" s="1" t="n">
        <v>45957</v>
      </c>
      <c r="C318" s="1" t="n">
        <v>45983</v>
      </c>
      <c r="D318" t="inlineStr">
        <is>
          <t>DALARNAS LÄN</t>
        </is>
      </c>
      <c r="E318" t="inlineStr">
        <is>
          <t>SMEDJEBACKEN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44411-2025</t>
        </is>
      </c>
      <c r="B319" s="1" t="n">
        <v>45916.53819444445</v>
      </c>
      <c r="C319" s="1" t="n">
        <v>45983</v>
      </c>
      <c r="D319" t="inlineStr">
        <is>
          <t>DALARNAS LÄN</t>
        </is>
      </c>
      <c r="E319" t="inlineStr">
        <is>
          <t>SMEDJEBACKEN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30592-2025</t>
        </is>
      </c>
      <c r="B320" s="1" t="n">
        <v>45831.438125</v>
      </c>
      <c r="C320" s="1" t="n">
        <v>45983</v>
      </c>
      <c r="D320" t="inlineStr">
        <is>
          <t>DALARNAS LÄN</t>
        </is>
      </c>
      <c r="E320" t="inlineStr">
        <is>
          <t>SMEDJEBACKEN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44415-2025</t>
        </is>
      </c>
      <c r="B321" s="1" t="n">
        <v>45916.54351851852</v>
      </c>
      <c r="C321" s="1" t="n">
        <v>45983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53279-2025</t>
        </is>
      </c>
      <c r="B322" s="1" t="n">
        <v>45958</v>
      </c>
      <c r="C322" s="1" t="n">
        <v>45983</v>
      </c>
      <c r="D322" t="inlineStr">
        <is>
          <t>DALARNAS LÄN</t>
        </is>
      </c>
      <c r="E322" t="inlineStr">
        <is>
          <t>SMEDJEBACKEN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52713-2025</t>
        </is>
      </c>
      <c r="B323" s="1" t="n">
        <v>45953</v>
      </c>
      <c r="C323" s="1" t="n">
        <v>45983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31470-2025</t>
        </is>
      </c>
      <c r="B324" s="1" t="n">
        <v>45833.56387731482</v>
      </c>
      <c r="C324" s="1" t="n">
        <v>45983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52968-2025</t>
        </is>
      </c>
      <c r="B325" s="1" t="n">
        <v>45957.67209490741</v>
      </c>
      <c r="C325" s="1" t="n">
        <v>45983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31473-2025</t>
        </is>
      </c>
      <c r="B326" s="1" t="n">
        <v>45833</v>
      </c>
      <c r="C326" s="1" t="n">
        <v>45983</v>
      </c>
      <c r="D326" t="inlineStr">
        <is>
          <t>DALARNAS LÄN</t>
        </is>
      </c>
      <c r="E326" t="inlineStr">
        <is>
          <t>SMEDJEBACKEN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40943-2024</t>
        </is>
      </c>
      <c r="B327" s="1" t="n">
        <v>45558.64694444444</v>
      </c>
      <c r="C327" s="1" t="n">
        <v>45983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31411-2025</t>
        </is>
      </c>
      <c r="B328" s="1" t="n">
        <v>45833</v>
      </c>
      <c r="C328" s="1" t="n">
        <v>45983</v>
      </c>
      <c r="D328" t="inlineStr">
        <is>
          <t>DALARNAS LÄN</t>
        </is>
      </c>
      <c r="E328" t="inlineStr">
        <is>
          <t>SMEDJEBACKEN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53285-2025</t>
        </is>
      </c>
      <c r="B329" s="1" t="n">
        <v>45958</v>
      </c>
      <c r="C329" s="1" t="n">
        <v>45983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17460-2025</t>
        </is>
      </c>
      <c r="B330" s="1" t="n">
        <v>45757.45488425926</v>
      </c>
      <c r="C330" s="1" t="n">
        <v>45983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17463-2025</t>
        </is>
      </c>
      <c r="B331" s="1" t="n">
        <v>45757.45799768518</v>
      </c>
      <c r="C331" s="1" t="n">
        <v>45983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6735-2021</t>
        </is>
      </c>
      <c r="B332" s="1" t="n">
        <v>44236</v>
      </c>
      <c r="C332" s="1" t="n">
        <v>45983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55851-2021</t>
        </is>
      </c>
      <c r="B333" s="1" t="n">
        <v>44476</v>
      </c>
      <c r="C333" s="1" t="n">
        <v>45983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32091-2025</t>
        </is>
      </c>
      <c r="B334" s="1" t="n">
        <v>45835.45888888889</v>
      </c>
      <c r="C334" s="1" t="n">
        <v>45983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36667-2023</t>
        </is>
      </c>
      <c r="B335" s="1" t="n">
        <v>45153</v>
      </c>
      <c r="C335" s="1" t="n">
        <v>45983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33064-2025</t>
        </is>
      </c>
      <c r="B336" s="1" t="n">
        <v>45840</v>
      </c>
      <c r="C336" s="1" t="n">
        <v>45983</v>
      </c>
      <c r="D336" t="inlineStr">
        <is>
          <t>DALARNAS LÄN</t>
        </is>
      </c>
      <c r="E336" t="inlineStr">
        <is>
          <t>SMEDJEBACKEN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53555-2025</t>
        </is>
      </c>
      <c r="B337" s="1" t="n">
        <v>45960.39149305555</v>
      </c>
      <c r="C337" s="1" t="n">
        <v>45983</v>
      </c>
      <c r="D337" t="inlineStr">
        <is>
          <t>DALARNAS LÄN</t>
        </is>
      </c>
      <c r="E337" t="inlineStr">
        <is>
          <t>SMEDJEBACKEN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53769-2025</t>
        </is>
      </c>
      <c r="B338" s="1" t="n">
        <v>45960.68148148148</v>
      </c>
      <c r="C338" s="1" t="n">
        <v>45983</v>
      </c>
      <c r="D338" t="inlineStr">
        <is>
          <t>DALARNAS LÄN</t>
        </is>
      </c>
      <c r="E338" t="inlineStr">
        <is>
          <t>SMEDJEBACKEN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22984-2022</t>
        </is>
      </c>
      <c r="B339" s="1" t="n">
        <v>44718</v>
      </c>
      <c r="C339" s="1" t="n">
        <v>45983</v>
      </c>
      <c r="D339" t="inlineStr">
        <is>
          <t>DALARNAS LÄN</t>
        </is>
      </c>
      <c r="E339" t="inlineStr">
        <is>
          <t>SMEDJEBACKEN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32996-2025</t>
        </is>
      </c>
      <c r="B340" s="1" t="n">
        <v>45840</v>
      </c>
      <c r="C340" s="1" t="n">
        <v>45983</v>
      </c>
      <c r="D340" t="inlineStr">
        <is>
          <t>DALARNAS LÄN</t>
        </is>
      </c>
      <c r="E340" t="inlineStr">
        <is>
          <t>SMEDJEBACKEN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54087-2025</t>
        </is>
      </c>
      <c r="B341" s="1" t="n">
        <v>45964.39109953704</v>
      </c>
      <c r="C341" s="1" t="n">
        <v>45983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45175-2025</t>
        </is>
      </c>
      <c r="B342" s="1" t="n">
        <v>45919.52307870371</v>
      </c>
      <c r="C342" s="1" t="n">
        <v>45983</v>
      </c>
      <c r="D342" t="inlineStr">
        <is>
          <t>DALARNAS LÄN</t>
        </is>
      </c>
      <c r="E342" t="inlineStr">
        <is>
          <t>SMEDJEBACKEN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33017-2025</t>
        </is>
      </c>
      <c r="B343" s="1" t="n">
        <v>45840</v>
      </c>
      <c r="C343" s="1" t="n">
        <v>45983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54107-2025</t>
        </is>
      </c>
      <c r="B344" s="1" t="n">
        <v>45964.43033564815</v>
      </c>
      <c r="C344" s="1" t="n">
        <v>45983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45608-2025</t>
        </is>
      </c>
      <c r="B345" s="1" t="n">
        <v>45922.70684027778</v>
      </c>
      <c r="C345" s="1" t="n">
        <v>45983</v>
      </c>
      <c r="D345" t="inlineStr">
        <is>
          <t>DALARNAS LÄN</t>
        </is>
      </c>
      <c r="E345" t="inlineStr">
        <is>
          <t>SMEDJEBACKEN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33466-2025</t>
        </is>
      </c>
      <c r="B346" s="1" t="n">
        <v>45841</v>
      </c>
      <c r="C346" s="1" t="n">
        <v>45983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33912-2025</t>
        </is>
      </c>
      <c r="B347" s="1" t="n">
        <v>45842.60398148148</v>
      </c>
      <c r="C347" s="1" t="n">
        <v>45983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18909-2024</t>
        </is>
      </c>
      <c r="B348" s="1" t="n">
        <v>45427.36826388889</v>
      </c>
      <c r="C348" s="1" t="n">
        <v>45983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4155-2023</t>
        </is>
      </c>
      <c r="B349" s="1" t="n">
        <v>44950</v>
      </c>
      <c r="C349" s="1" t="n">
        <v>45983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54083-2025</t>
        </is>
      </c>
      <c r="B350" s="1" t="n">
        <v>45964.38497685185</v>
      </c>
      <c r="C350" s="1" t="n">
        <v>45983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54089-2025</t>
        </is>
      </c>
      <c r="B351" s="1" t="n">
        <v>45964.3933912037</v>
      </c>
      <c r="C351" s="1" t="n">
        <v>45983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33464-2025</t>
        </is>
      </c>
      <c r="B352" s="1" t="n">
        <v>45841.48256944444</v>
      </c>
      <c r="C352" s="1" t="n">
        <v>45983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54084-2025</t>
        </is>
      </c>
      <c r="B353" s="1" t="n">
        <v>45964.38748842593</v>
      </c>
      <c r="C353" s="1" t="n">
        <v>45983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34510-2025</t>
        </is>
      </c>
      <c r="B354" s="1" t="n">
        <v>45846</v>
      </c>
      <c r="C354" s="1" t="n">
        <v>45983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60421-2021</t>
        </is>
      </c>
      <c r="B355" s="1" t="n">
        <v>44496.40722222222</v>
      </c>
      <c r="C355" s="1" t="n">
        <v>45983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21703-2023</t>
        </is>
      </c>
      <c r="B356" s="1" t="n">
        <v>45064</v>
      </c>
      <c r="C356" s="1" t="n">
        <v>45983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55871-2024</t>
        </is>
      </c>
      <c r="B357" s="1" t="n">
        <v>45623</v>
      </c>
      <c r="C357" s="1" t="n">
        <v>45983</v>
      </c>
      <c r="D357" t="inlineStr">
        <is>
          <t>DALARNAS LÄN</t>
        </is>
      </c>
      <c r="E357" t="inlineStr">
        <is>
          <t>SMEDJEBACKEN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43351-2022</t>
        </is>
      </c>
      <c r="B358" s="1" t="n">
        <v>44834.62738425926</v>
      </c>
      <c r="C358" s="1" t="n">
        <v>45983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34444-2025</t>
        </is>
      </c>
      <c r="B359" s="1" t="n">
        <v>45846.71516203704</v>
      </c>
      <c r="C359" s="1" t="n">
        <v>45983</v>
      </c>
      <c r="D359" t="inlineStr">
        <is>
          <t>DALARNAS LÄN</t>
        </is>
      </c>
      <c r="E359" t="inlineStr">
        <is>
          <t>SMEDJEBACKEN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34511-2025</t>
        </is>
      </c>
      <c r="B360" s="1" t="n">
        <v>45846</v>
      </c>
      <c r="C360" s="1" t="n">
        <v>45983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34523-2025</t>
        </is>
      </c>
      <c r="B361" s="1" t="n">
        <v>45846</v>
      </c>
      <c r="C361" s="1" t="n">
        <v>45983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2275-2024</t>
        </is>
      </c>
      <c r="B362" s="1" t="n">
        <v>45310</v>
      </c>
      <c r="C362" s="1" t="n">
        <v>45983</v>
      </c>
      <c r="D362" t="inlineStr">
        <is>
          <t>DALARNAS LÄN</t>
        </is>
      </c>
      <c r="E362" t="inlineStr">
        <is>
          <t>SMEDJEBACKEN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34706-2025</t>
        </is>
      </c>
      <c r="B363" s="1" t="n">
        <v>45848</v>
      </c>
      <c r="C363" s="1" t="n">
        <v>45983</v>
      </c>
      <c r="D363" t="inlineStr">
        <is>
          <t>DALARNAS LÄN</t>
        </is>
      </c>
      <c r="E363" t="inlineStr">
        <is>
          <t>SMEDJEBACKEN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34711-2025</t>
        </is>
      </c>
      <c r="B364" s="1" t="n">
        <v>45848.49875</v>
      </c>
      <c r="C364" s="1" t="n">
        <v>45983</v>
      </c>
      <c r="D364" t="inlineStr">
        <is>
          <t>DALARNAS LÄN</t>
        </is>
      </c>
      <c r="E364" t="inlineStr">
        <is>
          <t>SMEDJEBACKEN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65249-2021</t>
        </is>
      </c>
      <c r="B365" s="1" t="n">
        <v>44515</v>
      </c>
      <c r="C365" s="1" t="n">
        <v>45983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3418-2024</t>
        </is>
      </c>
      <c r="B366" s="1" t="n">
        <v>45319.81171296296</v>
      </c>
      <c r="C366" s="1" t="n">
        <v>45983</v>
      </c>
      <c r="D366" t="inlineStr">
        <is>
          <t>DALARNAS LÄN</t>
        </is>
      </c>
      <c r="E366" t="inlineStr">
        <is>
          <t>SMEDJEBACKEN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42523-2024</t>
        </is>
      </c>
      <c r="B367" s="1" t="n">
        <v>45565</v>
      </c>
      <c r="C367" s="1" t="n">
        <v>45983</v>
      </c>
      <c r="D367" t="inlineStr">
        <is>
          <t>DALARNAS LÄN</t>
        </is>
      </c>
      <c r="E367" t="inlineStr">
        <is>
          <t>SMEDJEBACKEN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21969-2025</t>
        </is>
      </c>
      <c r="B368" s="1" t="n">
        <v>45784.63262731482</v>
      </c>
      <c r="C368" s="1" t="n">
        <v>45983</v>
      </c>
      <c r="D368" t="inlineStr">
        <is>
          <t>DALARNAS LÄN</t>
        </is>
      </c>
      <c r="E368" t="inlineStr">
        <is>
          <t>SMEDJEBACKEN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49570-2024</t>
        </is>
      </c>
      <c r="B369" s="1" t="n">
        <v>45596.49901620371</v>
      </c>
      <c r="C369" s="1" t="n">
        <v>45983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13633-2023</t>
        </is>
      </c>
      <c r="B370" s="1" t="n">
        <v>45006</v>
      </c>
      <c r="C370" s="1" t="n">
        <v>45983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3423-2024</t>
        </is>
      </c>
      <c r="B371" s="1" t="n">
        <v>45319.83835648148</v>
      </c>
      <c r="C371" s="1" t="n">
        <v>45983</v>
      </c>
      <c r="D371" t="inlineStr">
        <is>
          <t>DALARNAS LÄN</t>
        </is>
      </c>
      <c r="E371" t="inlineStr">
        <is>
          <t>SMEDJEBACKEN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44117-2021</t>
        </is>
      </c>
      <c r="B372" s="1" t="n">
        <v>44434.61344907407</v>
      </c>
      <c r="C372" s="1" t="n">
        <v>45983</v>
      </c>
      <c r="D372" t="inlineStr">
        <is>
          <t>DALARNAS LÄN</t>
        </is>
      </c>
      <c r="E372" t="inlineStr">
        <is>
          <t>SMEDJEBACKEN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45683-2024</t>
        </is>
      </c>
      <c r="B373" s="1" t="n">
        <v>45579</v>
      </c>
      <c r="C373" s="1" t="n">
        <v>45983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46298-2025</t>
        </is>
      </c>
      <c r="B374" s="1" t="n">
        <v>45925.41173611111</v>
      </c>
      <c r="C374" s="1" t="n">
        <v>45983</v>
      </c>
      <c r="D374" t="inlineStr">
        <is>
          <t>DALARNAS LÄN</t>
        </is>
      </c>
      <c r="E374" t="inlineStr">
        <is>
          <t>SMEDJEBACKEN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46303-2025</t>
        </is>
      </c>
      <c r="B375" s="1" t="n">
        <v>45925.41668981482</v>
      </c>
      <c r="C375" s="1" t="n">
        <v>45983</v>
      </c>
      <c r="D375" t="inlineStr">
        <is>
          <t>DALARNAS LÄN</t>
        </is>
      </c>
      <c r="E375" t="inlineStr">
        <is>
          <t>SMEDJEBACKEN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46367-2025</t>
        </is>
      </c>
      <c r="B376" s="1" t="n">
        <v>45925.50178240741</v>
      </c>
      <c r="C376" s="1" t="n">
        <v>45983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23684-2025</t>
        </is>
      </c>
      <c r="B377" s="1" t="n">
        <v>45793.34361111111</v>
      </c>
      <c r="C377" s="1" t="n">
        <v>45983</v>
      </c>
      <c r="D377" t="inlineStr">
        <is>
          <t>DALARNAS LÄN</t>
        </is>
      </c>
      <c r="E377" t="inlineStr">
        <is>
          <t>SMEDJEBACKEN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51115-2024</t>
        </is>
      </c>
      <c r="B378" s="1" t="n">
        <v>45603.49738425926</v>
      </c>
      <c r="C378" s="1" t="n">
        <v>45983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46268-2025</t>
        </is>
      </c>
      <c r="B379" s="1" t="n">
        <v>45925.36806712963</v>
      </c>
      <c r="C379" s="1" t="n">
        <v>45983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46363-2025</t>
        </is>
      </c>
      <c r="B380" s="1" t="n">
        <v>45925.49875</v>
      </c>
      <c r="C380" s="1" t="n">
        <v>45983</v>
      </c>
      <c r="D380" t="inlineStr">
        <is>
          <t>DALARNAS LÄN</t>
        </is>
      </c>
      <c r="E380" t="inlineStr">
        <is>
          <t>SMEDJEBACKEN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54940-2025</t>
        </is>
      </c>
      <c r="B381" s="1" t="n">
        <v>45967.44011574074</v>
      </c>
      <c r="C381" s="1" t="n">
        <v>45983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45983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46358-2025</t>
        </is>
      </c>
      <c r="B383" s="1" t="n">
        <v>45925.49443287037</v>
      </c>
      <c r="C383" s="1" t="n">
        <v>45983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57629-2022</t>
        </is>
      </c>
      <c r="B384" s="1" t="n">
        <v>44897</v>
      </c>
      <c r="C384" s="1" t="n">
        <v>45983</v>
      </c>
      <c r="D384" t="inlineStr">
        <is>
          <t>DALARNAS LÄN</t>
        </is>
      </c>
      <c r="E384" t="inlineStr">
        <is>
          <t>SMEDJEBACKEN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35890-2025</t>
        </is>
      </c>
      <c r="B385" s="1" t="n">
        <v>45862.44722222222</v>
      </c>
      <c r="C385" s="1" t="n">
        <v>45983</v>
      </c>
      <c r="D385" t="inlineStr">
        <is>
          <t>DALARNAS LÄN</t>
        </is>
      </c>
      <c r="E385" t="inlineStr">
        <is>
          <t>SMEDJEBACKEN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35814-2025</t>
        </is>
      </c>
      <c r="B386" s="1" t="n">
        <v>45861.43575231481</v>
      </c>
      <c r="C386" s="1" t="n">
        <v>45983</v>
      </c>
      <c r="D386" t="inlineStr">
        <is>
          <t>DALARNAS LÄN</t>
        </is>
      </c>
      <c r="E386" t="inlineStr">
        <is>
          <t>SMEDJEBACKEN</t>
        </is>
      </c>
      <c r="F386" t="inlineStr">
        <is>
          <t>Övriga Aktiebolag</t>
        </is>
      </c>
      <c r="G386" t="n">
        <v>16.7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46523-2025</t>
        </is>
      </c>
      <c r="B387" s="1" t="n">
        <v>45926</v>
      </c>
      <c r="C387" s="1" t="n">
        <v>45983</v>
      </c>
      <c r="D387" t="inlineStr">
        <is>
          <t>DALARNAS LÄN</t>
        </is>
      </c>
      <c r="E387" t="inlineStr">
        <is>
          <t>SMEDJEBACKEN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46369-2025</t>
        </is>
      </c>
      <c r="B388" s="1" t="n">
        <v>45925.50526620371</v>
      </c>
      <c r="C388" s="1" t="n">
        <v>45983</v>
      </c>
      <c r="D388" t="inlineStr">
        <is>
          <t>DALARNAS LÄN</t>
        </is>
      </c>
      <c r="E388" t="inlineStr">
        <is>
          <t>SMEDJEBACKEN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46372-2025</t>
        </is>
      </c>
      <c r="B389" s="1" t="n">
        <v>45925.50818287037</v>
      </c>
      <c r="C389" s="1" t="n">
        <v>45983</v>
      </c>
      <c r="D389" t="inlineStr">
        <is>
          <t>DALARNAS LÄN</t>
        </is>
      </c>
      <c r="E389" t="inlineStr">
        <is>
          <t>SMEDJEBACKEN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21224-2023</t>
        </is>
      </c>
      <c r="B390" s="1" t="n">
        <v>45062.53523148148</v>
      </c>
      <c r="C390" s="1" t="n">
        <v>45983</v>
      </c>
      <c r="D390" t="inlineStr">
        <is>
          <t>DALARNAS LÄN</t>
        </is>
      </c>
      <c r="E390" t="inlineStr">
        <is>
          <t>SMEDJEBACKEN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55364-2025</t>
        </is>
      </c>
      <c r="B391" s="1" t="n">
        <v>45971.40157407407</v>
      </c>
      <c r="C391" s="1" t="n">
        <v>45983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16445-2024</t>
        </is>
      </c>
      <c r="B392" s="1" t="n">
        <v>45407.85847222222</v>
      </c>
      <c r="C392" s="1" t="n">
        <v>45983</v>
      </c>
      <c r="D392" t="inlineStr">
        <is>
          <t>DALARNAS LÄN</t>
        </is>
      </c>
      <c r="E392" t="inlineStr">
        <is>
          <t>SMEDJEBACKEN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58422-2023</t>
        </is>
      </c>
      <c r="B393" s="1" t="n">
        <v>45246</v>
      </c>
      <c r="C393" s="1" t="n">
        <v>45983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55359-2025</t>
        </is>
      </c>
      <c r="B394" s="1" t="n">
        <v>45971.38480324074</v>
      </c>
      <c r="C394" s="1" t="n">
        <v>45983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17647-2025</t>
        </is>
      </c>
      <c r="B395" s="1" t="n">
        <v>45758.32903935185</v>
      </c>
      <c r="C395" s="1" t="n">
        <v>45983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33936-2024</t>
        </is>
      </c>
      <c r="B396" s="1" t="n">
        <v>45522</v>
      </c>
      <c r="C396" s="1" t="n">
        <v>45983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15321-2025</t>
        </is>
      </c>
      <c r="B397" s="1" t="n">
        <v>45747.32092592592</v>
      </c>
      <c r="C397" s="1" t="n">
        <v>45983</v>
      </c>
      <c r="D397" t="inlineStr">
        <is>
          <t>DALARNAS LÄN</t>
        </is>
      </c>
      <c r="E397" t="inlineStr">
        <is>
          <t>SMEDJEBACKEN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31809-2022</t>
        </is>
      </c>
      <c r="B398" s="1" t="n">
        <v>44776</v>
      </c>
      <c r="C398" s="1" t="n">
        <v>45983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46769-2023</t>
        </is>
      </c>
      <c r="B399" s="1" t="n">
        <v>45198.62966435185</v>
      </c>
      <c r="C399" s="1" t="n">
        <v>45983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36165-2025</t>
        </is>
      </c>
      <c r="B400" s="1" t="n">
        <v>45867.37467592592</v>
      </c>
      <c r="C400" s="1" t="n">
        <v>45983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36167-2025</t>
        </is>
      </c>
      <c r="B401" s="1" t="n">
        <v>45867.38560185185</v>
      </c>
      <c r="C401" s="1" t="n">
        <v>45983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34374-2022</t>
        </is>
      </c>
      <c r="B402" s="1" t="n">
        <v>44792.48170138889</v>
      </c>
      <c r="C402" s="1" t="n">
        <v>45983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36171-2025</t>
        </is>
      </c>
      <c r="B403" s="1" t="n">
        <v>45867.38967592592</v>
      </c>
      <c r="C403" s="1" t="n">
        <v>45983</v>
      </c>
      <c r="D403" t="inlineStr">
        <is>
          <t>DALARNAS LÄN</t>
        </is>
      </c>
      <c r="E403" t="inlineStr">
        <is>
          <t>SMEDJEBACKEN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53474-2024</t>
        </is>
      </c>
      <c r="B404" s="1" t="n">
        <v>45611</v>
      </c>
      <c r="C404" s="1" t="n">
        <v>45983</v>
      </c>
      <c r="D404" t="inlineStr">
        <is>
          <t>DALARNAS LÄN</t>
        </is>
      </c>
      <c r="E404" t="inlineStr">
        <is>
          <t>SMEDJEBACKEN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18906-2025</t>
        </is>
      </c>
      <c r="B405" s="1" t="n">
        <v>45764.46260416666</v>
      </c>
      <c r="C405" s="1" t="n">
        <v>45983</v>
      </c>
      <c r="D405" t="inlineStr">
        <is>
          <t>DALARNAS LÄN</t>
        </is>
      </c>
      <c r="E405" t="inlineStr">
        <is>
          <t>SMEDJEBACKEN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55811-2022</t>
        </is>
      </c>
      <c r="B406" s="1" t="n">
        <v>44888</v>
      </c>
      <c r="C406" s="1" t="n">
        <v>45983</v>
      </c>
      <c r="D406" t="inlineStr">
        <is>
          <t>DALARNAS LÄN</t>
        </is>
      </c>
      <c r="E406" t="inlineStr">
        <is>
          <t>SMEDJEBACKEN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18943-2025</t>
        </is>
      </c>
      <c r="B407" s="1" t="n">
        <v>45764.50252314815</v>
      </c>
      <c r="C407" s="1" t="n">
        <v>45983</v>
      </c>
      <c r="D407" t="inlineStr">
        <is>
          <t>DALARNAS LÄN</t>
        </is>
      </c>
      <c r="E407" t="inlineStr">
        <is>
          <t>SMEDJEBACKEN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45152-2024</t>
        </is>
      </c>
      <c r="B408" s="1" t="n">
        <v>45575</v>
      </c>
      <c r="C408" s="1" t="n">
        <v>45983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21085-2025</t>
        </is>
      </c>
      <c r="B409" s="1" t="n">
        <v>45777.60947916667</v>
      </c>
      <c r="C409" s="1" t="n">
        <v>45983</v>
      </c>
      <c r="D409" t="inlineStr">
        <is>
          <t>DALARNAS LÄN</t>
        </is>
      </c>
      <c r="E409" t="inlineStr">
        <is>
          <t>SMEDJEBACKEN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56029-2025</t>
        </is>
      </c>
      <c r="B410" s="1" t="n">
        <v>45973.60090277778</v>
      </c>
      <c r="C410" s="1" t="n">
        <v>45983</v>
      </c>
      <c r="D410" t="inlineStr">
        <is>
          <t>DALARNAS LÄN</t>
        </is>
      </c>
      <c r="E410" t="inlineStr">
        <is>
          <t>SMEDJEBACKEN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47805-2025</t>
        </is>
      </c>
      <c r="B411" s="1" t="n">
        <v>45931.88991898148</v>
      </c>
      <c r="C411" s="1" t="n">
        <v>45983</v>
      </c>
      <c r="D411" t="inlineStr">
        <is>
          <t>DALARNAS LÄN</t>
        </is>
      </c>
      <c r="E411" t="inlineStr">
        <is>
          <t>SMEDJEBACKEN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60025-2024</t>
        </is>
      </c>
      <c r="B412" s="1" t="n">
        <v>45642.44887731481</v>
      </c>
      <c r="C412" s="1" t="n">
        <v>45983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52765-2024</t>
        </is>
      </c>
      <c r="B413" s="1" t="n">
        <v>45610.5128587963</v>
      </c>
      <c r="C413" s="1" t="n">
        <v>45983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50524-2024</t>
        </is>
      </c>
      <c r="B414" s="1" t="n">
        <v>45600</v>
      </c>
      <c r="C414" s="1" t="n">
        <v>45983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20625-2021</t>
        </is>
      </c>
      <c r="B415" s="1" t="n">
        <v>44316.39207175926</v>
      </c>
      <c r="C415" s="1" t="n">
        <v>45983</v>
      </c>
      <c r="D415" t="inlineStr">
        <is>
          <t>DALARNAS LÄN</t>
        </is>
      </c>
      <c r="E415" t="inlineStr">
        <is>
          <t>SMEDJEBACKEN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23156-2021</t>
        </is>
      </c>
      <c r="B416" s="1" t="n">
        <v>44332.71596064815</v>
      </c>
      <c r="C416" s="1" t="n">
        <v>45983</v>
      </c>
      <c r="D416" t="inlineStr">
        <is>
          <t>DALARNAS LÄN</t>
        </is>
      </c>
      <c r="E416" t="inlineStr">
        <is>
          <t>SMEDJEBACKEN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56069-2025</t>
        </is>
      </c>
      <c r="B417" s="1" t="n">
        <v>45973.64831018518</v>
      </c>
      <c r="C417" s="1" t="n">
        <v>45983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25437-2021</t>
        </is>
      </c>
      <c r="B418" s="1" t="n">
        <v>44342</v>
      </c>
      <c r="C418" s="1" t="n">
        <v>45983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46786-2023</t>
        </is>
      </c>
      <c r="B419" s="1" t="n">
        <v>45198</v>
      </c>
      <c r="C419" s="1" t="n">
        <v>45983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31788-2022</t>
        </is>
      </c>
      <c r="B420" s="1" t="n">
        <v>44776</v>
      </c>
      <c r="C420" s="1" t="n">
        <v>45983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32384-2022</t>
        </is>
      </c>
      <c r="B421" s="1" t="n">
        <v>44782</v>
      </c>
      <c r="C421" s="1" t="n">
        <v>45983</v>
      </c>
      <c r="D421" t="inlineStr">
        <is>
          <t>DALARNAS LÄN</t>
        </is>
      </c>
      <c r="E421" t="inlineStr">
        <is>
          <t>SMEDJEBACKEN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48478-2025</t>
        </is>
      </c>
      <c r="B422" s="1" t="n">
        <v>45936.34949074074</v>
      </c>
      <c r="C422" s="1" t="n">
        <v>45983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48480-2025</t>
        </is>
      </c>
      <c r="B423" s="1" t="n">
        <v>45936.35192129629</v>
      </c>
      <c r="C423" s="1" t="n">
        <v>45983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36231-2022</t>
        </is>
      </c>
      <c r="B424" s="1" t="n">
        <v>44803.5662962963</v>
      </c>
      <c r="C424" s="1" t="n">
        <v>45983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17997-2025</t>
        </is>
      </c>
      <c r="B425" s="1" t="n">
        <v>45761.40799768519</v>
      </c>
      <c r="C425" s="1" t="n">
        <v>45983</v>
      </c>
      <c r="D425" t="inlineStr">
        <is>
          <t>DALARNAS LÄN</t>
        </is>
      </c>
      <c r="E425" t="inlineStr">
        <is>
          <t>SMEDJEBACKEN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48481-2025</t>
        </is>
      </c>
      <c r="B426" s="1" t="n">
        <v>45936.3534375</v>
      </c>
      <c r="C426" s="1" t="n">
        <v>45983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48476-2025</t>
        </is>
      </c>
      <c r="B427" s="1" t="n">
        <v>45936.34744212963</v>
      </c>
      <c r="C427" s="1" t="n">
        <v>45983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48617-2025</t>
        </is>
      </c>
      <c r="B428" s="1" t="n">
        <v>45935</v>
      </c>
      <c r="C428" s="1" t="n">
        <v>45983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34673-2023</t>
        </is>
      </c>
      <c r="B429" s="1" t="n">
        <v>45140.84627314815</v>
      </c>
      <c r="C429" s="1" t="n">
        <v>45983</v>
      </c>
      <c r="D429" t="inlineStr">
        <is>
          <t>DALARNAS LÄN</t>
        </is>
      </c>
      <c r="E429" t="inlineStr">
        <is>
          <t>SMEDJEBACKEN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14875-2025</t>
        </is>
      </c>
      <c r="B430" s="1" t="n">
        <v>45743.45758101852</v>
      </c>
      <c r="C430" s="1" t="n">
        <v>45983</v>
      </c>
      <c r="D430" t="inlineStr">
        <is>
          <t>DALARNAS LÄN</t>
        </is>
      </c>
      <c r="E430" t="inlineStr">
        <is>
          <t>SMEDJEBACKEN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44034-2023</t>
        </is>
      </c>
      <c r="B431" s="1" t="n">
        <v>45188</v>
      </c>
      <c r="C431" s="1" t="n">
        <v>45983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56674-2025</t>
        </is>
      </c>
      <c r="B432" s="1" t="n">
        <v>45975.7069675926</v>
      </c>
      <c r="C432" s="1" t="n">
        <v>45983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38440-2022</t>
        </is>
      </c>
      <c r="B433" s="1" t="n">
        <v>44813</v>
      </c>
      <c r="C433" s="1" t="n">
        <v>45983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56012-2021</t>
        </is>
      </c>
      <c r="B434" s="1" t="n">
        <v>44477</v>
      </c>
      <c r="C434" s="1" t="n">
        <v>45983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56659-2025</t>
        </is>
      </c>
      <c r="B435" s="1" t="n">
        <v>45975.65641203704</v>
      </c>
      <c r="C435" s="1" t="n">
        <v>45983</v>
      </c>
      <c r="D435" t="inlineStr">
        <is>
          <t>DALARNAS LÄN</t>
        </is>
      </c>
      <c r="E435" t="inlineStr">
        <is>
          <t>SMEDJEBACKEN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9559-2025</t>
        </is>
      </c>
      <c r="B436" s="1" t="n">
        <v>45715.60960648148</v>
      </c>
      <c r="C436" s="1" t="n">
        <v>45983</v>
      </c>
      <c r="D436" t="inlineStr">
        <is>
          <t>DALARNAS LÄN</t>
        </is>
      </c>
      <c r="E436" t="inlineStr">
        <is>
          <t>SMEDJEBACKEN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44116-2023</t>
        </is>
      </c>
      <c r="B437" s="1" t="n">
        <v>45188</v>
      </c>
      <c r="C437" s="1" t="n">
        <v>45983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49198-2025</t>
        </is>
      </c>
      <c r="B438" s="1" t="n">
        <v>45938.41104166667</v>
      </c>
      <c r="C438" s="1" t="n">
        <v>45983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45980.44607638889</v>
      </c>
      <c r="C439" s="1" t="n">
        <v>45983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52354-2023</t>
        </is>
      </c>
      <c r="B440" s="1" t="n">
        <v>45224.68380787037</v>
      </c>
      <c r="C440" s="1" t="n">
        <v>45983</v>
      </c>
      <c r="D440" t="inlineStr">
        <is>
          <t>DALARNAS LÄN</t>
        </is>
      </c>
      <c r="E440" t="inlineStr">
        <is>
          <t>SMEDJEBACKEN</t>
        </is>
      </c>
      <c r="G440" t="n">
        <v>14.9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48984-2025</t>
        </is>
      </c>
      <c r="B441" s="1" t="n">
        <v>45937.57471064815</v>
      </c>
      <c r="C441" s="1" t="n">
        <v>45983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16870-2023</t>
        </is>
      </c>
      <c r="B442" s="1" t="n">
        <v>45033.48502314815</v>
      </c>
      <c r="C442" s="1" t="n">
        <v>45983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9144-2025</t>
        </is>
      </c>
      <c r="B443" s="1" t="n">
        <v>45714.32489583334</v>
      </c>
      <c r="C443" s="1" t="n">
        <v>45983</v>
      </c>
      <c r="D443" t="inlineStr">
        <is>
          <t>DALARNAS LÄN</t>
        </is>
      </c>
      <c r="E443" t="inlineStr">
        <is>
          <t>SMEDJEBACKEN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48964-2025</t>
        </is>
      </c>
      <c r="B444" s="1" t="n">
        <v>45937.55707175926</v>
      </c>
      <c r="C444" s="1" t="n">
        <v>45983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4295-2025</t>
        </is>
      </c>
      <c r="B445" s="1" t="n">
        <v>45685.66700231482</v>
      </c>
      <c r="C445" s="1" t="n">
        <v>45983</v>
      </c>
      <c r="D445" t="inlineStr">
        <is>
          <t>DALARNAS LÄN</t>
        </is>
      </c>
      <c r="E445" t="inlineStr">
        <is>
          <t>SMEDJEBACKEN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28760-2024</t>
        </is>
      </c>
      <c r="B446" s="1" t="n">
        <v>45478</v>
      </c>
      <c r="C446" s="1" t="n">
        <v>45983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38803-2021</t>
        </is>
      </c>
      <c r="B447" s="1" t="n">
        <v>44410</v>
      </c>
      <c r="C447" s="1" t="n">
        <v>45983</v>
      </c>
      <c r="D447" t="inlineStr">
        <is>
          <t>DALARNAS LÄN</t>
        </is>
      </c>
      <c r="E447" t="inlineStr">
        <is>
          <t>SMEDJEBACKEN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45091-2022</t>
        </is>
      </c>
      <c r="B448" s="1" t="n">
        <v>44842</v>
      </c>
      <c r="C448" s="1" t="n">
        <v>45983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57413-2025</t>
        </is>
      </c>
      <c r="B449" s="1" t="n">
        <v>45980.4499074074</v>
      </c>
      <c r="C449" s="1" t="n">
        <v>45983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57409-2025</t>
        </is>
      </c>
      <c r="B450" s="1" t="n">
        <v>45980.44828703703</v>
      </c>
      <c r="C450" s="1" t="n">
        <v>45983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32130-2021</t>
        </is>
      </c>
      <c r="B451" s="1" t="n">
        <v>44371.32910879629</v>
      </c>
      <c r="C451" s="1" t="n">
        <v>45983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57416-2025</t>
        </is>
      </c>
      <c r="B452" s="1" t="n">
        <v>45980.45153935185</v>
      </c>
      <c r="C452" s="1" t="n">
        <v>45983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28041-2021</t>
        </is>
      </c>
      <c r="B453" s="1" t="n">
        <v>44355.39248842592</v>
      </c>
      <c r="C453" s="1" t="n">
        <v>45983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45373-2023</t>
        </is>
      </c>
      <c r="B454" s="1" t="n">
        <v>45193.76826388889</v>
      </c>
      <c r="C454" s="1" t="n">
        <v>45983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49447-2025</t>
        </is>
      </c>
      <c r="B455" s="1" t="n">
        <v>45938.93008101852</v>
      </c>
      <c r="C455" s="1" t="n">
        <v>45983</v>
      </c>
      <c r="D455" t="inlineStr">
        <is>
          <t>DALARNAS LÄN</t>
        </is>
      </c>
      <c r="E455" t="inlineStr">
        <is>
          <t>SMEDJEBACKEN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48214-2023</t>
        </is>
      </c>
      <c r="B456" s="1" t="n">
        <v>45205.48114583334</v>
      </c>
      <c r="C456" s="1" t="n">
        <v>45983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57660-2025</t>
        </is>
      </c>
      <c r="B457" s="1" t="n">
        <v>45981.4140162037</v>
      </c>
      <c r="C457" s="1" t="n">
        <v>45983</v>
      </c>
      <c r="D457" t="inlineStr">
        <is>
          <t>DALARNAS LÄN</t>
        </is>
      </c>
      <c r="E457" t="inlineStr">
        <is>
          <t>SMEDJEBACKEN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15322-2025</t>
        </is>
      </c>
      <c r="B458" s="1" t="n">
        <v>45747.32240740741</v>
      </c>
      <c r="C458" s="1" t="n">
        <v>45983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40870-2023</t>
        </is>
      </c>
      <c r="B459" s="1" t="n">
        <v>45173</v>
      </c>
      <c r="C459" s="1" t="n">
        <v>45983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49205-2025</t>
        </is>
      </c>
      <c r="B460" s="1" t="n">
        <v>45938.42122685185</v>
      </c>
      <c r="C460" s="1" t="n">
        <v>45983</v>
      </c>
      <c r="D460" t="inlineStr">
        <is>
          <t>DALARNAS LÄN</t>
        </is>
      </c>
      <c r="E460" t="inlineStr">
        <is>
          <t>SMEDJEBACKEN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39734-2021</t>
        </is>
      </c>
      <c r="B461" s="1" t="n">
        <v>44414</v>
      </c>
      <c r="C461" s="1" t="n">
        <v>45983</v>
      </c>
      <c r="D461" t="inlineStr">
        <is>
          <t>DALARNAS LÄN</t>
        </is>
      </c>
      <c r="E461" t="inlineStr">
        <is>
          <t>SMEDJEBACKEN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40561-2021</t>
        </is>
      </c>
      <c r="B462" s="1" t="n">
        <v>44420</v>
      </c>
      <c r="C462" s="1" t="n">
        <v>45983</v>
      </c>
      <c r="D462" t="inlineStr">
        <is>
          <t>DALARNAS LÄN</t>
        </is>
      </c>
      <c r="E462" t="inlineStr">
        <is>
          <t>SMEDJEBACKEN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13354-2025</t>
        </is>
      </c>
      <c r="B463" s="1" t="n">
        <v>45735.64283564815</v>
      </c>
      <c r="C463" s="1" t="n">
        <v>45983</v>
      </c>
      <c r="D463" t="inlineStr">
        <is>
          <t>DALARNAS LÄN</t>
        </is>
      </c>
      <c r="E463" t="inlineStr">
        <is>
          <t>SMEDJEBACKEN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21626-2023</t>
        </is>
      </c>
      <c r="B464" s="1" t="n">
        <v>45063.66127314815</v>
      </c>
      <c r="C464" s="1" t="n">
        <v>45983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15350-2022</t>
        </is>
      </c>
      <c r="B465" s="1" t="n">
        <v>44659.54976851852</v>
      </c>
      <c r="C465" s="1" t="n">
        <v>45983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33960-2023</t>
        </is>
      </c>
      <c r="B466" s="1" t="n">
        <v>45124</v>
      </c>
      <c r="C466" s="1" t="n">
        <v>45983</v>
      </c>
      <c r="D466" t="inlineStr">
        <is>
          <t>DALARNAS LÄN</t>
        </is>
      </c>
      <c r="E466" t="inlineStr">
        <is>
          <t>SMEDJEBACKEN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14843-2023</t>
        </is>
      </c>
      <c r="B467" s="1" t="n">
        <v>45014.76135416667</v>
      </c>
      <c r="C467" s="1" t="n">
        <v>45983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43421-2024</t>
        </is>
      </c>
      <c r="B468" s="1" t="n">
        <v>45568.63071759259</v>
      </c>
      <c r="C468" s="1" t="n">
        <v>45983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62380-2021</t>
        </is>
      </c>
      <c r="B469" s="1" t="n">
        <v>44503</v>
      </c>
      <c r="C469" s="1" t="n">
        <v>45983</v>
      </c>
      <c r="D469" t="inlineStr">
        <is>
          <t>DALARNAS LÄN</t>
        </is>
      </c>
      <c r="E469" t="inlineStr">
        <is>
          <t>SMEDJEBACKEN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19866-2025</t>
        </is>
      </c>
      <c r="B470" s="1" t="n">
        <v>45771.54035879629</v>
      </c>
      <c r="C470" s="1" t="n">
        <v>45983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56315-2022</t>
        </is>
      </c>
      <c r="B471" s="1" t="n">
        <v>44890</v>
      </c>
      <c r="C471" s="1" t="n">
        <v>45983</v>
      </c>
      <c r="D471" t="inlineStr">
        <is>
          <t>DALARNAS LÄN</t>
        </is>
      </c>
      <c r="E471" t="inlineStr">
        <is>
          <t>SMEDJEBACKEN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53139-2023</t>
        </is>
      </c>
      <c r="B472" s="1" t="n">
        <v>45229.34539351852</v>
      </c>
      <c r="C472" s="1" t="n">
        <v>45983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60023-2024</t>
        </is>
      </c>
      <c r="B473" s="1" t="n">
        <v>45642.44747685185</v>
      </c>
      <c r="C473" s="1" t="n">
        <v>45983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18755-2025</t>
        </is>
      </c>
      <c r="B474" s="1" t="n">
        <v>45763.81319444445</v>
      </c>
      <c r="C474" s="1" t="n">
        <v>45983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57390-2022</t>
        </is>
      </c>
      <c r="B475" s="1" t="n">
        <v>44896</v>
      </c>
      <c r="C475" s="1" t="n">
        <v>45983</v>
      </c>
      <c r="D475" t="inlineStr">
        <is>
          <t>DALARNAS LÄN</t>
        </is>
      </c>
      <c r="E475" t="inlineStr">
        <is>
          <t>SMEDJEBACKEN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16351-2025</t>
        </is>
      </c>
      <c r="B476" s="1" t="n">
        <v>45751.38546296296</v>
      </c>
      <c r="C476" s="1" t="n">
        <v>45983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47839-2022</t>
        </is>
      </c>
      <c r="B477" s="1" t="n">
        <v>44855</v>
      </c>
      <c r="C477" s="1" t="n">
        <v>45983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17681-2025</t>
        </is>
      </c>
      <c r="B478" s="1" t="n">
        <v>45758.37951388889</v>
      </c>
      <c r="C478" s="1" t="n">
        <v>45983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42200-2024</t>
        </is>
      </c>
      <c r="B479" s="1" t="n">
        <v>45562.51660879629</v>
      </c>
      <c r="C479" s="1" t="n">
        <v>45983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37024-2023</t>
        </is>
      </c>
      <c r="B480" s="1" t="n">
        <v>45154</v>
      </c>
      <c r="C480" s="1" t="n">
        <v>45983</v>
      </c>
      <c r="D480" t="inlineStr">
        <is>
          <t>DALARNAS LÄN</t>
        </is>
      </c>
      <c r="E480" t="inlineStr">
        <is>
          <t>SMEDJEBACKEN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57260-2021</t>
        </is>
      </c>
      <c r="B481" s="1" t="n">
        <v>44482</v>
      </c>
      <c r="C481" s="1" t="n">
        <v>45983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57269-2021</t>
        </is>
      </c>
      <c r="B482" s="1" t="n">
        <v>44482</v>
      </c>
      <c r="C482" s="1" t="n">
        <v>45983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46396-2024</t>
        </is>
      </c>
      <c r="B483" s="1" t="n">
        <v>45582.40759259259</v>
      </c>
      <c r="C483" s="1" t="n">
        <v>45983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30003-2023</t>
        </is>
      </c>
      <c r="B484" s="1" t="n">
        <v>45109</v>
      </c>
      <c r="C484" s="1" t="n">
        <v>45983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16601-2024</t>
        </is>
      </c>
      <c r="B485" s="1" t="n">
        <v>45408.52519675926</v>
      </c>
      <c r="C485" s="1" t="n">
        <v>45983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29820-2023</t>
        </is>
      </c>
      <c r="B486" s="1" t="n">
        <v>45107.56135416667</v>
      </c>
      <c r="C486" s="1" t="n">
        <v>45983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16600-2024</t>
        </is>
      </c>
      <c r="B487" s="1" t="n">
        <v>45408.52436342592</v>
      </c>
      <c r="C487" s="1" t="n">
        <v>45983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26430-2024</t>
        </is>
      </c>
      <c r="B488" s="1" t="n">
        <v>45469.48158564815</v>
      </c>
      <c r="C488" s="1" t="n">
        <v>45983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17834-2023</t>
        </is>
      </c>
      <c r="B489" s="1" t="n">
        <v>45037</v>
      </c>
      <c r="C489" s="1" t="n">
        <v>45983</v>
      </c>
      <c r="D489" t="inlineStr">
        <is>
          <t>DALARNAS LÄN</t>
        </is>
      </c>
      <c r="E489" t="inlineStr">
        <is>
          <t>SMEDJEBACKEN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19469-2024</t>
        </is>
      </c>
      <c r="B490" s="1" t="n">
        <v>45429</v>
      </c>
      <c r="C490" s="1" t="n">
        <v>45983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28248-2024</t>
        </is>
      </c>
      <c r="B491" s="1" t="n">
        <v>45477.41465277778</v>
      </c>
      <c r="C491" s="1" t="n">
        <v>45983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50778-2024</t>
        </is>
      </c>
      <c r="B492" s="1" t="n">
        <v>45601</v>
      </c>
      <c r="C492" s="1" t="n">
        <v>45983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29420-2023</t>
        </is>
      </c>
      <c r="B493" s="1" t="n">
        <v>45106.47424768518</v>
      </c>
      <c r="C493" s="1" t="n">
        <v>45983</v>
      </c>
      <c r="D493" t="inlineStr">
        <is>
          <t>DALARNAS LÄN</t>
        </is>
      </c>
      <c r="E493" t="inlineStr">
        <is>
          <t>SMEDJEBACKEN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55650-2021</t>
        </is>
      </c>
      <c r="B494" s="1" t="n">
        <v>44475</v>
      </c>
      <c r="C494" s="1" t="n">
        <v>45983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18386-2024</t>
        </is>
      </c>
      <c r="B495" s="1" t="n">
        <v>45424.71232638889</v>
      </c>
      <c r="C495" s="1" t="n">
        <v>45983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646-2022</t>
        </is>
      </c>
      <c r="B496" s="1" t="n">
        <v>44568</v>
      </c>
      <c r="C496" s="1" t="n">
        <v>45983</v>
      </c>
      <c r="D496" t="inlineStr">
        <is>
          <t>DALARNAS LÄN</t>
        </is>
      </c>
      <c r="E496" t="inlineStr">
        <is>
          <t>SMEDJEBACKEN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19801-2025</t>
        </is>
      </c>
      <c r="B497" s="1" t="n">
        <v>45771.449375</v>
      </c>
      <c r="C497" s="1" t="n">
        <v>45983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18105-2025</t>
        </is>
      </c>
      <c r="B498" s="1" t="n">
        <v>45761.55462962963</v>
      </c>
      <c r="C498" s="1" t="n">
        <v>45983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19470-2024</t>
        </is>
      </c>
      <c r="B499" s="1" t="n">
        <v>45429.53177083333</v>
      </c>
      <c r="C499" s="1" t="n">
        <v>45983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4257-2025</t>
        </is>
      </c>
      <c r="B500" s="1" t="n">
        <v>45685.61693287037</v>
      </c>
      <c r="C500" s="1" t="n">
        <v>45983</v>
      </c>
      <c r="D500" t="inlineStr">
        <is>
          <t>DALARNAS LÄN</t>
        </is>
      </c>
      <c r="E500" t="inlineStr">
        <is>
          <t>SMEDJEBACKEN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10401-2023</t>
        </is>
      </c>
      <c r="B501" s="1" t="n">
        <v>44987.47634259259</v>
      </c>
      <c r="C501" s="1" t="n">
        <v>45983</v>
      </c>
      <c r="D501" t="inlineStr">
        <is>
          <t>DALARNAS LÄN</t>
        </is>
      </c>
      <c r="E501" t="inlineStr">
        <is>
          <t>SMEDJEBACKEN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47654-2024</t>
        </is>
      </c>
      <c r="B502" s="1" t="n">
        <v>45588.38447916666</v>
      </c>
      <c r="C502" s="1" t="n">
        <v>45983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47661-2024</t>
        </is>
      </c>
      <c r="B503" s="1" t="n">
        <v>45588.3869212963</v>
      </c>
      <c r="C503" s="1" t="n">
        <v>45983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48634-2024</t>
        </is>
      </c>
      <c r="B504" s="1" t="n">
        <v>45593</v>
      </c>
      <c r="C504" s="1" t="n">
        <v>45983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38746-2023</t>
        </is>
      </c>
      <c r="B505" s="1" t="n">
        <v>45163</v>
      </c>
      <c r="C505" s="1" t="n">
        <v>45983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38767-2023</t>
        </is>
      </c>
      <c r="B506" s="1" t="n">
        <v>45163.42113425926</v>
      </c>
      <c r="C506" s="1" t="n">
        <v>45983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12125-2024</t>
        </is>
      </c>
      <c r="B507" s="1" t="n">
        <v>45377</v>
      </c>
      <c r="C507" s="1" t="n">
        <v>45983</v>
      </c>
      <c r="D507" t="inlineStr">
        <is>
          <t>DALARNAS LÄN</t>
        </is>
      </c>
      <c r="E507" t="inlineStr">
        <is>
          <t>SMEDJEBACKEN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29438-2023</t>
        </is>
      </c>
      <c r="B508" s="1" t="n">
        <v>45106.49553240741</v>
      </c>
      <c r="C508" s="1" t="n">
        <v>45983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56510-2024</t>
        </is>
      </c>
      <c r="B509" s="1" t="n">
        <v>45625.52276620371</v>
      </c>
      <c r="C509" s="1" t="n">
        <v>45983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45114-2023</t>
        </is>
      </c>
      <c r="B510" s="1" t="n">
        <v>45191.43945601852</v>
      </c>
      <c r="C510" s="1" t="n">
        <v>45983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31034-2024</t>
        </is>
      </c>
      <c r="B511" s="1" t="n">
        <v>45501.47048611111</v>
      </c>
      <c r="C511" s="1" t="n">
        <v>45983</v>
      </c>
      <c r="D511" t="inlineStr">
        <is>
          <t>DALARNAS LÄN</t>
        </is>
      </c>
      <c r="E511" t="inlineStr">
        <is>
          <t>SMEDJEBACKEN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28613-2022</t>
        </is>
      </c>
      <c r="B512" s="1" t="n">
        <v>44748.57469907407</v>
      </c>
      <c r="C512" s="1" t="n">
        <v>45983</v>
      </c>
      <c r="D512" t="inlineStr">
        <is>
          <t>DALARNAS LÄN</t>
        </is>
      </c>
      <c r="E512" t="inlineStr">
        <is>
          <t>SMEDJEBACKEN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48057-2024</t>
        </is>
      </c>
      <c r="B513" s="1" t="n">
        <v>45589.541875</v>
      </c>
      <c r="C513" s="1" t="n">
        <v>45983</v>
      </c>
      <c r="D513" t="inlineStr">
        <is>
          <t>DALARNAS LÄN</t>
        </is>
      </c>
      <c r="E513" t="inlineStr">
        <is>
          <t>SMEDJEBACKEN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1505-2025</t>
        </is>
      </c>
      <c r="B514" s="1" t="n">
        <v>45670.42971064815</v>
      </c>
      <c r="C514" s="1" t="n">
        <v>45983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18908-2024</t>
        </is>
      </c>
      <c r="B515" s="1" t="n">
        <v>45427.36732638889</v>
      </c>
      <c r="C515" s="1" t="n">
        <v>45983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18419-2022</t>
        </is>
      </c>
      <c r="B516" s="1" t="n">
        <v>44686</v>
      </c>
      <c r="C516" s="1" t="n">
        <v>45983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26480-2023</t>
        </is>
      </c>
      <c r="B517" s="1" t="n">
        <v>45092</v>
      </c>
      <c r="C517" s="1" t="n">
        <v>45983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16395-2025</t>
        </is>
      </c>
      <c r="B518" s="1" t="n">
        <v>45751.44054398148</v>
      </c>
      <c r="C518" s="1" t="n">
        <v>45983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43923-2024</t>
        </is>
      </c>
      <c r="B519" s="1" t="n">
        <v>45572.44754629629</v>
      </c>
      <c r="C519" s="1" t="n">
        <v>45983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53273-2022</t>
        </is>
      </c>
      <c r="B520" s="1" t="n">
        <v>44876.94532407408</v>
      </c>
      <c r="C520" s="1" t="n">
        <v>45983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26009-2022</t>
        </is>
      </c>
      <c r="B521" s="1" t="n">
        <v>44734.54503472222</v>
      </c>
      <c r="C521" s="1" t="n">
        <v>45983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19179-2024</t>
        </is>
      </c>
      <c r="B522" s="1" t="n">
        <v>45428.47834490741</v>
      </c>
      <c r="C522" s="1" t="n">
        <v>45983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7412-2025</t>
        </is>
      </c>
      <c r="B523" s="1" t="n">
        <v>45705.37003472223</v>
      </c>
      <c r="C523" s="1" t="n">
        <v>45983</v>
      </c>
      <c r="D523" t="inlineStr">
        <is>
          <t>DALARNAS LÄN</t>
        </is>
      </c>
      <c r="E523" t="inlineStr">
        <is>
          <t>SMEDJEBACKEN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6604-2025</t>
        </is>
      </c>
      <c r="B524" s="1" t="n">
        <v>45700.33427083334</v>
      </c>
      <c r="C524" s="1" t="n">
        <v>45983</v>
      </c>
      <c r="D524" t="inlineStr">
        <is>
          <t>DALARNAS LÄN</t>
        </is>
      </c>
      <c r="E524" t="inlineStr">
        <is>
          <t>SMEDJEBACKEN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45478-2022</t>
        </is>
      </c>
      <c r="B525" s="1" t="n">
        <v>44845</v>
      </c>
      <c r="C525" s="1" t="n">
        <v>45983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20019-2024</t>
        </is>
      </c>
      <c r="B526" s="1" t="n">
        <v>45433.99373842592</v>
      </c>
      <c r="C526" s="1" t="n">
        <v>45983</v>
      </c>
      <c r="D526" t="inlineStr">
        <is>
          <t>DALARNAS LÄN</t>
        </is>
      </c>
      <c r="E526" t="inlineStr">
        <is>
          <t>SMEDJEBACKEN</t>
        </is>
      </c>
      <c r="F526" t="inlineStr">
        <is>
          <t>Övriga Aktiebolag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4721-2025</t>
        </is>
      </c>
      <c r="B527" s="1" t="n">
        <v>45688.41621527778</v>
      </c>
      <c r="C527" s="1" t="n">
        <v>45983</v>
      </c>
      <c r="D527" t="inlineStr">
        <is>
          <t>DALARNAS LÄN</t>
        </is>
      </c>
      <c r="E527" t="inlineStr">
        <is>
          <t>SMEDJEBACKEN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17951-2022</t>
        </is>
      </c>
      <c r="B528" s="1" t="n">
        <v>44683.63802083334</v>
      </c>
      <c r="C528" s="1" t="n">
        <v>45983</v>
      </c>
      <c r="D528" t="inlineStr">
        <is>
          <t>DALARNAS LÄN</t>
        </is>
      </c>
      <c r="E528" t="inlineStr">
        <is>
          <t>SMEDJEBACKEN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17956-2022</t>
        </is>
      </c>
      <c r="B529" s="1" t="n">
        <v>44683.64659722222</v>
      </c>
      <c r="C529" s="1" t="n">
        <v>45983</v>
      </c>
      <c r="D529" t="inlineStr">
        <is>
          <t>DALARNAS LÄN</t>
        </is>
      </c>
      <c r="E529" t="inlineStr">
        <is>
          <t>SMEDJEBACKEN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9790-2022</t>
        </is>
      </c>
      <c r="B530" s="1" t="n">
        <v>44617</v>
      </c>
      <c r="C530" s="1" t="n">
        <v>45983</v>
      </c>
      <c r="D530" t="inlineStr">
        <is>
          <t>DALARNAS LÄN</t>
        </is>
      </c>
      <c r="E530" t="inlineStr">
        <is>
          <t>SMEDJEBACKEN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10340-2022</t>
        </is>
      </c>
      <c r="B531" s="1" t="n">
        <v>44623</v>
      </c>
      <c r="C531" s="1" t="n">
        <v>45983</v>
      </c>
      <c r="D531" t="inlineStr">
        <is>
          <t>DALARNAS LÄN</t>
        </is>
      </c>
      <c r="E531" t="inlineStr">
        <is>
          <t>SMEDJEBACKEN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58778-2023</t>
        </is>
      </c>
      <c r="B532" s="1" t="n">
        <v>45252</v>
      </c>
      <c r="C532" s="1" t="n">
        <v>45983</v>
      </c>
      <c r="D532" t="inlineStr">
        <is>
          <t>DALARNAS LÄN</t>
        </is>
      </c>
      <c r="E532" t="inlineStr">
        <is>
          <t>SMEDJEBACKEN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46754-2023</t>
        </is>
      </c>
      <c r="B533" s="1" t="n">
        <v>45198</v>
      </c>
      <c r="C533" s="1" t="n">
        <v>45983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6177-2025</t>
        </is>
      </c>
      <c r="B534" s="1" t="n">
        <v>45698.44792824074</v>
      </c>
      <c r="C534" s="1" t="n">
        <v>45983</v>
      </c>
      <c r="D534" t="inlineStr">
        <is>
          <t>DALARNAS LÄN</t>
        </is>
      </c>
      <c r="E534" t="inlineStr">
        <is>
          <t>SMEDJEBACKEN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20623-2022</t>
        </is>
      </c>
      <c r="B535" s="1" t="n">
        <v>44700</v>
      </c>
      <c r="C535" s="1" t="n">
        <v>45983</v>
      </c>
      <c r="D535" t="inlineStr">
        <is>
          <t>DALARNAS LÄN</t>
        </is>
      </c>
      <c r="E535" t="inlineStr">
        <is>
          <t>SMEDJEBACKEN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38440-2023</t>
        </is>
      </c>
      <c r="B536" s="1" t="n">
        <v>45162.39041666667</v>
      </c>
      <c r="C536" s="1" t="n">
        <v>45983</v>
      </c>
      <c r="D536" t="inlineStr">
        <is>
          <t>DALARNAS LÄN</t>
        </is>
      </c>
      <c r="E536" t="inlineStr">
        <is>
          <t>SMEDJEBACKEN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17418-2025</t>
        </is>
      </c>
      <c r="B537" s="1" t="n">
        <v>45757.37891203703</v>
      </c>
      <c r="C537" s="1" t="n">
        <v>45983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58234-2023</t>
        </is>
      </c>
      <c r="B538" s="1" t="n">
        <v>45250.46398148148</v>
      </c>
      <c r="C538" s="1" t="n">
        <v>45983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48459-2023</t>
        </is>
      </c>
      <c r="B539" s="1" t="n">
        <v>45206.81862268518</v>
      </c>
      <c r="C539" s="1" t="n">
        <v>45983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48530-2023</t>
        </is>
      </c>
      <c r="B540" s="1" t="n">
        <v>45208.3728587963</v>
      </c>
      <c r="C540" s="1" t="n">
        <v>45983</v>
      </c>
      <c r="D540" t="inlineStr">
        <is>
          <t>DALARNAS LÄN</t>
        </is>
      </c>
      <c r="E540" t="inlineStr">
        <is>
          <t>SMEDJEBACKEN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25396-2024</t>
        </is>
      </c>
      <c r="B541" s="1" t="n">
        <v>45463.32849537037</v>
      </c>
      <c r="C541" s="1" t="n">
        <v>45983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24469-2022</t>
        </is>
      </c>
      <c r="B542" s="1" t="n">
        <v>44726</v>
      </c>
      <c r="C542" s="1" t="n">
        <v>45983</v>
      </c>
      <c r="D542" t="inlineStr">
        <is>
          <t>DALARNAS LÄN</t>
        </is>
      </c>
      <c r="E542" t="inlineStr">
        <is>
          <t>SMEDJEBACKEN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16597-2024</t>
        </is>
      </c>
      <c r="B543" s="1" t="n">
        <v>45408.52283564815</v>
      </c>
      <c r="C543" s="1" t="n">
        <v>45983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16761-2025</t>
        </is>
      </c>
      <c r="B544" s="1" t="n">
        <v>45754.57548611111</v>
      </c>
      <c r="C544" s="1" t="n">
        <v>45983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1853-2025</t>
        </is>
      </c>
      <c r="B545" s="1" t="n">
        <v>45671.59190972222</v>
      </c>
      <c r="C545" s="1" t="n">
        <v>45983</v>
      </c>
      <c r="D545" t="inlineStr">
        <is>
          <t>DALARNAS LÄN</t>
        </is>
      </c>
      <c r="E545" t="inlineStr">
        <is>
          <t>SMEDJEBACKEN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42418-2021</t>
        </is>
      </c>
      <c r="B546" s="1" t="n">
        <v>44427</v>
      </c>
      <c r="C546" s="1" t="n">
        <v>45983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19758-2025</t>
        </is>
      </c>
      <c r="B547" s="1" t="n">
        <v>45771.39299768519</v>
      </c>
      <c r="C547" s="1" t="n">
        <v>45983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6712-2023</t>
        </is>
      </c>
      <c r="B548" s="1" t="n">
        <v>44966.69384259259</v>
      </c>
      <c r="C548" s="1" t="n">
        <v>45983</v>
      </c>
      <c r="D548" t="inlineStr">
        <is>
          <t>DALARNAS LÄN</t>
        </is>
      </c>
      <c r="E548" t="inlineStr">
        <is>
          <t>SMEDJEBACKEN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6716-2023</t>
        </is>
      </c>
      <c r="B549" s="1" t="n">
        <v>44966.70430555556</v>
      </c>
      <c r="C549" s="1" t="n">
        <v>45983</v>
      </c>
      <c r="D549" t="inlineStr">
        <is>
          <t>DALARNAS LÄN</t>
        </is>
      </c>
      <c r="E549" t="inlineStr">
        <is>
          <t>SMEDJEBACKEN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11145-2025</t>
        </is>
      </c>
      <c r="B550" s="1" t="n">
        <v>45723</v>
      </c>
      <c r="C550" s="1" t="n">
        <v>45983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31326-2022</t>
        </is>
      </c>
      <c r="B551" s="1" t="n">
        <v>44774</v>
      </c>
      <c r="C551" s="1" t="n">
        <v>45983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33846-2022</t>
        </is>
      </c>
      <c r="B552" s="1" t="n">
        <v>44790.51493055555</v>
      </c>
      <c r="C552" s="1" t="n">
        <v>45983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15390-2025</t>
        </is>
      </c>
      <c r="B553" s="1" t="n">
        <v>45747.42923611111</v>
      </c>
      <c r="C553" s="1" t="n">
        <v>45983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15211-2023</t>
        </is>
      </c>
      <c r="B554" s="1" t="n">
        <v>45018</v>
      </c>
      <c r="C554" s="1" t="n">
        <v>45983</v>
      </c>
      <c r="D554" t="inlineStr">
        <is>
          <t>DALARNAS LÄN</t>
        </is>
      </c>
      <c r="E554" t="inlineStr">
        <is>
          <t>SMEDJEBACKEN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1898-2023</t>
        </is>
      </c>
      <c r="B555" s="1" t="n">
        <v>44937</v>
      </c>
      <c r="C555" s="1" t="n">
        <v>45983</v>
      </c>
      <c r="D555" t="inlineStr">
        <is>
          <t>DALARNAS LÄN</t>
        </is>
      </c>
      <c r="E555" t="inlineStr">
        <is>
          <t>SMEDJEBACKEN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23687-2023</t>
        </is>
      </c>
      <c r="B556" s="1" t="n">
        <v>45077</v>
      </c>
      <c r="C556" s="1" t="n">
        <v>45983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57151-2022</t>
        </is>
      </c>
      <c r="B557" s="1" t="n">
        <v>44895.57898148148</v>
      </c>
      <c r="C557" s="1" t="n">
        <v>45983</v>
      </c>
      <c r="D557" t="inlineStr">
        <is>
          <t>DALARNAS LÄN</t>
        </is>
      </c>
      <c r="E557" t="inlineStr">
        <is>
          <t>SMEDJEBACKEN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60086-2021</t>
        </is>
      </c>
      <c r="B558" s="1" t="n">
        <v>44494</v>
      </c>
      <c r="C558" s="1" t="n">
        <v>45983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63518-2021</t>
        </is>
      </c>
      <c r="B559" s="1" t="n">
        <v>44508</v>
      </c>
      <c r="C559" s="1" t="n">
        <v>45983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25118-2024</t>
        </is>
      </c>
      <c r="B560" s="1" t="n">
        <v>45462</v>
      </c>
      <c r="C560" s="1" t="n">
        <v>45983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25126-2024</t>
        </is>
      </c>
      <c r="B561" s="1" t="n">
        <v>45462</v>
      </c>
      <c r="C561" s="1" t="n">
        <v>45983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2046-2024</t>
        </is>
      </c>
      <c r="B562" s="1" t="n">
        <v>45308.8669212963</v>
      </c>
      <c r="C562" s="1" t="n">
        <v>45983</v>
      </c>
      <c r="D562" t="inlineStr">
        <is>
          <t>DALARNAS LÄN</t>
        </is>
      </c>
      <c r="E562" t="inlineStr">
        <is>
          <t>SMEDJEBACKEN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11155-2025</t>
        </is>
      </c>
      <c r="B563" s="1" t="n">
        <v>45723</v>
      </c>
      <c r="C563" s="1" t="n">
        <v>45983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26899-2024</t>
        </is>
      </c>
      <c r="B564" s="1" t="n">
        <v>45470.68664351852</v>
      </c>
      <c r="C564" s="1" t="n">
        <v>45983</v>
      </c>
      <c r="D564" t="inlineStr">
        <is>
          <t>DALARNAS LÄN</t>
        </is>
      </c>
      <c r="E564" t="inlineStr">
        <is>
          <t>SMEDJEBACKEN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34822-2021</t>
        </is>
      </c>
      <c r="B565" s="1" t="n">
        <v>44383.35997685185</v>
      </c>
      <c r="C565" s="1" t="n">
        <v>45983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39085-2021</t>
        </is>
      </c>
      <c r="B566" s="1" t="n">
        <v>44412.58629629629</v>
      </c>
      <c r="C566" s="1" t="n">
        <v>45983</v>
      </c>
      <c r="D566" t="inlineStr">
        <is>
          <t>DALARNAS LÄN</t>
        </is>
      </c>
      <c r="E566" t="inlineStr">
        <is>
          <t>SMEDJEBACKEN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33864-2024</t>
        </is>
      </c>
      <c r="B567" s="1" t="n">
        <v>45520</v>
      </c>
      <c r="C567" s="1" t="n">
        <v>45983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3970-2025</t>
        </is>
      </c>
      <c r="B568" s="1" t="n">
        <v>45684.52469907407</v>
      </c>
      <c r="C568" s="1" t="n">
        <v>45983</v>
      </c>
      <c r="D568" t="inlineStr">
        <is>
          <t>DALARNAS LÄN</t>
        </is>
      </c>
      <c r="E568" t="inlineStr">
        <is>
          <t>SMEDJEBACKEN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38356-2024</t>
        </is>
      </c>
      <c r="B569" s="1" t="n">
        <v>45545.75784722222</v>
      </c>
      <c r="C569" s="1" t="n">
        <v>45983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53718-2022</t>
        </is>
      </c>
      <c r="B570" s="1" t="n">
        <v>44880.39084490741</v>
      </c>
      <c r="C570" s="1" t="n">
        <v>45983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55717-2022</t>
        </is>
      </c>
      <c r="B571" s="1" t="n">
        <v>44888</v>
      </c>
      <c r="C571" s="1" t="n">
        <v>45983</v>
      </c>
      <c r="D571" t="inlineStr">
        <is>
          <t>DALARNAS LÄN</t>
        </is>
      </c>
      <c r="E571" t="inlineStr">
        <is>
          <t>SMEDJEBACKEN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54382-2021</t>
        </is>
      </c>
      <c r="B572" s="1" t="n">
        <v>44473</v>
      </c>
      <c r="C572" s="1" t="n">
        <v>45983</v>
      </c>
      <c r="D572" t="inlineStr">
        <is>
          <t>DALARNAS LÄN</t>
        </is>
      </c>
      <c r="E572" t="inlineStr">
        <is>
          <t>SMEDJEBACKEN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43909-2024</t>
        </is>
      </c>
      <c r="B573" s="1" t="n">
        <v>45572.43074074074</v>
      </c>
      <c r="C573" s="1" t="n">
        <v>45983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32016-2022</t>
        </is>
      </c>
      <c r="B574" s="1" t="n">
        <v>44778</v>
      </c>
      <c r="C574" s="1" t="n">
        <v>45983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6720-2023</t>
        </is>
      </c>
      <c r="B575" s="1" t="n">
        <v>44966</v>
      </c>
      <c r="C575" s="1" t="n">
        <v>45983</v>
      </c>
      <c r="D575" t="inlineStr">
        <is>
          <t>DALARNAS LÄN</t>
        </is>
      </c>
      <c r="E575" t="inlineStr">
        <is>
          <t>SMEDJEBACKEN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6722-2023</t>
        </is>
      </c>
      <c r="B576" s="1" t="n">
        <v>44966.71741898148</v>
      </c>
      <c r="C576" s="1" t="n">
        <v>45983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11141-2021</t>
        </is>
      </c>
      <c r="B577" s="1" t="n">
        <v>44261</v>
      </c>
      <c r="C577" s="1" t="n">
        <v>45983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49535-2024</t>
        </is>
      </c>
      <c r="B578" s="1" t="n">
        <v>45596.42756944444</v>
      </c>
      <c r="C578" s="1" t="n">
        <v>45983</v>
      </c>
      <c r="D578" t="inlineStr">
        <is>
          <t>DALARNAS LÄN</t>
        </is>
      </c>
      <c r="E578" t="inlineStr">
        <is>
          <t>SMEDJEBACKEN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63249-2020</t>
        </is>
      </c>
      <c r="B579" s="1" t="n">
        <v>44164</v>
      </c>
      <c r="C579" s="1" t="n">
        <v>45983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17472-2023</t>
        </is>
      </c>
      <c r="B580" s="1" t="n">
        <v>45034</v>
      </c>
      <c r="C580" s="1" t="n">
        <v>45983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4718-2025</t>
        </is>
      </c>
      <c r="B581" s="1" t="n">
        <v>45688.40648148148</v>
      </c>
      <c r="C581" s="1" t="n">
        <v>45983</v>
      </c>
      <c r="D581" t="inlineStr">
        <is>
          <t>DALARNAS LÄN</t>
        </is>
      </c>
      <c r="E581" t="inlineStr">
        <is>
          <t>SMEDJEBACKEN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43422-2024</t>
        </is>
      </c>
      <c r="B582" s="1" t="n">
        <v>45568.63368055555</v>
      </c>
      <c r="C582" s="1" t="n">
        <v>45983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29449-2023</t>
        </is>
      </c>
      <c r="B583" s="1" t="n">
        <v>45106.50915509259</v>
      </c>
      <c r="C583" s="1" t="n">
        <v>45983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36661-2023</t>
        </is>
      </c>
      <c r="B584" s="1" t="n">
        <v>45153</v>
      </c>
      <c r="C584" s="1" t="n">
        <v>45983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60814-2022</t>
        </is>
      </c>
      <c r="B585" s="1" t="n">
        <v>44914</v>
      </c>
      <c r="C585" s="1" t="n">
        <v>45983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26998-2024</t>
        </is>
      </c>
      <c r="B586" s="1" t="n">
        <v>45471.38782407407</v>
      </c>
      <c r="C586" s="1" t="n">
        <v>45983</v>
      </c>
      <c r="D586" t="inlineStr">
        <is>
          <t>DALARNAS LÄN</t>
        </is>
      </c>
      <c r="E586" t="inlineStr">
        <is>
          <t>SMEDJEBACKEN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18752-2025</t>
        </is>
      </c>
      <c r="B587" s="1" t="n">
        <v>45763.80373842592</v>
      </c>
      <c r="C587" s="1" t="n">
        <v>45983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56393-2024</t>
        </is>
      </c>
      <c r="B588" s="1" t="n">
        <v>45625</v>
      </c>
      <c r="C588" s="1" t="n">
        <v>45983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45983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18294-2023</t>
        </is>
      </c>
      <c r="B590" s="1" t="n">
        <v>45041</v>
      </c>
      <c r="C590" s="1" t="n">
        <v>45983</v>
      </c>
      <c r="D590" t="inlineStr">
        <is>
          <t>DALARNAS LÄN</t>
        </is>
      </c>
      <c r="E590" t="inlineStr">
        <is>
          <t>SMEDJEBACKEN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16608-2025</t>
        </is>
      </c>
      <c r="B591" s="1" t="n">
        <v>45753.88591435185</v>
      </c>
      <c r="C591" s="1" t="n">
        <v>45983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12027-2023</t>
        </is>
      </c>
      <c r="B592" s="1" t="n">
        <v>44995</v>
      </c>
      <c r="C592" s="1" t="n">
        <v>45983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33487-2023</t>
        </is>
      </c>
      <c r="B593" s="1" t="n">
        <v>45131.44578703704</v>
      </c>
      <c r="C593" s="1" t="n">
        <v>45983</v>
      </c>
      <c r="D593" t="inlineStr">
        <is>
          <t>DALARNAS LÄN</t>
        </is>
      </c>
      <c r="E593" t="inlineStr">
        <is>
          <t>SMEDJEBACKEN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41326-2024</t>
        </is>
      </c>
      <c r="B594" s="1" t="n">
        <v>45559.65771990741</v>
      </c>
      <c r="C594" s="1" t="n">
        <v>45983</v>
      </c>
      <c r="D594" t="inlineStr">
        <is>
          <t>DALARNAS LÄN</t>
        </is>
      </c>
      <c r="E594" t="inlineStr">
        <is>
          <t>SMEDJEBACKEN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33024-2024</t>
        </is>
      </c>
      <c r="B595" s="1" t="n">
        <v>45517.56828703704</v>
      </c>
      <c r="C595" s="1" t="n">
        <v>45983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45983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19085-2025</t>
        </is>
      </c>
      <c r="B597" s="1" t="n">
        <v>45766.80628472222</v>
      </c>
      <c r="C597" s="1" t="n">
        <v>45983</v>
      </c>
      <c r="D597" t="inlineStr">
        <is>
          <t>DALARNAS LÄN</t>
        </is>
      </c>
      <c r="E597" t="inlineStr">
        <is>
          <t>SMEDJEBACKEN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20790-2021</t>
        </is>
      </c>
      <c r="B598" s="1" t="n">
        <v>44316</v>
      </c>
      <c r="C598" s="1" t="n">
        <v>45983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37408-2024</t>
        </is>
      </c>
      <c r="B599" s="1" t="n">
        <v>45540.61754629629</v>
      </c>
      <c r="C599" s="1" t="n">
        <v>45983</v>
      </c>
      <c r="D599" t="inlineStr">
        <is>
          <t>DALARNAS LÄN</t>
        </is>
      </c>
      <c r="E599" t="inlineStr">
        <is>
          <t>SMEDJEBACKEN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39535-2021</t>
        </is>
      </c>
      <c r="B600" s="1" t="n">
        <v>44415.96331018519</v>
      </c>
      <c r="C600" s="1" t="n">
        <v>45983</v>
      </c>
      <c r="D600" t="inlineStr">
        <is>
          <t>DALARNAS LÄN</t>
        </is>
      </c>
      <c r="E600" t="inlineStr">
        <is>
          <t>SMEDJEBACKEN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17416-2025</t>
        </is>
      </c>
      <c r="B601" s="1" t="n">
        <v>45757.37561342592</v>
      </c>
      <c r="C601" s="1" t="n">
        <v>45983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23220-2021</t>
        </is>
      </c>
      <c r="B602" s="1" t="n">
        <v>44333.3778125</v>
      </c>
      <c r="C602" s="1" t="n">
        <v>45983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14845-2023</t>
        </is>
      </c>
      <c r="B603" s="1" t="n">
        <v>45014</v>
      </c>
      <c r="C603" s="1" t="n">
        <v>45983</v>
      </c>
      <c r="D603" t="inlineStr">
        <is>
          <t>DALARNAS LÄN</t>
        </is>
      </c>
      <c r="E603" t="inlineStr">
        <is>
          <t>SMEDJEBACKEN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16419-2025</t>
        </is>
      </c>
      <c r="B604" s="1" t="n">
        <v>45751.46453703703</v>
      </c>
      <c r="C604" s="1" t="n">
        <v>45983</v>
      </c>
      <c r="D604" t="inlineStr">
        <is>
          <t>DALARNAS LÄN</t>
        </is>
      </c>
      <c r="E604" t="inlineStr">
        <is>
          <t>SMEDJEBACKEN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17687-2025</t>
        </is>
      </c>
      <c r="B605" s="1" t="n">
        <v>45758.39491898148</v>
      </c>
      <c r="C605" s="1" t="n">
        <v>45983</v>
      </c>
      <c r="D605" t="inlineStr">
        <is>
          <t>DALARNAS LÄN</t>
        </is>
      </c>
      <c r="E605" t="inlineStr">
        <is>
          <t>SMEDJEBACKEN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11364-2025</t>
        </is>
      </c>
      <c r="B606" s="1" t="n">
        <v>45726</v>
      </c>
      <c r="C606" s="1" t="n">
        <v>45983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11426-2022</t>
        </is>
      </c>
      <c r="B607" s="1" t="n">
        <v>44630</v>
      </c>
      <c r="C607" s="1" t="n">
        <v>45983</v>
      </c>
      <c r="D607" t="inlineStr">
        <is>
          <t>DALARNAS LÄN</t>
        </is>
      </c>
      <c r="E607" t="inlineStr">
        <is>
          <t>SMEDJEBACKEN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25807-2024</t>
        </is>
      </c>
      <c r="B608" s="1" t="n">
        <v>45467.36902777778</v>
      </c>
      <c r="C608" s="1" t="n">
        <v>45983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17908-2022</t>
        </is>
      </c>
      <c r="B609" s="1" t="n">
        <v>44683.53989583333</v>
      </c>
      <c r="C609" s="1" t="n">
        <v>45983</v>
      </c>
      <c r="D609" t="inlineStr">
        <is>
          <t>DALARNAS LÄN</t>
        </is>
      </c>
      <c r="E609" t="inlineStr">
        <is>
          <t>SMEDJEBACKEN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36614-2023</t>
        </is>
      </c>
      <c r="B610" s="1" t="n">
        <v>45153</v>
      </c>
      <c r="C610" s="1" t="n">
        <v>45983</v>
      </c>
      <c r="D610" t="inlineStr">
        <is>
          <t>DALARNAS LÄN</t>
        </is>
      </c>
      <c r="E610" t="inlineStr">
        <is>
          <t>SMEDJEBACKEN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28348-2024</t>
        </is>
      </c>
      <c r="B611" s="1" t="n">
        <v>45477</v>
      </c>
      <c r="C611" s="1" t="n">
        <v>45983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HYPERLINK("https://klasma.github.io/Logging_2061/knärot/A 28348-2024 karta knärot.png", "A 28348-2024")</f>
        <v/>
      </c>
      <c r="V611">
        <f>HYPERLINK("https://klasma.github.io/Logging_2061/klagomål/A 28348-2024 FSC-klagomål.docx", "A 28348-2024")</f>
        <v/>
      </c>
      <c r="W611">
        <f>HYPERLINK("https://klasma.github.io/Logging_2061/klagomålsmail/A 28348-2024 FSC-klagomål mail.docx", "A 28348-2024")</f>
        <v/>
      </c>
      <c r="X611">
        <f>HYPERLINK("https://klasma.github.io/Logging_2061/tillsyn/A 28348-2024 tillsynsbegäran.docx", "A 28348-2024")</f>
        <v/>
      </c>
      <c r="Y611">
        <f>HYPERLINK("https://klasma.github.io/Logging_2061/tillsynsmail/A 28348-2024 tillsynsbegäran mail.docx", "A 28348-2024")</f>
        <v/>
      </c>
    </row>
    <row r="612" ht="15" customHeight="1">
      <c r="A612" t="inlineStr">
        <is>
          <t>A 21443-2023</t>
        </is>
      </c>
      <c r="B612" s="1" t="n">
        <v>45063</v>
      </c>
      <c r="C612" s="1" t="n">
        <v>45983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32600-2023</t>
        </is>
      </c>
      <c r="B613" s="1" t="n">
        <v>45121</v>
      </c>
      <c r="C613" s="1" t="n">
        <v>45983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57217-2023</t>
        </is>
      </c>
      <c r="B614" s="1" t="n">
        <v>45239</v>
      </c>
      <c r="C614" s="1" t="n">
        <v>45983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35008-2024</t>
        </is>
      </c>
      <c r="B615" s="1" t="n">
        <v>45527</v>
      </c>
      <c r="C615" s="1" t="n">
        <v>45983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18760-2025</t>
        </is>
      </c>
      <c r="B616" s="1" t="n">
        <v>45763.88424768519</v>
      </c>
      <c r="C616" s="1" t="n">
        <v>45983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HYPERLINK("https://klasma.github.io/Logging_2061/knärot/A 18760-2025 karta knärot.png", "A 18760-2025")</f>
        <v/>
      </c>
      <c r="V616">
        <f>HYPERLINK("https://klasma.github.io/Logging_2061/klagomål/A 18760-2025 FSC-klagomål.docx", "A 18760-2025")</f>
        <v/>
      </c>
      <c r="W616">
        <f>HYPERLINK("https://klasma.github.io/Logging_2061/klagomålsmail/A 18760-2025 FSC-klagomål mail.docx", "A 18760-2025")</f>
        <v/>
      </c>
      <c r="X616">
        <f>HYPERLINK("https://klasma.github.io/Logging_2061/tillsyn/A 18760-2025 tillsynsbegäran.docx", "A 18760-2025")</f>
        <v/>
      </c>
      <c r="Y616">
        <f>HYPERLINK("https://klasma.github.io/Logging_2061/tillsynsmail/A 18760-2025 tillsynsbegäran mail.docx", "A 18760-2025")</f>
        <v/>
      </c>
    </row>
    <row r="617" ht="15" customHeight="1">
      <c r="A617" t="inlineStr">
        <is>
          <t>A 18761-2025</t>
        </is>
      </c>
      <c r="B617" s="1" t="n">
        <v>45763.91444444445</v>
      </c>
      <c r="C617" s="1" t="n">
        <v>45983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60678-2024</t>
        </is>
      </c>
      <c r="B618" s="1" t="n">
        <v>45644</v>
      </c>
      <c r="C618" s="1" t="n">
        <v>45983</v>
      </c>
      <c r="D618" t="inlineStr">
        <is>
          <t>DALARNAS LÄN</t>
        </is>
      </c>
      <c r="E618" t="inlineStr">
        <is>
          <t>SMEDJEBACKEN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60684-2024</t>
        </is>
      </c>
      <c r="B619" s="1" t="n">
        <v>45644.46756944444</v>
      </c>
      <c r="C619" s="1" t="n">
        <v>45983</v>
      </c>
      <c r="D619" t="inlineStr">
        <is>
          <t>DALARNAS LÄN</t>
        </is>
      </c>
      <c r="E619" t="inlineStr">
        <is>
          <t>SMEDJEBACKEN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61378-2023</t>
        </is>
      </c>
      <c r="B620" s="1" t="n">
        <v>45264</v>
      </c>
      <c r="C620" s="1" t="n">
        <v>45983</v>
      </c>
      <c r="D620" t="inlineStr">
        <is>
          <t>DALARNAS LÄN</t>
        </is>
      </c>
      <c r="E620" t="inlineStr">
        <is>
          <t>SMEDJEBACKEN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20609-2025</t>
        </is>
      </c>
      <c r="B621" s="1" t="n">
        <v>45775.8884375</v>
      </c>
      <c r="C621" s="1" t="n">
        <v>45983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20901-2025</t>
        </is>
      </c>
      <c r="B622" s="1" t="n">
        <v>45777.40040509259</v>
      </c>
      <c r="C622" s="1" t="n">
        <v>45983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20903-2025</t>
        </is>
      </c>
      <c r="B623" s="1" t="n">
        <v>45777.40322916667</v>
      </c>
      <c r="C623" s="1" t="n">
        <v>45983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20918-2025</t>
        </is>
      </c>
      <c r="B624" s="1" t="n">
        <v>45777.41224537037</v>
      </c>
      <c r="C624" s="1" t="n">
        <v>45983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21092-2025</t>
        </is>
      </c>
      <c r="B625" s="1" t="n">
        <v>45777.6196875</v>
      </c>
      <c r="C625" s="1" t="n">
        <v>45983</v>
      </c>
      <c r="D625" t="inlineStr">
        <is>
          <t>DALARNAS LÄN</t>
        </is>
      </c>
      <c r="E625" t="inlineStr">
        <is>
          <t>SMEDJEBACKEN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20897-2025</t>
        </is>
      </c>
      <c r="B626" s="1" t="n">
        <v>45777.39825231482</v>
      </c>
      <c r="C626" s="1" t="n">
        <v>45983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20906-2025</t>
        </is>
      </c>
      <c r="B627" s="1" t="n">
        <v>45777.40454861111</v>
      </c>
      <c r="C627" s="1" t="n">
        <v>45983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42315-2024</t>
        </is>
      </c>
      <c r="B628" s="1" t="n">
        <v>45562.64291666666</v>
      </c>
      <c r="C628" s="1" t="n">
        <v>45983</v>
      </c>
      <c r="D628" t="inlineStr">
        <is>
          <t>DALARNAS LÄN</t>
        </is>
      </c>
      <c r="E628" t="inlineStr">
        <is>
          <t>SMEDJEBACKEN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22207-2024</t>
        </is>
      </c>
      <c r="B629" s="1" t="n">
        <v>45446.38172453704</v>
      </c>
      <c r="C629" s="1" t="n">
        <v>45983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2025-11-22T10:16:13Z</dcterms:created>
  <dcterms:modified xmlns:dcterms="http://purl.org/dc/terms/" xmlns:xsi="http://www.w3.org/2001/XMLSchema-instance" xsi:type="dcterms:W3CDTF">2025-11-22T10:16:14Z</dcterms:modified>
</cp:coreProperties>
</file>