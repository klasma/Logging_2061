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45834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45834</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45834</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45834</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45834</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57321-2024</t>
        </is>
      </c>
      <c r="B7" s="1" t="n">
        <v>45629</v>
      </c>
      <c r="C7" s="1" t="n">
        <v>45834</v>
      </c>
      <c r="D7" t="inlineStr">
        <is>
          <t>DALARNAS LÄN</t>
        </is>
      </c>
      <c r="E7" t="inlineStr">
        <is>
          <t>SMEDJEBACKEN</t>
        </is>
      </c>
      <c r="F7" t="inlineStr">
        <is>
          <t>Bergvik skog väst AB</t>
        </is>
      </c>
      <c r="G7" t="n">
        <v>4.1</v>
      </c>
      <c r="H7" t="n">
        <v>3</v>
      </c>
      <c r="I7" t="n">
        <v>3</v>
      </c>
      <c r="J7" t="n">
        <v>3</v>
      </c>
      <c r="K7" t="n">
        <v>2</v>
      </c>
      <c r="L7" t="n">
        <v>0</v>
      </c>
      <c r="M7" t="n">
        <v>0</v>
      </c>
      <c r="N7" t="n">
        <v>0</v>
      </c>
      <c r="O7" t="n">
        <v>5</v>
      </c>
      <c r="P7" t="n">
        <v>2</v>
      </c>
      <c r="Q7" t="n">
        <v>10</v>
      </c>
      <c r="R7" s="2" t="inlineStr">
        <is>
          <t>Knärot
Rynkskinn
Gul taggsvamp
Rovspindling
Vedtrappmossa
Svavelriska
Tibast
Vårärt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18375-2021</t>
        </is>
      </c>
      <c r="B8" s="1" t="n">
        <v>44305</v>
      </c>
      <c r="C8" s="1" t="n">
        <v>45834</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45834</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45834</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45834</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45834</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45834</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45834</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45834</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45834</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45834</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45834</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45834</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45834</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45834</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45834</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45834</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45834</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45834</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45834</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45834</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45834</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45834</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45834</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45834</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45834</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45834</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45834</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45834</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45834</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45834</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45834</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45834</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45834</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45834</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45834</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45834</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45834</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45834</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45834</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45834</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45834</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45834</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45834</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21421-2023</t>
        </is>
      </c>
      <c r="B51" s="1" t="n">
        <v>45063</v>
      </c>
      <c r="C51" s="1" t="n">
        <v>45834</v>
      </c>
      <c r="D51" t="inlineStr">
        <is>
          <t>DALARNAS LÄN</t>
        </is>
      </c>
      <c r="E51" t="inlineStr">
        <is>
          <t>SMEDJEBACKEN</t>
        </is>
      </c>
      <c r="F51" t="inlineStr">
        <is>
          <t>Bergvik skog väst AB</t>
        </is>
      </c>
      <c r="G51" t="n">
        <v>0.5</v>
      </c>
      <c r="H51" t="n">
        <v>0</v>
      </c>
      <c r="I51" t="n">
        <v>0</v>
      </c>
      <c r="J51" t="n">
        <v>1</v>
      </c>
      <c r="K51" t="n">
        <v>0</v>
      </c>
      <c r="L51" t="n">
        <v>0</v>
      </c>
      <c r="M51" t="n">
        <v>0</v>
      </c>
      <c r="N51" t="n">
        <v>0</v>
      </c>
      <c r="O51" t="n">
        <v>1</v>
      </c>
      <c r="P51" t="n">
        <v>0</v>
      </c>
      <c r="Q51" t="n">
        <v>1</v>
      </c>
      <c r="R51" s="2" t="inlineStr">
        <is>
          <t>Barrpraktbagge</t>
        </is>
      </c>
      <c r="S51">
        <f>HYPERLINK("https://klasma.github.io/Logging_2061/artfynd/A 21421-2023 artfynd.xlsx", "A 21421-2023")</f>
        <v/>
      </c>
      <c r="T51">
        <f>HYPERLINK("https://klasma.github.io/Logging_2061/kartor/A 21421-2023 karta.png", "A 21421-2023")</f>
        <v/>
      </c>
      <c r="V51">
        <f>HYPERLINK("https://klasma.github.io/Logging_2061/klagomål/A 21421-2023 FSC-klagomål.docx", "A 21421-2023")</f>
        <v/>
      </c>
      <c r="W51">
        <f>HYPERLINK("https://klasma.github.io/Logging_2061/klagomålsmail/A 21421-2023 FSC-klagomål mail.docx", "A 21421-2023")</f>
        <v/>
      </c>
      <c r="X51">
        <f>HYPERLINK("https://klasma.github.io/Logging_2061/tillsyn/A 21421-2023 tillsynsbegäran.docx", "A 21421-2023")</f>
        <v/>
      </c>
      <c r="Y51">
        <f>HYPERLINK("https://klasma.github.io/Logging_2061/tillsynsmail/A 21421-2023 tillsynsbegäran mail.docx", "A 21421-2023")</f>
        <v/>
      </c>
    </row>
    <row r="52" ht="15" customHeight="1">
      <c r="A52" t="inlineStr">
        <is>
          <t>A 46775-2023</t>
        </is>
      </c>
      <c r="B52" s="1" t="n">
        <v>45198</v>
      </c>
      <c r="C52" s="1" t="n">
        <v>45834</v>
      </c>
      <c r="D52" t="inlineStr">
        <is>
          <t>DALARNAS LÄN</t>
        </is>
      </c>
      <c r="E52" t="inlineStr">
        <is>
          <t>SMEDJEBACKEN</t>
        </is>
      </c>
      <c r="F52" t="inlineStr">
        <is>
          <t>Bergvik skog väst AB</t>
        </is>
      </c>
      <c r="G52" t="n">
        <v>1</v>
      </c>
      <c r="H52" t="n">
        <v>0</v>
      </c>
      <c r="I52" t="n">
        <v>1</v>
      </c>
      <c r="J52" t="n">
        <v>0</v>
      </c>
      <c r="K52" t="n">
        <v>0</v>
      </c>
      <c r="L52" t="n">
        <v>0</v>
      </c>
      <c r="M52" t="n">
        <v>0</v>
      </c>
      <c r="N52" t="n">
        <v>0</v>
      </c>
      <c r="O52" t="n">
        <v>0</v>
      </c>
      <c r="P52" t="n">
        <v>0</v>
      </c>
      <c r="Q52" t="n">
        <v>1</v>
      </c>
      <c r="R52" s="2" t="inlineStr">
        <is>
          <t>Tibast</t>
        </is>
      </c>
      <c r="S52">
        <f>HYPERLINK("https://klasma.github.io/Logging_2061/artfynd/A 46775-2023 artfynd.xlsx", "A 46775-2023")</f>
        <v/>
      </c>
      <c r="T52">
        <f>HYPERLINK("https://klasma.github.io/Logging_2061/kartor/A 46775-2023 karta.png", "A 46775-2023")</f>
        <v/>
      </c>
      <c r="V52">
        <f>HYPERLINK("https://klasma.github.io/Logging_2061/klagomål/A 46775-2023 FSC-klagomål.docx", "A 46775-2023")</f>
        <v/>
      </c>
      <c r="W52">
        <f>HYPERLINK("https://klasma.github.io/Logging_2061/klagomålsmail/A 46775-2023 FSC-klagomål mail.docx", "A 46775-2023")</f>
        <v/>
      </c>
      <c r="X52">
        <f>HYPERLINK("https://klasma.github.io/Logging_2061/tillsyn/A 46775-2023 tillsynsbegäran.docx", "A 46775-2023")</f>
        <v/>
      </c>
      <c r="Y52">
        <f>HYPERLINK("https://klasma.github.io/Logging_2061/tillsynsmail/A 46775-2023 tillsynsbegäran mail.docx", "A 46775-2023")</f>
        <v/>
      </c>
    </row>
    <row r="53" ht="15" customHeight="1">
      <c r="A53" t="inlineStr">
        <is>
          <t>A 46752-2023</t>
        </is>
      </c>
      <c r="B53" s="1" t="n">
        <v>45198</v>
      </c>
      <c r="C53" s="1" t="n">
        <v>45834</v>
      </c>
      <c r="D53" t="inlineStr">
        <is>
          <t>DALARNAS LÄN</t>
        </is>
      </c>
      <c r="E53" t="inlineStr">
        <is>
          <t>SMEDJEBACKEN</t>
        </is>
      </c>
      <c r="F53" t="inlineStr">
        <is>
          <t>Bergvik skog väst AB</t>
        </is>
      </c>
      <c r="G53" t="n">
        <v>2.4</v>
      </c>
      <c r="H53" t="n">
        <v>0</v>
      </c>
      <c r="I53" t="n">
        <v>1</v>
      </c>
      <c r="J53" t="n">
        <v>0</v>
      </c>
      <c r="K53" t="n">
        <v>0</v>
      </c>
      <c r="L53" t="n">
        <v>0</v>
      </c>
      <c r="M53" t="n">
        <v>0</v>
      </c>
      <c r="N53" t="n">
        <v>0</v>
      </c>
      <c r="O53" t="n">
        <v>0</v>
      </c>
      <c r="P53" t="n">
        <v>0</v>
      </c>
      <c r="Q53" t="n">
        <v>1</v>
      </c>
      <c r="R53" s="2" t="inlineStr">
        <is>
          <t>Tibast</t>
        </is>
      </c>
      <c r="S53">
        <f>HYPERLINK("https://klasma.github.io/Logging_2061/artfynd/A 46752-2023 artfynd.xlsx", "A 46752-2023")</f>
        <v/>
      </c>
      <c r="T53">
        <f>HYPERLINK("https://klasma.github.io/Logging_2061/kartor/A 46752-2023 karta.png", "A 46752-2023")</f>
        <v/>
      </c>
      <c r="V53">
        <f>HYPERLINK("https://klasma.github.io/Logging_2061/klagomål/A 46752-2023 FSC-klagomål.docx", "A 46752-2023")</f>
        <v/>
      </c>
      <c r="W53">
        <f>HYPERLINK("https://klasma.github.io/Logging_2061/klagomålsmail/A 46752-2023 FSC-klagomål mail.docx", "A 46752-2023")</f>
        <v/>
      </c>
      <c r="X53">
        <f>HYPERLINK("https://klasma.github.io/Logging_2061/tillsyn/A 46752-2023 tillsynsbegäran.docx", "A 46752-2023")</f>
        <v/>
      </c>
      <c r="Y53">
        <f>HYPERLINK("https://klasma.github.io/Logging_2061/tillsynsmail/A 46752-2023 tillsynsbegäran mail.docx", "A 46752-2023")</f>
        <v/>
      </c>
    </row>
    <row r="54" ht="15" customHeight="1">
      <c r="A54" t="inlineStr">
        <is>
          <t>A 46779-2023</t>
        </is>
      </c>
      <c r="B54" s="1" t="n">
        <v>45198</v>
      </c>
      <c r="C54" s="1" t="n">
        <v>45834</v>
      </c>
      <c r="D54" t="inlineStr">
        <is>
          <t>DALARNAS LÄN</t>
        </is>
      </c>
      <c r="E54" t="inlineStr">
        <is>
          <t>SMEDJEBACKEN</t>
        </is>
      </c>
      <c r="F54" t="inlineStr">
        <is>
          <t>Bergvik skog väst AB</t>
        </is>
      </c>
      <c r="G54" t="n">
        <v>14.2</v>
      </c>
      <c r="H54" t="n">
        <v>1</v>
      </c>
      <c r="I54" t="n">
        <v>0</v>
      </c>
      <c r="J54" t="n">
        <v>0</v>
      </c>
      <c r="K54" t="n">
        <v>1</v>
      </c>
      <c r="L54" t="n">
        <v>0</v>
      </c>
      <c r="M54" t="n">
        <v>0</v>
      </c>
      <c r="N54" t="n">
        <v>0</v>
      </c>
      <c r="O54" t="n">
        <v>1</v>
      </c>
      <c r="P54" t="n">
        <v>1</v>
      </c>
      <c r="Q54" t="n">
        <v>1</v>
      </c>
      <c r="R54" s="2" t="inlineStr">
        <is>
          <t>Väddnätfjäril</t>
        </is>
      </c>
      <c r="S54">
        <f>HYPERLINK("https://klasma.github.io/Logging_2061/artfynd/A 46779-2023 artfynd.xlsx", "A 46779-2023")</f>
        <v/>
      </c>
      <c r="T54">
        <f>HYPERLINK("https://klasma.github.io/Logging_2061/kartor/A 46779-2023 karta.png", "A 46779-2023")</f>
        <v/>
      </c>
      <c r="V54">
        <f>HYPERLINK("https://klasma.github.io/Logging_2061/klagomål/A 46779-2023 FSC-klagomål.docx", "A 46779-2023")</f>
        <v/>
      </c>
      <c r="W54">
        <f>HYPERLINK("https://klasma.github.io/Logging_2061/klagomålsmail/A 46779-2023 FSC-klagomål mail.docx", "A 46779-2023")</f>
        <v/>
      </c>
      <c r="X54">
        <f>HYPERLINK("https://klasma.github.io/Logging_2061/tillsyn/A 46779-2023 tillsynsbegäran.docx", "A 46779-2023")</f>
        <v/>
      </c>
      <c r="Y54">
        <f>HYPERLINK("https://klasma.github.io/Logging_2061/tillsynsmail/A 46779-2023 tillsynsbegäran mail.docx", "A 46779-2023")</f>
        <v/>
      </c>
    </row>
    <row r="55" ht="15" customHeight="1">
      <c r="A55" t="inlineStr">
        <is>
          <t>A 54156-2023</t>
        </is>
      </c>
      <c r="B55" s="1" t="n">
        <v>45225</v>
      </c>
      <c r="C55" s="1" t="n">
        <v>45834</v>
      </c>
      <c r="D55" t="inlineStr">
        <is>
          <t>DALARNAS LÄN</t>
        </is>
      </c>
      <c r="E55" t="inlineStr">
        <is>
          <t>SMEDJEBACKEN</t>
        </is>
      </c>
      <c r="F55" t="inlineStr">
        <is>
          <t>Bergvik skog väst AB</t>
        </is>
      </c>
      <c r="G55" t="n">
        <v>26.3</v>
      </c>
      <c r="H55" t="n">
        <v>1</v>
      </c>
      <c r="I55" t="n">
        <v>0</v>
      </c>
      <c r="J55" t="n">
        <v>0</v>
      </c>
      <c r="K55" t="n">
        <v>0</v>
      </c>
      <c r="L55" t="n">
        <v>0</v>
      </c>
      <c r="M55" t="n">
        <v>0</v>
      </c>
      <c r="N55" t="n">
        <v>0</v>
      </c>
      <c r="O55" t="n">
        <v>0</v>
      </c>
      <c r="P55" t="n">
        <v>0</v>
      </c>
      <c r="Q55" t="n">
        <v>1</v>
      </c>
      <c r="R55" s="2" t="inlineStr">
        <is>
          <t>Revlummer</t>
        </is>
      </c>
      <c r="S55">
        <f>HYPERLINK("https://klasma.github.io/Logging_2061/artfynd/A 54156-2023 artfynd.xlsx", "A 54156-2023")</f>
        <v/>
      </c>
      <c r="T55">
        <f>HYPERLINK("https://klasma.github.io/Logging_2061/kartor/A 54156-2023 karta.png", "A 54156-2023")</f>
        <v/>
      </c>
      <c r="V55">
        <f>HYPERLINK("https://klasma.github.io/Logging_2061/klagomål/A 54156-2023 FSC-klagomål.docx", "A 54156-2023")</f>
        <v/>
      </c>
      <c r="W55">
        <f>HYPERLINK("https://klasma.github.io/Logging_2061/klagomålsmail/A 54156-2023 FSC-klagomål mail.docx", "A 54156-2023")</f>
        <v/>
      </c>
      <c r="X55">
        <f>HYPERLINK("https://klasma.github.io/Logging_2061/tillsyn/A 54156-2023 tillsynsbegäran.docx", "A 54156-2023")</f>
        <v/>
      </c>
      <c r="Y55">
        <f>HYPERLINK("https://klasma.github.io/Logging_2061/tillsynsmail/A 54156-2023 tillsynsbegäran mail.docx", "A 54156-2023")</f>
        <v/>
      </c>
    </row>
    <row r="56" ht="15" customHeight="1">
      <c r="A56" t="inlineStr">
        <is>
          <t>A 52958-2023</t>
        </is>
      </c>
      <c r="B56" s="1" t="n">
        <v>45226</v>
      </c>
      <c r="C56" s="1" t="n">
        <v>45834</v>
      </c>
      <c r="D56" t="inlineStr">
        <is>
          <t>DALARNAS LÄN</t>
        </is>
      </c>
      <c r="E56" t="inlineStr">
        <is>
          <t>SMEDJEBACKEN</t>
        </is>
      </c>
      <c r="F56" t="inlineStr">
        <is>
          <t>Sveaskog</t>
        </is>
      </c>
      <c r="G56" t="n">
        <v>4.9</v>
      </c>
      <c r="H56" t="n">
        <v>0</v>
      </c>
      <c r="I56" t="n">
        <v>0</v>
      </c>
      <c r="J56" t="n">
        <v>1</v>
      </c>
      <c r="K56" t="n">
        <v>0</v>
      </c>
      <c r="L56" t="n">
        <v>0</v>
      </c>
      <c r="M56" t="n">
        <v>0</v>
      </c>
      <c r="N56" t="n">
        <v>0</v>
      </c>
      <c r="O56" t="n">
        <v>1</v>
      </c>
      <c r="P56" t="n">
        <v>0</v>
      </c>
      <c r="Q56" t="n">
        <v>1</v>
      </c>
      <c r="R56" s="2" t="inlineStr">
        <is>
          <t>Motaggsvamp</t>
        </is>
      </c>
      <c r="S56">
        <f>HYPERLINK("https://klasma.github.io/Logging_2061/artfynd/A 52958-2023 artfynd.xlsx", "A 52958-2023")</f>
        <v/>
      </c>
      <c r="T56">
        <f>HYPERLINK("https://klasma.github.io/Logging_2061/kartor/A 52958-2023 karta.png", "A 52958-2023")</f>
        <v/>
      </c>
      <c r="V56">
        <f>HYPERLINK("https://klasma.github.io/Logging_2061/klagomål/A 52958-2023 FSC-klagomål.docx", "A 52958-2023")</f>
        <v/>
      </c>
      <c r="W56">
        <f>HYPERLINK("https://klasma.github.io/Logging_2061/klagomålsmail/A 52958-2023 FSC-klagomål mail.docx", "A 52958-2023")</f>
        <v/>
      </c>
      <c r="X56">
        <f>HYPERLINK("https://klasma.github.io/Logging_2061/tillsyn/A 52958-2023 tillsynsbegäran.docx", "A 52958-2023")</f>
        <v/>
      </c>
      <c r="Y56">
        <f>HYPERLINK("https://klasma.github.io/Logging_2061/tillsynsmail/A 52958-2023 tillsynsbegäran mail.docx", "A 52958-2023")</f>
        <v/>
      </c>
    </row>
    <row r="57" ht="15" customHeight="1">
      <c r="A57" t="inlineStr">
        <is>
          <t>A 52953-2023</t>
        </is>
      </c>
      <c r="B57" s="1" t="n">
        <v>45226</v>
      </c>
      <c r="C57" s="1" t="n">
        <v>45834</v>
      </c>
      <c r="D57" t="inlineStr">
        <is>
          <t>DALARNAS LÄN</t>
        </is>
      </c>
      <c r="E57" t="inlineStr">
        <is>
          <t>SMEDJEBACKEN</t>
        </is>
      </c>
      <c r="F57" t="inlineStr">
        <is>
          <t>Sveaskog</t>
        </is>
      </c>
      <c r="G57" t="n">
        <v>0.9</v>
      </c>
      <c r="H57" t="n">
        <v>0</v>
      </c>
      <c r="I57" t="n">
        <v>0</v>
      </c>
      <c r="J57" t="n">
        <v>1</v>
      </c>
      <c r="K57" t="n">
        <v>0</v>
      </c>
      <c r="L57" t="n">
        <v>0</v>
      </c>
      <c r="M57" t="n">
        <v>0</v>
      </c>
      <c r="N57" t="n">
        <v>0</v>
      </c>
      <c r="O57" t="n">
        <v>1</v>
      </c>
      <c r="P57" t="n">
        <v>0</v>
      </c>
      <c r="Q57" t="n">
        <v>1</v>
      </c>
      <c r="R57" s="2" t="inlineStr">
        <is>
          <t>Motaggsvamp</t>
        </is>
      </c>
      <c r="S57">
        <f>HYPERLINK("https://klasma.github.io/Logging_2061/artfynd/A 52953-2023 artfynd.xlsx", "A 52953-2023")</f>
        <v/>
      </c>
      <c r="T57">
        <f>HYPERLINK("https://klasma.github.io/Logging_2061/kartor/A 52953-2023 karta.png", "A 52953-2023")</f>
        <v/>
      </c>
      <c r="V57">
        <f>HYPERLINK("https://klasma.github.io/Logging_2061/klagomål/A 52953-2023 FSC-klagomål.docx", "A 52953-2023")</f>
        <v/>
      </c>
      <c r="W57">
        <f>HYPERLINK("https://klasma.github.io/Logging_2061/klagomålsmail/A 52953-2023 FSC-klagomål mail.docx", "A 52953-2023")</f>
        <v/>
      </c>
      <c r="X57">
        <f>HYPERLINK("https://klasma.github.io/Logging_2061/tillsyn/A 52953-2023 tillsynsbegäran.docx", "A 52953-2023")</f>
        <v/>
      </c>
      <c r="Y57">
        <f>HYPERLINK("https://klasma.github.io/Logging_2061/tillsynsmail/A 52953-2023 tillsynsbegäran mail.docx", "A 52953-2023")</f>
        <v/>
      </c>
    </row>
    <row r="58" ht="15" customHeight="1">
      <c r="A58" t="inlineStr">
        <is>
          <t>A 55476-2023</t>
        </is>
      </c>
      <c r="B58" s="1" t="n">
        <v>45231</v>
      </c>
      <c r="C58" s="1" t="n">
        <v>45834</v>
      </c>
      <c r="D58" t="inlineStr">
        <is>
          <t>DALARNAS LÄN</t>
        </is>
      </c>
      <c r="E58" t="inlineStr">
        <is>
          <t>SMEDJEBACKEN</t>
        </is>
      </c>
      <c r="F58" t="inlineStr">
        <is>
          <t>Bergvik skog väst AB</t>
        </is>
      </c>
      <c r="G58" t="n">
        <v>16.3</v>
      </c>
      <c r="H58" t="n">
        <v>1</v>
      </c>
      <c r="I58" t="n">
        <v>0</v>
      </c>
      <c r="J58" t="n">
        <v>0</v>
      </c>
      <c r="K58" t="n">
        <v>0</v>
      </c>
      <c r="L58" t="n">
        <v>0</v>
      </c>
      <c r="M58" t="n">
        <v>0</v>
      </c>
      <c r="N58" t="n">
        <v>0</v>
      </c>
      <c r="O58" t="n">
        <v>0</v>
      </c>
      <c r="P58" t="n">
        <v>0</v>
      </c>
      <c r="Q58" t="n">
        <v>1</v>
      </c>
      <c r="R58" s="2" t="inlineStr">
        <is>
          <t>Revlummer</t>
        </is>
      </c>
      <c r="S58">
        <f>HYPERLINK("https://klasma.github.io/Logging_2061/artfynd/A 55476-2023 artfynd.xlsx", "A 55476-2023")</f>
        <v/>
      </c>
      <c r="T58">
        <f>HYPERLINK("https://klasma.github.io/Logging_2061/kartor/A 55476-2023 karta.png", "A 55476-2023")</f>
        <v/>
      </c>
      <c r="V58">
        <f>HYPERLINK("https://klasma.github.io/Logging_2061/klagomål/A 55476-2023 FSC-klagomål.docx", "A 55476-2023")</f>
        <v/>
      </c>
      <c r="W58">
        <f>HYPERLINK("https://klasma.github.io/Logging_2061/klagomålsmail/A 55476-2023 FSC-klagomål mail.docx", "A 55476-2023")</f>
        <v/>
      </c>
      <c r="X58">
        <f>HYPERLINK("https://klasma.github.io/Logging_2061/tillsyn/A 55476-2023 tillsynsbegäran.docx", "A 55476-2023")</f>
        <v/>
      </c>
      <c r="Y58">
        <f>HYPERLINK("https://klasma.github.io/Logging_2061/tillsynsmail/A 55476-2023 tillsynsbegäran mail.docx", "A 55476-2023")</f>
        <v/>
      </c>
    </row>
    <row r="59" ht="15" customHeight="1">
      <c r="A59" t="inlineStr">
        <is>
          <t>A 15389-2024</t>
        </is>
      </c>
      <c r="B59" s="1" t="n">
        <v>45401</v>
      </c>
      <c r="C59" s="1" t="n">
        <v>45834</v>
      </c>
      <c r="D59" t="inlineStr">
        <is>
          <t>DALARNAS LÄN</t>
        </is>
      </c>
      <c r="E59" t="inlineStr">
        <is>
          <t>SMEDJEBACKEN</t>
        </is>
      </c>
      <c r="F59" t="inlineStr">
        <is>
          <t>Sveaskog</t>
        </is>
      </c>
      <c r="G59" t="n">
        <v>2.8</v>
      </c>
      <c r="H59" t="n">
        <v>0</v>
      </c>
      <c r="I59" t="n">
        <v>1</v>
      </c>
      <c r="J59" t="n">
        <v>0</v>
      </c>
      <c r="K59" t="n">
        <v>0</v>
      </c>
      <c r="L59" t="n">
        <v>0</v>
      </c>
      <c r="M59" t="n">
        <v>0</v>
      </c>
      <c r="N59" t="n">
        <v>0</v>
      </c>
      <c r="O59" t="n">
        <v>0</v>
      </c>
      <c r="P59" t="n">
        <v>0</v>
      </c>
      <c r="Q59" t="n">
        <v>1</v>
      </c>
      <c r="R59" s="2" t="inlineStr">
        <is>
          <t>Svavelriska</t>
        </is>
      </c>
      <c r="S59">
        <f>HYPERLINK("https://klasma.github.io/Logging_2061/artfynd/A 15389-2024 artfynd.xlsx", "A 15389-2024")</f>
        <v/>
      </c>
      <c r="T59">
        <f>HYPERLINK("https://klasma.github.io/Logging_2061/kartor/A 15389-2024 karta.png", "A 15389-2024")</f>
        <v/>
      </c>
      <c r="V59">
        <f>HYPERLINK("https://klasma.github.io/Logging_2061/klagomål/A 15389-2024 FSC-klagomål.docx", "A 15389-2024")</f>
        <v/>
      </c>
      <c r="W59">
        <f>HYPERLINK("https://klasma.github.io/Logging_2061/klagomålsmail/A 15389-2024 FSC-klagomål mail.docx", "A 15389-2024")</f>
        <v/>
      </c>
      <c r="X59">
        <f>HYPERLINK("https://klasma.github.io/Logging_2061/tillsyn/A 15389-2024 tillsynsbegäran.docx", "A 15389-2024")</f>
        <v/>
      </c>
      <c r="Y59">
        <f>HYPERLINK("https://klasma.github.io/Logging_2061/tillsynsmail/A 15389-2024 tillsynsbegäran mail.docx", "A 15389-2024")</f>
        <v/>
      </c>
    </row>
    <row r="60" ht="15" customHeight="1">
      <c r="A60" t="inlineStr">
        <is>
          <t>A 18020-2024</t>
        </is>
      </c>
      <c r="B60" s="1" t="n">
        <v>45420</v>
      </c>
      <c r="C60" s="1" t="n">
        <v>45834</v>
      </c>
      <c r="D60" t="inlineStr">
        <is>
          <t>DALARNAS LÄN</t>
        </is>
      </c>
      <c r="E60" t="inlineStr">
        <is>
          <t>SMEDJEBACKEN</t>
        </is>
      </c>
      <c r="F60" t="inlineStr">
        <is>
          <t>Sveaskog</t>
        </is>
      </c>
      <c r="G60" t="n">
        <v>2.1</v>
      </c>
      <c r="H60" t="n">
        <v>0</v>
      </c>
      <c r="I60" t="n">
        <v>1</v>
      </c>
      <c r="J60" t="n">
        <v>0</v>
      </c>
      <c r="K60" t="n">
        <v>0</v>
      </c>
      <c r="L60" t="n">
        <v>0</v>
      </c>
      <c r="M60" t="n">
        <v>0</v>
      </c>
      <c r="N60" t="n">
        <v>0</v>
      </c>
      <c r="O60" t="n">
        <v>0</v>
      </c>
      <c r="P60" t="n">
        <v>0</v>
      </c>
      <c r="Q60" t="n">
        <v>1</v>
      </c>
      <c r="R60" s="2" t="inlineStr">
        <is>
          <t>Svavelriska</t>
        </is>
      </c>
      <c r="S60">
        <f>HYPERLINK("https://klasma.github.io/Logging_2061/artfynd/A 18020-2024 artfynd.xlsx", "A 18020-2024")</f>
        <v/>
      </c>
      <c r="T60">
        <f>HYPERLINK("https://klasma.github.io/Logging_2061/kartor/A 18020-2024 karta.png", "A 18020-2024")</f>
        <v/>
      </c>
      <c r="V60">
        <f>HYPERLINK("https://klasma.github.io/Logging_2061/klagomål/A 18020-2024 FSC-klagomål.docx", "A 18020-2024")</f>
        <v/>
      </c>
      <c r="W60">
        <f>HYPERLINK("https://klasma.github.io/Logging_2061/klagomålsmail/A 18020-2024 FSC-klagomål mail.docx", "A 18020-2024")</f>
        <v/>
      </c>
      <c r="X60">
        <f>HYPERLINK("https://klasma.github.io/Logging_2061/tillsyn/A 18020-2024 tillsynsbegäran.docx", "A 18020-2024")</f>
        <v/>
      </c>
      <c r="Y60">
        <f>HYPERLINK("https://klasma.github.io/Logging_2061/tillsynsmail/A 18020-2024 tillsynsbegäran mail.docx", "A 18020-2024")</f>
        <v/>
      </c>
    </row>
    <row r="61" ht="15" customHeight="1">
      <c r="A61" t="inlineStr">
        <is>
          <t>A 21507-2024</t>
        </is>
      </c>
      <c r="B61" s="1" t="n">
        <v>45441</v>
      </c>
      <c r="C61" s="1" t="n">
        <v>45834</v>
      </c>
      <c r="D61" t="inlineStr">
        <is>
          <t>DALARNAS LÄN</t>
        </is>
      </c>
      <c r="E61" t="inlineStr">
        <is>
          <t>SMEDJEBACKEN</t>
        </is>
      </c>
      <c r="F61" t="inlineStr">
        <is>
          <t>Sveaskog</t>
        </is>
      </c>
      <c r="G61" t="n">
        <v>16</v>
      </c>
      <c r="H61" t="n">
        <v>0</v>
      </c>
      <c r="I61" t="n">
        <v>0</v>
      </c>
      <c r="J61" t="n">
        <v>1</v>
      </c>
      <c r="K61" t="n">
        <v>0</v>
      </c>
      <c r="L61" t="n">
        <v>0</v>
      </c>
      <c r="M61" t="n">
        <v>0</v>
      </c>
      <c r="N61" t="n">
        <v>0</v>
      </c>
      <c r="O61" t="n">
        <v>1</v>
      </c>
      <c r="P61" t="n">
        <v>0</v>
      </c>
      <c r="Q61" t="n">
        <v>1</v>
      </c>
      <c r="R61" s="2" t="inlineStr">
        <is>
          <t>Ullticka</t>
        </is>
      </c>
      <c r="S61">
        <f>HYPERLINK("https://klasma.github.io/Logging_2061/artfynd/A 21507-2024 artfynd.xlsx", "A 21507-2024")</f>
        <v/>
      </c>
      <c r="T61">
        <f>HYPERLINK("https://klasma.github.io/Logging_2061/kartor/A 21507-2024 karta.png", "A 21507-2024")</f>
        <v/>
      </c>
      <c r="V61">
        <f>HYPERLINK("https://klasma.github.io/Logging_2061/klagomål/A 21507-2024 FSC-klagomål.docx", "A 21507-2024")</f>
        <v/>
      </c>
      <c r="W61">
        <f>HYPERLINK("https://klasma.github.io/Logging_2061/klagomålsmail/A 21507-2024 FSC-klagomål mail.docx", "A 21507-2024")</f>
        <v/>
      </c>
      <c r="X61">
        <f>HYPERLINK("https://klasma.github.io/Logging_2061/tillsyn/A 21507-2024 tillsynsbegäran.docx", "A 21507-2024")</f>
        <v/>
      </c>
      <c r="Y61">
        <f>HYPERLINK("https://klasma.github.io/Logging_2061/tillsynsmail/A 21507-2024 tillsynsbegäran mail.docx", "A 21507-2024")</f>
        <v/>
      </c>
    </row>
    <row r="62" ht="15" customHeight="1">
      <c r="A62" t="inlineStr">
        <is>
          <t>A 32954-2024</t>
        </is>
      </c>
      <c r="B62" s="1" t="n">
        <v>45517</v>
      </c>
      <c r="C62" s="1" t="n">
        <v>45834</v>
      </c>
      <c r="D62" t="inlineStr">
        <is>
          <t>DALARNAS LÄN</t>
        </is>
      </c>
      <c r="E62" t="inlineStr">
        <is>
          <t>SMEDJEBACKEN</t>
        </is>
      </c>
      <c r="F62" t="inlineStr">
        <is>
          <t>Övriga Aktiebolag</t>
        </is>
      </c>
      <c r="G62" t="n">
        <v>5.9</v>
      </c>
      <c r="H62" t="n">
        <v>1</v>
      </c>
      <c r="I62" t="n">
        <v>0</v>
      </c>
      <c r="J62" t="n">
        <v>0</v>
      </c>
      <c r="K62" t="n">
        <v>0</v>
      </c>
      <c r="L62" t="n">
        <v>0</v>
      </c>
      <c r="M62" t="n">
        <v>0</v>
      </c>
      <c r="N62" t="n">
        <v>0</v>
      </c>
      <c r="O62" t="n">
        <v>0</v>
      </c>
      <c r="P62" t="n">
        <v>0</v>
      </c>
      <c r="Q62" t="n">
        <v>1</v>
      </c>
      <c r="R62" s="2" t="inlineStr">
        <is>
          <t>Fläcknycklar</t>
        </is>
      </c>
      <c r="S62">
        <f>HYPERLINK("https://klasma.github.io/Logging_2061/artfynd/A 32954-2024 artfynd.xlsx", "A 32954-2024")</f>
        <v/>
      </c>
      <c r="T62">
        <f>HYPERLINK("https://klasma.github.io/Logging_2061/kartor/A 32954-2024 karta.png", "A 32954-2024")</f>
        <v/>
      </c>
      <c r="V62">
        <f>HYPERLINK("https://klasma.github.io/Logging_2061/klagomål/A 32954-2024 FSC-klagomål.docx", "A 32954-2024")</f>
        <v/>
      </c>
      <c r="W62">
        <f>HYPERLINK("https://klasma.github.io/Logging_2061/klagomålsmail/A 32954-2024 FSC-klagomål mail.docx", "A 32954-2024")</f>
        <v/>
      </c>
      <c r="X62">
        <f>HYPERLINK("https://klasma.github.io/Logging_2061/tillsyn/A 32954-2024 tillsynsbegäran.docx", "A 32954-2024")</f>
        <v/>
      </c>
      <c r="Y62">
        <f>HYPERLINK("https://klasma.github.io/Logging_2061/tillsynsmail/A 32954-2024 tillsynsbegäran mail.docx", "A 32954-2024")</f>
        <v/>
      </c>
    </row>
    <row r="63" ht="15" customHeight="1">
      <c r="A63" t="inlineStr">
        <is>
          <t>A 34942-2024</t>
        </is>
      </c>
      <c r="B63" s="1" t="n">
        <v>45527</v>
      </c>
      <c r="C63" s="1" t="n">
        <v>45834</v>
      </c>
      <c r="D63" t="inlineStr">
        <is>
          <t>DALARNAS LÄN</t>
        </is>
      </c>
      <c r="E63" t="inlineStr">
        <is>
          <t>SMEDJEBACKEN</t>
        </is>
      </c>
      <c r="G63" t="n">
        <v>11</v>
      </c>
      <c r="H63" t="n">
        <v>0</v>
      </c>
      <c r="I63" t="n">
        <v>0</v>
      </c>
      <c r="J63" t="n">
        <v>1</v>
      </c>
      <c r="K63" t="n">
        <v>0</v>
      </c>
      <c r="L63" t="n">
        <v>0</v>
      </c>
      <c r="M63" t="n">
        <v>0</v>
      </c>
      <c r="N63" t="n">
        <v>0</v>
      </c>
      <c r="O63" t="n">
        <v>1</v>
      </c>
      <c r="P63" t="n">
        <v>0</v>
      </c>
      <c r="Q63" t="n">
        <v>1</v>
      </c>
      <c r="R63" s="2" t="inlineStr">
        <is>
          <t>Skogsklocka</t>
        </is>
      </c>
      <c r="S63">
        <f>HYPERLINK("https://klasma.github.io/Logging_2061/artfynd/A 34942-2024 artfynd.xlsx", "A 34942-2024")</f>
        <v/>
      </c>
      <c r="T63">
        <f>HYPERLINK("https://klasma.github.io/Logging_2061/kartor/A 34942-2024 karta.png", "A 34942-2024")</f>
        <v/>
      </c>
      <c r="V63">
        <f>HYPERLINK("https://klasma.github.io/Logging_2061/klagomål/A 34942-2024 FSC-klagomål.docx", "A 34942-2024")</f>
        <v/>
      </c>
      <c r="W63">
        <f>HYPERLINK("https://klasma.github.io/Logging_2061/klagomålsmail/A 34942-2024 FSC-klagomål mail.docx", "A 34942-2024")</f>
        <v/>
      </c>
      <c r="X63">
        <f>HYPERLINK("https://klasma.github.io/Logging_2061/tillsyn/A 34942-2024 tillsynsbegäran.docx", "A 34942-2024")</f>
        <v/>
      </c>
      <c r="Y63">
        <f>HYPERLINK("https://klasma.github.io/Logging_2061/tillsynsmail/A 34942-2024 tillsynsbegäran mail.docx", "A 34942-2024")</f>
        <v/>
      </c>
    </row>
    <row r="64" ht="15" customHeight="1">
      <c r="A64" t="inlineStr">
        <is>
          <t>A 37313-2024</t>
        </is>
      </c>
      <c r="B64" s="1" t="n">
        <v>45540</v>
      </c>
      <c r="C64" s="1" t="n">
        <v>45834</v>
      </c>
      <c r="D64" t="inlineStr">
        <is>
          <t>DALARNAS LÄN</t>
        </is>
      </c>
      <c r="E64" t="inlineStr">
        <is>
          <t>SMEDJEBACKEN</t>
        </is>
      </c>
      <c r="F64" t="inlineStr">
        <is>
          <t>Bergvik skog väst AB</t>
        </is>
      </c>
      <c r="G64" t="n">
        <v>46.5</v>
      </c>
      <c r="H64" t="n">
        <v>0</v>
      </c>
      <c r="I64" t="n">
        <v>1</v>
      </c>
      <c r="J64" t="n">
        <v>0</v>
      </c>
      <c r="K64" t="n">
        <v>0</v>
      </c>
      <c r="L64" t="n">
        <v>0</v>
      </c>
      <c r="M64" t="n">
        <v>0</v>
      </c>
      <c r="N64" t="n">
        <v>0</v>
      </c>
      <c r="O64" t="n">
        <v>0</v>
      </c>
      <c r="P64" t="n">
        <v>0</v>
      </c>
      <c r="Q64" t="n">
        <v>1</v>
      </c>
      <c r="R64" s="2" t="inlineStr">
        <is>
          <t>Fjällig taggsvamp s.str.</t>
        </is>
      </c>
      <c r="S64">
        <f>HYPERLINK("https://klasma.github.io/Logging_2061/artfynd/A 37313-2024 artfynd.xlsx", "A 37313-2024")</f>
        <v/>
      </c>
      <c r="T64">
        <f>HYPERLINK("https://klasma.github.io/Logging_2061/kartor/A 37313-2024 karta.png", "A 37313-2024")</f>
        <v/>
      </c>
      <c r="V64">
        <f>HYPERLINK("https://klasma.github.io/Logging_2061/klagomål/A 37313-2024 FSC-klagomål.docx", "A 37313-2024")</f>
        <v/>
      </c>
      <c r="W64">
        <f>HYPERLINK("https://klasma.github.io/Logging_2061/klagomålsmail/A 37313-2024 FSC-klagomål mail.docx", "A 37313-2024")</f>
        <v/>
      </c>
      <c r="X64">
        <f>HYPERLINK("https://klasma.github.io/Logging_2061/tillsyn/A 37313-2024 tillsynsbegäran.docx", "A 37313-2024")</f>
        <v/>
      </c>
      <c r="Y64">
        <f>HYPERLINK("https://klasma.github.io/Logging_2061/tillsynsmail/A 37313-2024 tillsynsbegäran mail.docx", "A 37313-2024")</f>
        <v/>
      </c>
    </row>
    <row r="65" ht="15" customHeight="1">
      <c r="A65" t="inlineStr">
        <is>
          <t>A 45577-2024</t>
        </is>
      </c>
      <c r="B65" s="1" t="n">
        <v>45579</v>
      </c>
      <c r="C65" s="1" t="n">
        <v>45834</v>
      </c>
      <c r="D65" t="inlineStr">
        <is>
          <t>DALARNAS LÄN</t>
        </is>
      </c>
      <c r="E65" t="inlineStr">
        <is>
          <t>SMEDJEBACKEN</t>
        </is>
      </c>
      <c r="F65" t="inlineStr">
        <is>
          <t>Sveaskog</t>
        </is>
      </c>
      <c r="G65" t="n">
        <v>18.6</v>
      </c>
      <c r="H65" t="n">
        <v>1</v>
      </c>
      <c r="I65" t="n">
        <v>0</v>
      </c>
      <c r="J65" t="n">
        <v>0</v>
      </c>
      <c r="K65" t="n">
        <v>0</v>
      </c>
      <c r="L65" t="n">
        <v>0</v>
      </c>
      <c r="M65" t="n">
        <v>0</v>
      </c>
      <c r="N65" t="n">
        <v>0</v>
      </c>
      <c r="O65" t="n">
        <v>0</v>
      </c>
      <c r="P65" t="n">
        <v>0</v>
      </c>
      <c r="Q65" t="n">
        <v>1</v>
      </c>
      <c r="R65" s="2" t="inlineStr">
        <is>
          <t>Tjäder</t>
        </is>
      </c>
      <c r="S65">
        <f>HYPERLINK("https://klasma.github.io/Logging_2061/artfynd/A 45577-2024 artfynd.xlsx", "A 45577-2024")</f>
        <v/>
      </c>
      <c r="T65">
        <f>HYPERLINK("https://klasma.github.io/Logging_2061/kartor/A 45577-2024 karta.png", "A 45577-2024")</f>
        <v/>
      </c>
      <c r="V65">
        <f>HYPERLINK("https://klasma.github.io/Logging_2061/klagomål/A 45577-2024 FSC-klagomål.docx", "A 45577-2024")</f>
        <v/>
      </c>
      <c r="W65">
        <f>HYPERLINK("https://klasma.github.io/Logging_2061/klagomålsmail/A 45577-2024 FSC-klagomål mail.docx", "A 45577-2024")</f>
        <v/>
      </c>
      <c r="X65">
        <f>HYPERLINK("https://klasma.github.io/Logging_2061/tillsyn/A 45577-2024 tillsynsbegäran.docx", "A 45577-2024")</f>
        <v/>
      </c>
      <c r="Y65">
        <f>HYPERLINK("https://klasma.github.io/Logging_2061/tillsynsmail/A 45577-2024 tillsynsbegäran mail.docx", "A 45577-2024")</f>
        <v/>
      </c>
      <c r="Z65">
        <f>HYPERLINK("https://klasma.github.io/Logging_2061/fåglar/A 45577-2024 prioriterade fågelarter.docx", "A 45577-2024")</f>
        <v/>
      </c>
    </row>
    <row r="66" ht="15" customHeight="1">
      <c r="A66" t="inlineStr">
        <is>
          <t>A 52242-2024</t>
        </is>
      </c>
      <c r="B66" s="1" t="n">
        <v>45607</v>
      </c>
      <c r="C66" s="1" t="n">
        <v>45834</v>
      </c>
      <c r="D66" t="inlineStr">
        <is>
          <t>DALARNAS LÄN</t>
        </is>
      </c>
      <c r="E66" t="inlineStr">
        <is>
          <t>SMEDJEBACKEN</t>
        </is>
      </c>
      <c r="F66" t="inlineStr">
        <is>
          <t>Bergvik skog väst AB</t>
        </is>
      </c>
      <c r="G66" t="n">
        <v>26.2</v>
      </c>
      <c r="H66" t="n">
        <v>1</v>
      </c>
      <c r="I66" t="n">
        <v>0</v>
      </c>
      <c r="J66" t="n">
        <v>1</v>
      </c>
      <c r="K66" t="n">
        <v>0</v>
      </c>
      <c r="L66" t="n">
        <v>0</v>
      </c>
      <c r="M66" t="n">
        <v>0</v>
      </c>
      <c r="N66" t="n">
        <v>0</v>
      </c>
      <c r="O66" t="n">
        <v>1</v>
      </c>
      <c r="P66" t="n">
        <v>0</v>
      </c>
      <c r="Q66" t="n">
        <v>1</v>
      </c>
      <c r="R66" s="2" t="inlineStr">
        <is>
          <t>Havsörn</t>
        </is>
      </c>
      <c r="S66">
        <f>HYPERLINK("https://klasma.github.io/Logging_2061/artfynd/A 52242-2024 artfynd.xlsx", "A 52242-2024")</f>
        <v/>
      </c>
      <c r="T66">
        <f>HYPERLINK("https://klasma.github.io/Logging_2061/kartor/A 52242-2024 karta.png", "A 52242-2024")</f>
        <v/>
      </c>
      <c r="V66">
        <f>HYPERLINK("https://klasma.github.io/Logging_2061/klagomål/A 52242-2024 FSC-klagomål.docx", "A 52242-2024")</f>
        <v/>
      </c>
      <c r="W66">
        <f>HYPERLINK("https://klasma.github.io/Logging_2061/klagomålsmail/A 52242-2024 FSC-klagomål mail.docx", "A 52242-2024")</f>
        <v/>
      </c>
      <c r="X66">
        <f>HYPERLINK("https://klasma.github.io/Logging_2061/tillsyn/A 52242-2024 tillsynsbegäran.docx", "A 52242-2024")</f>
        <v/>
      </c>
      <c r="Y66">
        <f>HYPERLINK("https://klasma.github.io/Logging_2061/tillsynsmail/A 52242-2024 tillsynsbegäran mail.docx", "A 52242-2024")</f>
        <v/>
      </c>
      <c r="Z66">
        <f>HYPERLINK("https://klasma.github.io/Logging_2061/fåglar/A 52242-2024 prioriterade fågelarter.docx", "A 52242-2024")</f>
        <v/>
      </c>
    </row>
    <row r="67" ht="15" customHeight="1">
      <c r="A67" t="inlineStr">
        <is>
          <t>A 52601-2024</t>
        </is>
      </c>
      <c r="B67" s="1" t="n">
        <v>45609</v>
      </c>
      <c r="C67" s="1" t="n">
        <v>45834</v>
      </c>
      <c r="D67" t="inlineStr">
        <is>
          <t>DALARNAS LÄN</t>
        </is>
      </c>
      <c r="E67" t="inlineStr">
        <is>
          <t>SMEDJEBACKEN</t>
        </is>
      </c>
      <c r="F67" t="inlineStr">
        <is>
          <t>Bergvik skog väst AB</t>
        </is>
      </c>
      <c r="G67" t="n">
        <v>47.9</v>
      </c>
      <c r="H67" t="n">
        <v>0</v>
      </c>
      <c r="I67" t="n">
        <v>0</v>
      </c>
      <c r="J67" t="n">
        <v>1</v>
      </c>
      <c r="K67" t="n">
        <v>0</v>
      </c>
      <c r="L67" t="n">
        <v>0</v>
      </c>
      <c r="M67" t="n">
        <v>0</v>
      </c>
      <c r="N67" t="n">
        <v>0</v>
      </c>
      <c r="O67" t="n">
        <v>1</v>
      </c>
      <c r="P67" t="n">
        <v>0</v>
      </c>
      <c r="Q67" t="n">
        <v>1</v>
      </c>
      <c r="R67" s="2" t="inlineStr">
        <is>
          <t>Tallticka</t>
        </is>
      </c>
      <c r="S67">
        <f>HYPERLINK("https://klasma.github.io/Logging_2061/artfynd/A 52601-2024 artfynd.xlsx", "A 52601-2024")</f>
        <v/>
      </c>
      <c r="T67">
        <f>HYPERLINK("https://klasma.github.io/Logging_2061/kartor/A 52601-2024 karta.png", "A 52601-2024")</f>
        <v/>
      </c>
      <c r="U67">
        <f>HYPERLINK("https://klasma.github.io/Logging_2061/knärot/A 52601-2024 karta knärot.png", "A 52601-2024")</f>
        <v/>
      </c>
      <c r="V67">
        <f>HYPERLINK("https://klasma.github.io/Logging_2061/klagomål/A 52601-2024 FSC-klagomål.docx", "A 52601-2024")</f>
        <v/>
      </c>
      <c r="W67">
        <f>HYPERLINK("https://klasma.github.io/Logging_2061/klagomålsmail/A 52601-2024 FSC-klagomål mail.docx", "A 52601-2024")</f>
        <v/>
      </c>
      <c r="X67">
        <f>HYPERLINK("https://klasma.github.io/Logging_2061/tillsyn/A 52601-2024 tillsynsbegäran.docx", "A 52601-2024")</f>
        <v/>
      </c>
      <c r="Y67">
        <f>HYPERLINK("https://klasma.github.io/Logging_2061/tillsynsmail/A 52601-2024 tillsynsbegäran mail.docx", "A 52601-2024")</f>
        <v/>
      </c>
    </row>
    <row r="68" ht="15" customHeight="1">
      <c r="A68" t="inlineStr">
        <is>
          <t>A 61916-2024</t>
        </is>
      </c>
      <c r="B68" s="1" t="n">
        <v>45653</v>
      </c>
      <c r="C68" s="1" t="n">
        <v>45834</v>
      </c>
      <c r="D68" t="inlineStr">
        <is>
          <t>DALARNAS LÄN</t>
        </is>
      </c>
      <c r="E68" t="inlineStr">
        <is>
          <t>SMEDJEBACKEN</t>
        </is>
      </c>
      <c r="G68" t="n">
        <v>11.1</v>
      </c>
      <c r="H68" t="n">
        <v>1</v>
      </c>
      <c r="I68" t="n">
        <v>0</v>
      </c>
      <c r="J68" t="n">
        <v>0</v>
      </c>
      <c r="K68" t="n">
        <v>0</v>
      </c>
      <c r="L68" t="n">
        <v>0</v>
      </c>
      <c r="M68" t="n">
        <v>0</v>
      </c>
      <c r="N68" t="n">
        <v>0</v>
      </c>
      <c r="O68" t="n">
        <v>0</v>
      </c>
      <c r="P68" t="n">
        <v>0</v>
      </c>
      <c r="Q68" t="n">
        <v>1</v>
      </c>
      <c r="R68" s="2" t="inlineStr">
        <is>
          <t>Mattlummer</t>
        </is>
      </c>
      <c r="S68">
        <f>HYPERLINK("https://klasma.github.io/Logging_2061/artfynd/A 61916-2024 artfynd.xlsx", "A 61916-2024")</f>
        <v/>
      </c>
      <c r="T68">
        <f>HYPERLINK("https://klasma.github.io/Logging_2061/kartor/A 61916-2024 karta.png", "A 61916-2024")</f>
        <v/>
      </c>
      <c r="V68">
        <f>HYPERLINK("https://klasma.github.io/Logging_2061/klagomål/A 61916-2024 FSC-klagomål.docx", "A 61916-2024")</f>
        <v/>
      </c>
      <c r="W68">
        <f>HYPERLINK("https://klasma.github.io/Logging_2061/klagomålsmail/A 61916-2024 FSC-klagomål mail.docx", "A 61916-2024")</f>
        <v/>
      </c>
      <c r="X68">
        <f>HYPERLINK("https://klasma.github.io/Logging_2061/tillsyn/A 61916-2024 tillsynsbegäran.docx", "A 61916-2024")</f>
        <v/>
      </c>
      <c r="Y68">
        <f>HYPERLINK("https://klasma.github.io/Logging_2061/tillsynsmail/A 61916-2024 tillsynsbegäran mail.docx", "A 61916-2024")</f>
        <v/>
      </c>
    </row>
    <row r="69" ht="15" customHeight="1">
      <c r="A69" t="inlineStr">
        <is>
          <t>A 18701-2019</t>
        </is>
      </c>
      <c r="B69" s="1" t="n">
        <v>43560</v>
      </c>
      <c r="C69" s="1" t="n">
        <v>45834</v>
      </c>
      <c r="D69" t="inlineStr">
        <is>
          <t>DALARNAS LÄN</t>
        </is>
      </c>
      <c r="E69" t="inlineStr">
        <is>
          <t>SMEDJEBACKEN</t>
        </is>
      </c>
      <c r="G69" t="n">
        <v>3.4</v>
      </c>
      <c r="H69" t="n">
        <v>0</v>
      </c>
      <c r="I69" t="n">
        <v>0</v>
      </c>
      <c r="J69" t="n">
        <v>0</v>
      </c>
      <c r="K69" t="n">
        <v>0</v>
      </c>
      <c r="L69" t="n">
        <v>0</v>
      </c>
      <c r="M69" t="n">
        <v>0</v>
      </c>
      <c r="N69" t="n">
        <v>0</v>
      </c>
      <c r="O69" t="n">
        <v>0</v>
      </c>
      <c r="P69" t="n">
        <v>0</v>
      </c>
      <c r="Q69" t="n">
        <v>0</v>
      </c>
      <c r="R69" s="2" t="inlineStr"/>
    </row>
    <row r="70" ht="15" customHeight="1">
      <c r="A70" t="inlineStr">
        <is>
          <t>A 19527-2019</t>
        </is>
      </c>
      <c r="B70" s="1" t="n">
        <v>43565</v>
      </c>
      <c r="C70" s="1" t="n">
        <v>45834</v>
      </c>
      <c r="D70" t="inlineStr">
        <is>
          <t>DALARNAS LÄN</t>
        </is>
      </c>
      <c r="E70" t="inlineStr">
        <is>
          <t>SMEDJEBACKEN</t>
        </is>
      </c>
      <c r="G70" t="n">
        <v>1.8</v>
      </c>
      <c r="H70" t="n">
        <v>0</v>
      </c>
      <c r="I70" t="n">
        <v>0</v>
      </c>
      <c r="J70" t="n">
        <v>0</v>
      </c>
      <c r="K70" t="n">
        <v>0</v>
      </c>
      <c r="L70" t="n">
        <v>0</v>
      </c>
      <c r="M70" t="n">
        <v>0</v>
      </c>
      <c r="N70" t="n">
        <v>0</v>
      </c>
      <c r="O70" t="n">
        <v>0</v>
      </c>
      <c r="P70" t="n">
        <v>0</v>
      </c>
      <c r="Q70" t="n">
        <v>0</v>
      </c>
      <c r="R70" s="2" t="inlineStr"/>
    </row>
    <row r="71" ht="15" customHeight="1">
      <c r="A71" t="inlineStr">
        <is>
          <t>A 22029-2019</t>
        </is>
      </c>
      <c r="B71" s="1" t="n">
        <v>43584</v>
      </c>
      <c r="C71" s="1" t="n">
        <v>45834</v>
      </c>
      <c r="D71" t="inlineStr">
        <is>
          <t>DALARNAS LÄN</t>
        </is>
      </c>
      <c r="E71" t="inlineStr">
        <is>
          <t>SMEDJEBACKEN</t>
        </is>
      </c>
      <c r="G71" t="n">
        <v>3</v>
      </c>
      <c r="H71" t="n">
        <v>0</v>
      </c>
      <c r="I71" t="n">
        <v>0</v>
      </c>
      <c r="J71" t="n">
        <v>0</v>
      </c>
      <c r="K71" t="n">
        <v>0</v>
      </c>
      <c r="L71" t="n">
        <v>0</v>
      </c>
      <c r="M71" t="n">
        <v>0</v>
      </c>
      <c r="N71" t="n">
        <v>0</v>
      </c>
      <c r="O71" t="n">
        <v>0</v>
      </c>
      <c r="P71" t="n">
        <v>0</v>
      </c>
      <c r="Q71" t="n">
        <v>0</v>
      </c>
      <c r="R71" s="2" t="inlineStr"/>
    </row>
    <row r="72" ht="15" customHeight="1">
      <c r="A72" t="inlineStr">
        <is>
          <t>A 23576-2019</t>
        </is>
      </c>
      <c r="B72" s="1" t="n">
        <v>43593</v>
      </c>
      <c r="C72" s="1" t="n">
        <v>45834</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23907-2019</t>
        </is>
      </c>
      <c r="B73" s="1" t="n">
        <v>43595</v>
      </c>
      <c r="C73" s="1" t="n">
        <v>45834</v>
      </c>
      <c r="D73" t="inlineStr">
        <is>
          <t>DALARNAS LÄN</t>
        </is>
      </c>
      <c r="E73" t="inlineStr">
        <is>
          <t>SMEDJEBACKEN</t>
        </is>
      </c>
      <c r="G73" t="n">
        <v>7.2</v>
      </c>
      <c r="H73" t="n">
        <v>0</v>
      </c>
      <c r="I73" t="n">
        <v>0</v>
      </c>
      <c r="J73" t="n">
        <v>0</v>
      </c>
      <c r="K73" t="n">
        <v>0</v>
      </c>
      <c r="L73" t="n">
        <v>0</v>
      </c>
      <c r="M73" t="n">
        <v>0</v>
      </c>
      <c r="N73" t="n">
        <v>0</v>
      </c>
      <c r="O73" t="n">
        <v>0</v>
      </c>
      <c r="P73" t="n">
        <v>0</v>
      </c>
      <c r="Q73" t="n">
        <v>0</v>
      </c>
      <c r="R73" s="2" t="inlineStr"/>
    </row>
    <row r="74" ht="15" customHeight="1">
      <c r="A74" t="inlineStr">
        <is>
          <t>A 25671-2019</t>
        </is>
      </c>
      <c r="B74" s="1" t="n">
        <v>43607</v>
      </c>
      <c r="C74" s="1" t="n">
        <v>45834</v>
      </c>
      <c r="D74" t="inlineStr">
        <is>
          <t>DALARNAS LÄN</t>
        </is>
      </c>
      <c r="E74" t="inlineStr">
        <is>
          <t>SMEDJEBACKEN</t>
        </is>
      </c>
      <c r="F74" t="inlineStr">
        <is>
          <t>Övriga Aktiebolag</t>
        </is>
      </c>
      <c r="G74" t="n">
        <v>2.7</v>
      </c>
      <c r="H74" t="n">
        <v>0</v>
      </c>
      <c r="I74" t="n">
        <v>0</v>
      </c>
      <c r="J74" t="n">
        <v>0</v>
      </c>
      <c r="K74" t="n">
        <v>0</v>
      </c>
      <c r="L74" t="n">
        <v>0</v>
      </c>
      <c r="M74" t="n">
        <v>0</v>
      </c>
      <c r="N74" t="n">
        <v>0</v>
      </c>
      <c r="O74" t="n">
        <v>0</v>
      </c>
      <c r="P74" t="n">
        <v>0</v>
      </c>
      <c r="Q74" t="n">
        <v>0</v>
      </c>
      <c r="R74" s="2" t="inlineStr"/>
    </row>
    <row r="75" ht="15" customHeight="1">
      <c r="A75" t="inlineStr">
        <is>
          <t>A 27354-2019</t>
        </is>
      </c>
      <c r="B75" s="1" t="n">
        <v>43616</v>
      </c>
      <c r="C75" s="1" t="n">
        <v>45834</v>
      </c>
      <c r="D75" t="inlineStr">
        <is>
          <t>DALARNAS LÄN</t>
        </is>
      </c>
      <c r="E75" t="inlineStr">
        <is>
          <t>SMEDJEBACKEN</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27345-2019</t>
        </is>
      </c>
      <c r="B76" s="1" t="n">
        <v>43616</v>
      </c>
      <c r="C76" s="1" t="n">
        <v>45834</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27351-2019</t>
        </is>
      </c>
      <c r="B77" s="1" t="n">
        <v>43616</v>
      </c>
      <c r="C77" s="1" t="n">
        <v>45834</v>
      </c>
      <c r="D77" t="inlineStr">
        <is>
          <t>DALARNAS LÄN</t>
        </is>
      </c>
      <c r="E77" t="inlineStr">
        <is>
          <t>SMEDJEBACKEN</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27352-2019</t>
        </is>
      </c>
      <c r="B78" s="1" t="n">
        <v>43616</v>
      </c>
      <c r="C78" s="1" t="n">
        <v>45834</v>
      </c>
      <c r="D78" t="inlineStr">
        <is>
          <t>DALARNAS LÄN</t>
        </is>
      </c>
      <c r="E78" t="inlineStr">
        <is>
          <t>SMEDJEBACKEN</t>
        </is>
      </c>
      <c r="F78" t="inlineStr">
        <is>
          <t>Sveaskog</t>
        </is>
      </c>
      <c r="G78" t="n">
        <v>0.6</v>
      </c>
      <c r="H78" t="n">
        <v>0</v>
      </c>
      <c r="I78" t="n">
        <v>0</v>
      </c>
      <c r="J78" t="n">
        <v>0</v>
      </c>
      <c r="K78" t="n">
        <v>0</v>
      </c>
      <c r="L78" t="n">
        <v>0</v>
      </c>
      <c r="M78" t="n">
        <v>0</v>
      </c>
      <c r="N78" t="n">
        <v>0</v>
      </c>
      <c r="O78" t="n">
        <v>0</v>
      </c>
      <c r="P78" t="n">
        <v>0</v>
      </c>
      <c r="Q78" t="n">
        <v>0</v>
      </c>
      <c r="R78" s="2" t="inlineStr"/>
    </row>
    <row r="79" ht="15" customHeight="1">
      <c r="A79" t="inlineStr">
        <is>
          <t>A 29124-2019</t>
        </is>
      </c>
      <c r="B79" s="1" t="n">
        <v>43628</v>
      </c>
      <c r="C79" s="1" t="n">
        <v>45834</v>
      </c>
      <c r="D79" t="inlineStr">
        <is>
          <t>DALARNAS LÄN</t>
        </is>
      </c>
      <c r="E79" t="inlineStr">
        <is>
          <t>SMEDJEBACKEN</t>
        </is>
      </c>
      <c r="G79" t="n">
        <v>1.9</v>
      </c>
      <c r="H79" t="n">
        <v>0</v>
      </c>
      <c r="I79" t="n">
        <v>0</v>
      </c>
      <c r="J79" t="n">
        <v>0</v>
      </c>
      <c r="K79" t="n">
        <v>0</v>
      </c>
      <c r="L79" t="n">
        <v>0</v>
      </c>
      <c r="M79" t="n">
        <v>0</v>
      </c>
      <c r="N79" t="n">
        <v>0</v>
      </c>
      <c r="O79" t="n">
        <v>0</v>
      </c>
      <c r="P79" t="n">
        <v>0</v>
      </c>
      <c r="Q79" t="n">
        <v>0</v>
      </c>
      <c r="R79" s="2" t="inlineStr"/>
    </row>
    <row r="80" ht="15" customHeight="1">
      <c r="A80" t="inlineStr">
        <is>
          <t>A 29467-2019</t>
        </is>
      </c>
      <c r="B80" s="1" t="n">
        <v>43629</v>
      </c>
      <c r="C80" s="1" t="n">
        <v>45834</v>
      </c>
      <c r="D80" t="inlineStr">
        <is>
          <t>DALARNAS LÄN</t>
        </is>
      </c>
      <c r="E80" t="inlineStr">
        <is>
          <t>SMEDJEBACKEN</t>
        </is>
      </c>
      <c r="G80" t="n">
        <v>2.9</v>
      </c>
      <c r="H80" t="n">
        <v>0</v>
      </c>
      <c r="I80" t="n">
        <v>0</v>
      </c>
      <c r="J80" t="n">
        <v>0</v>
      </c>
      <c r="K80" t="n">
        <v>0</v>
      </c>
      <c r="L80" t="n">
        <v>0</v>
      </c>
      <c r="M80" t="n">
        <v>0</v>
      </c>
      <c r="N80" t="n">
        <v>0</v>
      </c>
      <c r="O80" t="n">
        <v>0</v>
      </c>
      <c r="P80" t="n">
        <v>0</v>
      </c>
      <c r="Q80" t="n">
        <v>0</v>
      </c>
      <c r="R80" s="2" t="inlineStr"/>
    </row>
    <row r="81" ht="15" customHeight="1">
      <c r="A81" t="inlineStr">
        <is>
          <t>A 29661-2019</t>
        </is>
      </c>
      <c r="B81" s="1" t="n">
        <v>43630</v>
      </c>
      <c r="C81" s="1" t="n">
        <v>45834</v>
      </c>
      <c r="D81" t="inlineStr">
        <is>
          <t>DALARNAS LÄN</t>
        </is>
      </c>
      <c r="E81" t="inlineStr">
        <is>
          <t>SMEDJEBACKEN</t>
        </is>
      </c>
      <c r="G81" t="n">
        <v>3.6</v>
      </c>
      <c r="H81" t="n">
        <v>0</v>
      </c>
      <c r="I81" t="n">
        <v>0</v>
      </c>
      <c r="J81" t="n">
        <v>0</v>
      </c>
      <c r="K81" t="n">
        <v>0</v>
      </c>
      <c r="L81" t="n">
        <v>0</v>
      </c>
      <c r="M81" t="n">
        <v>0</v>
      </c>
      <c r="N81" t="n">
        <v>0</v>
      </c>
      <c r="O81" t="n">
        <v>0</v>
      </c>
      <c r="P81" t="n">
        <v>0</v>
      </c>
      <c r="Q81" t="n">
        <v>0</v>
      </c>
      <c r="R81" s="2" t="inlineStr"/>
    </row>
    <row r="82" ht="15" customHeight="1">
      <c r="A82" t="inlineStr">
        <is>
          <t>A 32138-2019</t>
        </is>
      </c>
      <c r="B82" s="1" t="n">
        <v>43643</v>
      </c>
      <c r="C82" s="1" t="n">
        <v>45834</v>
      </c>
      <c r="D82" t="inlineStr">
        <is>
          <t>DALARNAS LÄN</t>
        </is>
      </c>
      <c r="E82" t="inlineStr">
        <is>
          <t>SMEDJEBACKEN</t>
        </is>
      </c>
      <c r="G82" t="n">
        <v>0.8</v>
      </c>
      <c r="H82" t="n">
        <v>0</v>
      </c>
      <c r="I82" t="n">
        <v>0</v>
      </c>
      <c r="J82" t="n">
        <v>0</v>
      </c>
      <c r="K82" t="n">
        <v>0</v>
      </c>
      <c r="L82" t="n">
        <v>0</v>
      </c>
      <c r="M82" t="n">
        <v>0</v>
      </c>
      <c r="N82" t="n">
        <v>0</v>
      </c>
      <c r="O82" t="n">
        <v>0</v>
      </c>
      <c r="P82" t="n">
        <v>0</v>
      </c>
      <c r="Q82" t="n">
        <v>0</v>
      </c>
      <c r="R82" s="2" t="inlineStr"/>
    </row>
    <row r="83" ht="15" customHeight="1">
      <c r="A83" t="inlineStr">
        <is>
          <t>A 32457-2019</t>
        </is>
      </c>
      <c r="B83" s="1" t="n">
        <v>43644</v>
      </c>
      <c r="C83" s="1" t="n">
        <v>45834</v>
      </c>
      <c r="D83" t="inlineStr">
        <is>
          <t>DALARNAS LÄN</t>
        </is>
      </c>
      <c r="E83" t="inlineStr">
        <is>
          <t>SMEDJEBACKEN</t>
        </is>
      </c>
      <c r="G83" t="n">
        <v>2.3</v>
      </c>
      <c r="H83" t="n">
        <v>0</v>
      </c>
      <c r="I83" t="n">
        <v>0</v>
      </c>
      <c r="J83" t="n">
        <v>0</v>
      </c>
      <c r="K83" t="n">
        <v>0</v>
      </c>
      <c r="L83" t="n">
        <v>0</v>
      </c>
      <c r="M83" t="n">
        <v>0</v>
      </c>
      <c r="N83" t="n">
        <v>0</v>
      </c>
      <c r="O83" t="n">
        <v>0</v>
      </c>
      <c r="P83" t="n">
        <v>0</v>
      </c>
      <c r="Q83" t="n">
        <v>0</v>
      </c>
      <c r="R83" s="2" t="inlineStr"/>
    </row>
    <row r="84" ht="15" customHeight="1">
      <c r="A84" t="inlineStr">
        <is>
          <t>A 33859-2019</t>
        </is>
      </c>
      <c r="B84" s="1" t="n">
        <v>43652</v>
      </c>
      <c r="C84" s="1" t="n">
        <v>45834</v>
      </c>
      <c r="D84" t="inlineStr">
        <is>
          <t>DALARNAS LÄN</t>
        </is>
      </c>
      <c r="E84" t="inlineStr">
        <is>
          <t>SMEDJEBACKEN</t>
        </is>
      </c>
      <c r="G84" t="n">
        <v>1.4</v>
      </c>
      <c r="H84" t="n">
        <v>0</v>
      </c>
      <c r="I84" t="n">
        <v>0</v>
      </c>
      <c r="J84" t="n">
        <v>0</v>
      </c>
      <c r="K84" t="n">
        <v>0</v>
      </c>
      <c r="L84" t="n">
        <v>0</v>
      </c>
      <c r="M84" t="n">
        <v>0</v>
      </c>
      <c r="N84" t="n">
        <v>0</v>
      </c>
      <c r="O84" t="n">
        <v>0</v>
      </c>
      <c r="P84" t="n">
        <v>0</v>
      </c>
      <c r="Q84" t="n">
        <v>0</v>
      </c>
      <c r="R84" s="2" t="inlineStr"/>
    </row>
    <row r="85" ht="15" customHeight="1">
      <c r="A85" t="inlineStr">
        <is>
          <t>A 37360-2019</t>
        </is>
      </c>
      <c r="B85" s="1" t="n">
        <v>43678</v>
      </c>
      <c r="C85" s="1" t="n">
        <v>45834</v>
      </c>
      <c r="D85" t="inlineStr">
        <is>
          <t>DALARNAS LÄN</t>
        </is>
      </c>
      <c r="E85" t="inlineStr">
        <is>
          <t>SMEDJEBACKEN</t>
        </is>
      </c>
      <c r="G85" t="n">
        <v>1.1</v>
      </c>
      <c r="H85" t="n">
        <v>0</v>
      </c>
      <c r="I85" t="n">
        <v>0</v>
      </c>
      <c r="J85" t="n">
        <v>0</v>
      </c>
      <c r="K85" t="n">
        <v>0</v>
      </c>
      <c r="L85" t="n">
        <v>0</v>
      </c>
      <c r="M85" t="n">
        <v>0</v>
      </c>
      <c r="N85" t="n">
        <v>0</v>
      </c>
      <c r="O85" t="n">
        <v>0</v>
      </c>
      <c r="P85" t="n">
        <v>0</v>
      </c>
      <c r="Q85" t="n">
        <v>0</v>
      </c>
      <c r="R85" s="2" t="inlineStr"/>
    </row>
    <row r="86" ht="15" customHeight="1">
      <c r="A86" t="inlineStr">
        <is>
          <t>A 37368-2019</t>
        </is>
      </c>
      <c r="B86" s="1" t="n">
        <v>43678</v>
      </c>
      <c r="C86" s="1" t="n">
        <v>45834</v>
      </c>
      <c r="D86" t="inlineStr">
        <is>
          <t>DALARNAS LÄN</t>
        </is>
      </c>
      <c r="E86" t="inlineStr">
        <is>
          <t>SMEDJEBACKEN</t>
        </is>
      </c>
      <c r="G86" t="n">
        <v>2.3</v>
      </c>
      <c r="H86" t="n">
        <v>0</v>
      </c>
      <c r="I86" t="n">
        <v>0</v>
      </c>
      <c r="J86" t="n">
        <v>0</v>
      </c>
      <c r="K86" t="n">
        <v>0</v>
      </c>
      <c r="L86" t="n">
        <v>0</v>
      </c>
      <c r="M86" t="n">
        <v>0</v>
      </c>
      <c r="N86" t="n">
        <v>0</v>
      </c>
      <c r="O86" t="n">
        <v>0</v>
      </c>
      <c r="P86" t="n">
        <v>0</v>
      </c>
      <c r="Q86" t="n">
        <v>0</v>
      </c>
      <c r="R86" s="2" t="inlineStr"/>
    </row>
    <row r="87" ht="15" customHeight="1">
      <c r="A87" t="inlineStr">
        <is>
          <t>A 38152-2019</t>
        </is>
      </c>
      <c r="B87" s="1" t="n">
        <v>43684</v>
      </c>
      <c r="C87" s="1" t="n">
        <v>45834</v>
      </c>
      <c r="D87" t="inlineStr">
        <is>
          <t>DALARNAS LÄN</t>
        </is>
      </c>
      <c r="E87" t="inlineStr">
        <is>
          <t>SMEDJEBACKEN</t>
        </is>
      </c>
      <c r="G87" t="n">
        <v>2.5</v>
      </c>
      <c r="H87" t="n">
        <v>0</v>
      </c>
      <c r="I87" t="n">
        <v>0</v>
      </c>
      <c r="J87" t="n">
        <v>0</v>
      </c>
      <c r="K87" t="n">
        <v>0</v>
      </c>
      <c r="L87" t="n">
        <v>0</v>
      </c>
      <c r="M87" t="n">
        <v>0</v>
      </c>
      <c r="N87" t="n">
        <v>0</v>
      </c>
      <c r="O87" t="n">
        <v>0</v>
      </c>
      <c r="P87" t="n">
        <v>0</v>
      </c>
      <c r="Q87" t="n">
        <v>0</v>
      </c>
      <c r="R87" s="2" t="inlineStr"/>
    </row>
    <row r="88" ht="15" customHeight="1">
      <c r="A88" t="inlineStr">
        <is>
          <t>A 38149-2019</t>
        </is>
      </c>
      <c r="B88" s="1" t="n">
        <v>43684</v>
      </c>
      <c r="C88" s="1" t="n">
        <v>45834</v>
      </c>
      <c r="D88" t="inlineStr">
        <is>
          <t>DALARNAS LÄN</t>
        </is>
      </c>
      <c r="E88" t="inlineStr">
        <is>
          <t>SMEDJEBACKEN</t>
        </is>
      </c>
      <c r="G88" t="n">
        <v>3.5</v>
      </c>
      <c r="H88" t="n">
        <v>0</v>
      </c>
      <c r="I88" t="n">
        <v>0</v>
      </c>
      <c r="J88" t="n">
        <v>0</v>
      </c>
      <c r="K88" t="n">
        <v>0</v>
      </c>
      <c r="L88" t="n">
        <v>0</v>
      </c>
      <c r="M88" t="n">
        <v>0</v>
      </c>
      <c r="N88" t="n">
        <v>0</v>
      </c>
      <c r="O88" t="n">
        <v>0</v>
      </c>
      <c r="P88" t="n">
        <v>0</v>
      </c>
      <c r="Q88" t="n">
        <v>0</v>
      </c>
      <c r="R88" s="2" t="inlineStr"/>
    </row>
    <row r="89" ht="15" customHeight="1">
      <c r="A89" t="inlineStr">
        <is>
          <t>A 38842-2019</t>
        </is>
      </c>
      <c r="B89" s="1" t="n">
        <v>43689</v>
      </c>
      <c r="C89" s="1" t="n">
        <v>45834</v>
      </c>
      <c r="D89" t="inlineStr">
        <is>
          <t>DALARNAS LÄN</t>
        </is>
      </c>
      <c r="E89" t="inlineStr">
        <is>
          <t>SMEDJEBACKEN</t>
        </is>
      </c>
      <c r="G89" t="n">
        <v>0.6</v>
      </c>
      <c r="H89" t="n">
        <v>0</v>
      </c>
      <c r="I89" t="n">
        <v>0</v>
      </c>
      <c r="J89" t="n">
        <v>0</v>
      </c>
      <c r="K89" t="n">
        <v>0</v>
      </c>
      <c r="L89" t="n">
        <v>0</v>
      </c>
      <c r="M89" t="n">
        <v>0</v>
      </c>
      <c r="N89" t="n">
        <v>0</v>
      </c>
      <c r="O89" t="n">
        <v>0</v>
      </c>
      <c r="P89" t="n">
        <v>0</v>
      </c>
      <c r="Q89" t="n">
        <v>0</v>
      </c>
      <c r="R89" s="2" t="inlineStr"/>
    </row>
    <row r="90" ht="15" customHeight="1">
      <c r="A90" t="inlineStr">
        <is>
          <t>A 40067-2019</t>
        </is>
      </c>
      <c r="B90" s="1" t="n">
        <v>43693</v>
      </c>
      <c r="C90" s="1" t="n">
        <v>45834</v>
      </c>
      <c r="D90" t="inlineStr">
        <is>
          <t>DALARNAS LÄN</t>
        </is>
      </c>
      <c r="E90" t="inlineStr">
        <is>
          <t>SMEDJEBACKEN</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40129-2019</t>
        </is>
      </c>
      <c r="B91" s="1" t="n">
        <v>43693</v>
      </c>
      <c r="C91" s="1" t="n">
        <v>45834</v>
      </c>
      <c r="D91" t="inlineStr">
        <is>
          <t>DALARNAS LÄN</t>
        </is>
      </c>
      <c r="E91" t="inlineStr">
        <is>
          <t>SMEDJEBACKEN</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40828-2019</t>
        </is>
      </c>
      <c r="B92" s="1" t="n">
        <v>43697</v>
      </c>
      <c r="C92" s="1" t="n">
        <v>45834</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41421-2019</t>
        </is>
      </c>
      <c r="B93" s="1" t="n">
        <v>43698</v>
      </c>
      <c r="C93" s="1" t="n">
        <v>45834</v>
      </c>
      <c r="D93" t="inlineStr">
        <is>
          <t>DALARNAS LÄN</t>
        </is>
      </c>
      <c r="E93" t="inlineStr">
        <is>
          <t>SMEDJEBACKEN</t>
        </is>
      </c>
      <c r="F93" t="inlineStr">
        <is>
          <t>Kyrkan</t>
        </is>
      </c>
      <c r="G93" t="n">
        <v>5.8</v>
      </c>
      <c r="H93" t="n">
        <v>0</v>
      </c>
      <c r="I93" t="n">
        <v>0</v>
      </c>
      <c r="J93" t="n">
        <v>0</v>
      </c>
      <c r="K93" t="n">
        <v>0</v>
      </c>
      <c r="L93" t="n">
        <v>0</v>
      </c>
      <c r="M93" t="n">
        <v>0</v>
      </c>
      <c r="N93" t="n">
        <v>0</v>
      </c>
      <c r="O93" t="n">
        <v>0</v>
      </c>
      <c r="P93" t="n">
        <v>0</v>
      </c>
      <c r="Q93" t="n">
        <v>0</v>
      </c>
      <c r="R93" s="2" t="inlineStr"/>
    </row>
    <row r="94" ht="15" customHeight="1">
      <c r="A94" t="inlineStr">
        <is>
          <t>A 41803-2019</t>
        </is>
      </c>
      <c r="B94" s="1" t="n">
        <v>43700</v>
      </c>
      <c r="C94" s="1" t="n">
        <v>45834</v>
      </c>
      <c r="D94" t="inlineStr">
        <is>
          <t>DALARNAS LÄN</t>
        </is>
      </c>
      <c r="E94" t="inlineStr">
        <is>
          <t>SMEDJEBACKEN</t>
        </is>
      </c>
      <c r="G94" t="n">
        <v>4.8</v>
      </c>
      <c r="H94" t="n">
        <v>0</v>
      </c>
      <c r="I94" t="n">
        <v>0</v>
      </c>
      <c r="J94" t="n">
        <v>0</v>
      </c>
      <c r="K94" t="n">
        <v>0</v>
      </c>
      <c r="L94" t="n">
        <v>0</v>
      </c>
      <c r="M94" t="n">
        <v>0</v>
      </c>
      <c r="N94" t="n">
        <v>0</v>
      </c>
      <c r="O94" t="n">
        <v>0</v>
      </c>
      <c r="P94" t="n">
        <v>0</v>
      </c>
      <c r="Q94" t="n">
        <v>0</v>
      </c>
      <c r="R94" s="2" t="inlineStr"/>
    </row>
    <row r="95" ht="15" customHeight="1">
      <c r="A95" t="inlineStr">
        <is>
          <t>A 41986-2019</t>
        </is>
      </c>
      <c r="B95" s="1" t="n">
        <v>43700</v>
      </c>
      <c r="C95" s="1" t="n">
        <v>45834</v>
      </c>
      <c r="D95" t="inlineStr">
        <is>
          <t>DALARNAS LÄN</t>
        </is>
      </c>
      <c r="E95" t="inlineStr">
        <is>
          <t>SMEDJEBACKEN</t>
        </is>
      </c>
      <c r="G95" t="n">
        <v>0.8</v>
      </c>
      <c r="H95" t="n">
        <v>0</v>
      </c>
      <c r="I95" t="n">
        <v>0</v>
      </c>
      <c r="J95" t="n">
        <v>0</v>
      </c>
      <c r="K95" t="n">
        <v>0</v>
      </c>
      <c r="L95" t="n">
        <v>0</v>
      </c>
      <c r="M95" t="n">
        <v>0</v>
      </c>
      <c r="N95" t="n">
        <v>0</v>
      </c>
      <c r="O95" t="n">
        <v>0</v>
      </c>
      <c r="P95" t="n">
        <v>0</v>
      </c>
      <c r="Q95" t="n">
        <v>0</v>
      </c>
      <c r="R95" s="2" t="inlineStr"/>
    </row>
    <row r="96" ht="15" customHeight="1">
      <c r="A96" t="inlineStr">
        <is>
          <t>A 42186-2019</t>
        </is>
      </c>
      <c r="B96" s="1" t="n">
        <v>43703</v>
      </c>
      <c r="C96" s="1" t="n">
        <v>45834</v>
      </c>
      <c r="D96" t="inlineStr">
        <is>
          <t>DALARNAS LÄN</t>
        </is>
      </c>
      <c r="E96" t="inlineStr">
        <is>
          <t>SMEDJEBACKEN</t>
        </is>
      </c>
      <c r="G96" t="n">
        <v>8</v>
      </c>
      <c r="H96" t="n">
        <v>0</v>
      </c>
      <c r="I96" t="n">
        <v>0</v>
      </c>
      <c r="J96" t="n">
        <v>0</v>
      </c>
      <c r="K96" t="n">
        <v>0</v>
      </c>
      <c r="L96" t="n">
        <v>0</v>
      </c>
      <c r="M96" t="n">
        <v>0</v>
      </c>
      <c r="N96" t="n">
        <v>0</v>
      </c>
      <c r="O96" t="n">
        <v>0</v>
      </c>
      <c r="P96" t="n">
        <v>0</v>
      </c>
      <c r="Q96" t="n">
        <v>0</v>
      </c>
      <c r="R96" s="2" t="inlineStr"/>
    </row>
    <row r="97" ht="15" customHeight="1">
      <c r="A97" t="inlineStr">
        <is>
          <t>A 42201-2019</t>
        </is>
      </c>
      <c r="B97" s="1" t="n">
        <v>43703</v>
      </c>
      <c r="C97" s="1" t="n">
        <v>45834</v>
      </c>
      <c r="D97" t="inlineStr">
        <is>
          <t>DALARNAS LÄN</t>
        </is>
      </c>
      <c r="E97" t="inlineStr">
        <is>
          <t>SMEDJEBACKEN</t>
        </is>
      </c>
      <c r="G97" t="n">
        <v>5.4</v>
      </c>
      <c r="H97" t="n">
        <v>0</v>
      </c>
      <c r="I97" t="n">
        <v>0</v>
      </c>
      <c r="J97" t="n">
        <v>0</v>
      </c>
      <c r="K97" t="n">
        <v>0</v>
      </c>
      <c r="L97" t="n">
        <v>0</v>
      </c>
      <c r="M97" t="n">
        <v>0</v>
      </c>
      <c r="N97" t="n">
        <v>0</v>
      </c>
      <c r="O97" t="n">
        <v>0</v>
      </c>
      <c r="P97" t="n">
        <v>0</v>
      </c>
      <c r="Q97" t="n">
        <v>0</v>
      </c>
      <c r="R97" s="2" t="inlineStr"/>
    </row>
    <row r="98" ht="15" customHeight="1">
      <c r="A98" t="inlineStr">
        <is>
          <t>A 42684-2019</t>
        </is>
      </c>
      <c r="B98" s="1" t="n">
        <v>43703</v>
      </c>
      <c r="C98" s="1" t="n">
        <v>45834</v>
      </c>
      <c r="D98" t="inlineStr">
        <is>
          <t>DALARNAS LÄN</t>
        </is>
      </c>
      <c r="E98" t="inlineStr">
        <is>
          <t>SMEDJEBACKEN</t>
        </is>
      </c>
      <c r="G98" t="n">
        <v>1.6</v>
      </c>
      <c r="H98" t="n">
        <v>0</v>
      </c>
      <c r="I98" t="n">
        <v>0</v>
      </c>
      <c r="J98" t="n">
        <v>0</v>
      </c>
      <c r="K98" t="n">
        <v>0</v>
      </c>
      <c r="L98" t="n">
        <v>0</v>
      </c>
      <c r="M98" t="n">
        <v>0</v>
      </c>
      <c r="N98" t="n">
        <v>0</v>
      </c>
      <c r="O98" t="n">
        <v>0</v>
      </c>
      <c r="P98" t="n">
        <v>0</v>
      </c>
      <c r="Q98" t="n">
        <v>0</v>
      </c>
      <c r="R98" s="2" t="inlineStr"/>
    </row>
    <row r="99" ht="15" customHeight="1">
      <c r="A99" t="inlineStr">
        <is>
          <t>A 42576-2019</t>
        </is>
      </c>
      <c r="B99" s="1" t="n">
        <v>43704</v>
      </c>
      <c r="C99" s="1" t="n">
        <v>45834</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43510-2019</t>
        </is>
      </c>
      <c r="B100" s="1" t="n">
        <v>43706</v>
      </c>
      <c r="C100" s="1" t="n">
        <v>45834</v>
      </c>
      <c r="D100" t="inlineStr">
        <is>
          <t>DALARNAS LÄN</t>
        </is>
      </c>
      <c r="E100" t="inlineStr">
        <is>
          <t>SMEDJEBACKEN</t>
        </is>
      </c>
      <c r="G100" t="n">
        <v>1.9</v>
      </c>
      <c r="H100" t="n">
        <v>0</v>
      </c>
      <c r="I100" t="n">
        <v>0</v>
      </c>
      <c r="J100" t="n">
        <v>0</v>
      </c>
      <c r="K100" t="n">
        <v>0</v>
      </c>
      <c r="L100" t="n">
        <v>0</v>
      </c>
      <c r="M100" t="n">
        <v>0</v>
      </c>
      <c r="N100" t="n">
        <v>0</v>
      </c>
      <c r="O100" t="n">
        <v>0</v>
      </c>
      <c r="P100" t="n">
        <v>0</v>
      </c>
      <c r="Q100" t="n">
        <v>0</v>
      </c>
      <c r="R100" s="2" t="inlineStr"/>
    </row>
    <row r="101" ht="15" customHeight="1">
      <c r="A101" t="inlineStr">
        <is>
          <t>A 48238-2019</t>
        </is>
      </c>
      <c r="B101" s="1" t="n">
        <v>43726</v>
      </c>
      <c r="C101" s="1" t="n">
        <v>45834</v>
      </c>
      <c r="D101" t="inlineStr">
        <is>
          <t>DALARNAS LÄN</t>
        </is>
      </c>
      <c r="E101" t="inlineStr">
        <is>
          <t>SMEDJEBACKEN</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48251-2019</t>
        </is>
      </c>
      <c r="B102" s="1" t="n">
        <v>43726</v>
      </c>
      <c r="C102" s="1" t="n">
        <v>45834</v>
      </c>
      <c r="D102" t="inlineStr">
        <is>
          <t>DALARNAS LÄN</t>
        </is>
      </c>
      <c r="E102" t="inlineStr">
        <is>
          <t>SMEDJEBACKEN</t>
        </is>
      </c>
      <c r="G102" t="n">
        <v>5.7</v>
      </c>
      <c r="H102" t="n">
        <v>0</v>
      </c>
      <c r="I102" t="n">
        <v>0</v>
      </c>
      <c r="J102" t="n">
        <v>0</v>
      </c>
      <c r="K102" t="n">
        <v>0</v>
      </c>
      <c r="L102" t="n">
        <v>0</v>
      </c>
      <c r="M102" t="n">
        <v>0</v>
      </c>
      <c r="N102" t="n">
        <v>0</v>
      </c>
      <c r="O102" t="n">
        <v>0</v>
      </c>
      <c r="P102" t="n">
        <v>0</v>
      </c>
      <c r="Q102" t="n">
        <v>0</v>
      </c>
      <c r="R102" s="2" t="inlineStr"/>
    </row>
    <row r="103" ht="15" customHeight="1">
      <c r="A103" t="inlineStr">
        <is>
          <t>A 49122-2019</t>
        </is>
      </c>
      <c r="B103" s="1" t="n">
        <v>43731</v>
      </c>
      <c r="C103" s="1" t="n">
        <v>45834</v>
      </c>
      <c r="D103" t="inlineStr">
        <is>
          <t>DALARNAS LÄN</t>
        </is>
      </c>
      <c r="E103" t="inlineStr">
        <is>
          <t>SMEDJEBACKEN</t>
        </is>
      </c>
      <c r="G103" t="n">
        <v>1.6</v>
      </c>
      <c r="H103" t="n">
        <v>0</v>
      </c>
      <c r="I103" t="n">
        <v>0</v>
      </c>
      <c r="J103" t="n">
        <v>0</v>
      </c>
      <c r="K103" t="n">
        <v>0</v>
      </c>
      <c r="L103" t="n">
        <v>0</v>
      </c>
      <c r="M103" t="n">
        <v>0</v>
      </c>
      <c r="N103" t="n">
        <v>0</v>
      </c>
      <c r="O103" t="n">
        <v>0</v>
      </c>
      <c r="P103" t="n">
        <v>0</v>
      </c>
      <c r="Q103" t="n">
        <v>0</v>
      </c>
      <c r="R103" s="2" t="inlineStr"/>
    </row>
    <row r="104" ht="15" customHeight="1">
      <c r="A104" t="inlineStr">
        <is>
          <t>A 49303-2019</t>
        </is>
      </c>
      <c r="B104" s="1" t="n">
        <v>43731</v>
      </c>
      <c r="C104" s="1" t="n">
        <v>45834</v>
      </c>
      <c r="D104" t="inlineStr">
        <is>
          <t>DALARNAS LÄN</t>
        </is>
      </c>
      <c r="E104" t="inlineStr">
        <is>
          <t>SMEDJEBACKEN</t>
        </is>
      </c>
      <c r="G104" t="n">
        <v>2.3</v>
      </c>
      <c r="H104" t="n">
        <v>0</v>
      </c>
      <c r="I104" t="n">
        <v>0</v>
      </c>
      <c r="J104" t="n">
        <v>0</v>
      </c>
      <c r="K104" t="n">
        <v>0</v>
      </c>
      <c r="L104" t="n">
        <v>0</v>
      </c>
      <c r="M104" t="n">
        <v>0</v>
      </c>
      <c r="N104" t="n">
        <v>0</v>
      </c>
      <c r="O104" t="n">
        <v>0</v>
      </c>
      <c r="P104" t="n">
        <v>0</v>
      </c>
      <c r="Q104" t="n">
        <v>0</v>
      </c>
      <c r="R104" s="2" t="inlineStr"/>
    </row>
    <row r="105" ht="15" customHeight="1">
      <c r="A105" t="inlineStr">
        <is>
          <t>A 51146-2019</t>
        </is>
      </c>
      <c r="B105" s="1" t="n">
        <v>43732</v>
      </c>
      <c r="C105" s="1" t="n">
        <v>45834</v>
      </c>
      <c r="D105" t="inlineStr">
        <is>
          <t>DALARNAS LÄN</t>
        </is>
      </c>
      <c r="E105" t="inlineStr">
        <is>
          <t>SMEDJEBACKEN</t>
        </is>
      </c>
      <c r="G105" t="n">
        <v>3.8</v>
      </c>
      <c r="H105" t="n">
        <v>0</v>
      </c>
      <c r="I105" t="n">
        <v>0</v>
      </c>
      <c r="J105" t="n">
        <v>0</v>
      </c>
      <c r="K105" t="n">
        <v>0</v>
      </c>
      <c r="L105" t="n">
        <v>0</v>
      </c>
      <c r="M105" t="n">
        <v>0</v>
      </c>
      <c r="N105" t="n">
        <v>0</v>
      </c>
      <c r="O105" t="n">
        <v>0</v>
      </c>
      <c r="P105" t="n">
        <v>0</v>
      </c>
      <c r="Q105" t="n">
        <v>0</v>
      </c>
      <c r="R105" s="2" t="inlineStr"/>
    </row>
    <row r="106" ht="15" customHeight="1">
      <c r="A106" t="inlineStr">
        <is>
          <t>A 52834-2019</t>
        </is>
      </c>
      <c r="B106" s="1" t="n">
        <v>43739</v>
      </c>
      <c r="C106" s="1" t="n">
        <v>45834</v>
      </c>
      <c r="D106" t="inlineStr">
        <is>
          <t>DALARNAS LÄN</t>
        </is>
      </c>
      <c r="E106" t="inlineStr">
        <is>
          <t>SMEDJEBACKEN</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54239-2019</t>
        </is>
      </c>
      <c r="B107" s="1" t="n">
        <v>43745</v>
      </c>
      <c r="C107" s="1" t="n">
        <v>45834</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54273-2019</t>
        </is>
      </c>
      <c r="B108" s="1" t="n">
        <v>43745</v>
      </c>
      <c r="C108" s="1" t="n">
        <v>45834</v>
      </c>
      <c r="D108" t="inlineStr">
        <is>
          <t>DALARNAS LÄN</t>
        </is>
      </c>
      <c r="E108" t="inlineStr">
        <is>
          <t>SMEDJEBACKEN</t>
        </is>
      </c>
      <c r="F108" t="inlineStr">
        <is>
          <t>Bergvik skog väst AB</t>
        </is>
      </c>
      <c r="G108" t="n">
        <v>7.2</v>
      </c>
      <c r="H108" t="n">
        <v>0</v>
      </c>
      <c r="I108" t="n">
        <v>0</v>
      </c>
      <c r="J108" t="n">
        <v>0</v>
      </c>
      <c r="K108" t="n">
        <v>0</v>
      </c>
      <c r="L108" t="n">
        <v>0</v>
      </c>
      <c r="M108" t="n">
        <v>0</v>
      </c>
      <c r="N108" t="n">
        <v>0</v>
      </c>
      <c r="O108" t="n">
        <v>0</v>
      </c>
      <c r="P108" t="n">
        <v>0</v>
      </c>
      <c r="Q108" t="n">
        <v>0</v>
      </c>
      <c r="R108" s="2" t="inlineStr"/>
    </row>
    <row r="109" ht="15" customHeight="1">
      <c r="A109" t="inlineStr">
        <is>
          <t>A 54250-2019</t>
        </is>
      </c>
      <c r="B109" s="1" t="n">
        <v>43745</v>
      </c>
      <c r="C109" s="1" t="n">
        <v>45834</v>
      </c>
      <c r="D109" t="inlineStr">
        <is>
          <t>DALARNAS LÄN</t>
        </is>
      </c>
      <c r="E109" t="inlineStr">
        <is>
          <t>SMEDJEBACKEN</t>
        </is>
      </c>
      <c r="F109" t="inlineStr">
        <is>
          <t>Bergvik skog väst AB</t>
        </is>
      </c>
      <c r="G109" t="n">
        <v>2.3</v>
      </c>
      <c r="H109" t="n">
        <v>0</v>
      </c>
      <c r="I109" t="n">
        <v>0</v>
      </c>
      <c r="J109" t="n">
        <v>0</v>
      </c>
      <c r="K109" t="n">
        <v>0</v>
      </c>
      <c r="L109" t="n">
        <v>0</v>
      </c>
      <c r="M109" t="n">
        <v>0</v>
      </c>
      <c r="N109" t="n">
        <v>0</v>
      </c>
      <c r="O109" t="n">
        <v>0</v>
      </c>
      <c r="P109" t="n">
        <v>0</v>
      </c>
      <c r="Q109" t="n">
        <v>0</v>
      </c>
      <c r="R109" s="2" t="inlineStr"/>
    </row>
    <row r="110" ht="15" customHeight="1">
      <c r="A110" t="inlineStr">
        <is>
          <t>A 55370-2019</t>
        </is>
      </c>
      <c r="B110" s="1" t="n">
        <v>43754</v>
      </c>
      <c r="C110" s="1" t="n">
        <v>45834</v>
      </c>
      <c r="D110" t="inlineStr">
        <is>
          <t>DALARNAS LÄN</t>
        </is>
      </c>
      <c r="E110" t="inlineStr">
        <is>
          <t>SMEDJEBACKEN</t>
        </is>
      </c>
      <c r="G110" t="n">
        <v>1.8</v>
      </c>
      <c r="H110" t="n">
        <v>0</v>
      </c>
      <c r="I110" t="n">
        <v>0</v>
      </c>
      <c r="J110" t="n">
        <v>0</v>
      </c>
      <c r="K110" t="n">
        <v>0</v>
      </c>
      <c r="L110" t="n">
        <v>0</v>
      </c>
      <c r="M110" t="n">
        <v>0</v>
      </c>
      <c r="N110" t="n">
        <v>0</v>
      </c>
      <c r="O110" t="n">
        <v>0</v>
      </c>
      <c r="P110" t="n">
        <v>0</v>
      </c>
      <c r="Q110" t="n">
        <v>0</v>
      </c>
      <c r="R110" s="2" t="inlineStr"/>
    </row>
    <row r="111" ht="15" customHeight="1">
      <c r="A111" t="inlineStr">
        <is>
          <t>A 54441-2019</t>
        </is>
      </c>
      <c r="B111" s="1" t="n">
        <v>43754</v>
      </c>
      <c r="C111" s="1" t="n">
        <v>45834</v>
      </c>
      <c r="D111" t="inlineStr">
        <is>
          <t>DALARNAS LÄN</t>
        </is>
      </c>
      <c r="E111" t="inlineStr">
        <is>
          <t>SMEDJEBACKEN</t>
        </is>
      </c>
      <c r="G111" t="n">
        <v>1.7</v>
      </c>
      <c r="H111" t="n">
        <v>0</v>
      </c>
      <c r="I111" t="n">
        <v>0</v>
      </c>
      <c r="J111" t="n">
        <v>0</v>
      </c>
      <c r="K111" t="n">
        <v>0</v>
      </c>
      <c r="L111" t="n">
        <v>0</v>
      </c>
      <c r="M111" t="n">
        <v>0</v>
      </c>
      <c r="N111" t="n">
        <v>0</v>
      </c>
      <c r="O111" t="n">
        <v>0</v>
      </c>
      <c r="P111" t="n">
        <v>0</v>
      </c>
      <c r="Q111" t="n">
        <v>0</v>
      </c>
      <c r="R111" s="2" t="inlineStr"/>
    </row>
    <row r="112" ht="15" customHeight="1">
      <c r="A112" t="inlineStr">
        <is>
          <t>A 55576-2019</t>
        </is>
      </c>
      <c r="B112" s="1" t="n">
        <v>43760</v>
      </c>
      <c r="C112" s="1" t="n">
        <v>45834</v>
      </c>
      <c r="D112" t="inlineStr">
        <is>
          <t>DALARNAS LÄN</t>
        </is>
      </c>
      <c r="E112" t="inlineStr">
        <is>
          <t>SMEDJEBACKEN</t>
        </is>
      </c>
      <c r="F112" t="inlineStr">
        <is>
          <t>Övriga Aktiebolag</t>
        </is>
      </c>
      <c r="G112" t="n">
        <v>5.2</v>
      </c>
      <c r="H112" t="n">
        <v>0</v>
      </c>
      <c r="I112" t="n">
        <v>0</v>
      </c>
      <c r="J112" t="n">
        <v>0</v>
      </c>
      <c r="K112" t="n">
        <v>0</v>
      </c>
      <c r="L112" t="n">
        <v>0</v>
      </c>
      <c r="M112" t="n">
        <v>0</v>
      </c>
      <c r="N112" t="n">
        <v>0</v>
      </c>
      <c r="O112" t="n">
        <v>0</v>
      </c>
      <c r="P112" t="n">
        <v>0</v>
      </c>
      <c r="Q112" t="n">
        <v>0</v>
      </c>
      <c r="R112" s="2" t="inlineStr"/>
    </row>
    <row r="113" ht="15" customHeight="1">
      <c r="A113" t="inlineStr">
        <is>
          <t>A 55633-2019</t>
        </is>
      </c>
      <c r="B113" s="1" t="n">
        <v>43760</v>
      </c>
      <c r="C113" s="1" t="n">
        <v>45834</v>
      </c>
      <c r="D113" t="inlineStr">
        <is>
          <t>DALARNAS LÄN</t>
        </is>
      </c>
      <c r="E113" t="inlineStr">
        <is>
          <t>SMEDJEBACKEN</t>
        </is>
      </c>
      <c r="G113" t="n">
        <v>0.8</v>
      </c>
      <c r="H113" t="n">
        <v>0</v>
      </c>
      <c r="I113" t="n">
        <v>0</v>
      </c>
      <c r="J113" t="n">
        <v>0</v>
      </c>
      <c r="K113" t="n">
        <v>0</v>
      </c>
      <c r="L113" t="n">
        <v>0</v>
      </c>
      <c r="M113" t="n">
        <v>0</v>
      </c>
      <c r="N113" t="n">
        <v>0</v>
      </c>
      <c r="O113" t="n">
        <v>0</v>
      </c>
      <c r="P113" t="n">
        <v>0</v>
      </c>
      <c r="Q113" t="n">
        <v>0</v>
      </c>
      <c r="R113" s="2" t="inlineStr"/>
    </row>
    <row r="114" ht="15" customHeight="1">
      <c r="A114" t="inlineStr">
        <is>
          <t>A 57067-2019</t>
        </is>
      </c>
      <c r="B114" s="1" t="n">
        <v>43766</v>
      </c>
      <c r="C114" s="1" t="n">
        <v>45834</v>
      </c>
      <c r="D114" t="inlineStr">
        <is>
          <t>DALARNAS LÄN</t>
        </is>
      </c>
      <c r="E114" t="inlineStr">
        <is>
          <t>SMEDJEBACKEN</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57357-2019</t>
        </is>
      </c>
      <c r="B115" s="1" t="n">
        <v>43767</v>
      </c>
      <c r="C115" s="1" t="n">
        <v>45834</v>
      </c>
      <c r="D115" t="inlineStr">
        <is>
          <t>DALARNAS LÄN</t>
        </is>
      </c>
      <c r="E115" t="inlineStr">
        <is>
          <t>SMEDJEBACKEN</t>
        </is>
      </c>
      <c r="G115" t="n">
        <v>5</v>
      </c>
      <c r="H115" t="n">
        <v>0</v>
      </c>
      <c r="I115" t="n">
        <v>0</v>
      </c>
      <c r="J115" t="n">
        <v>0</v>
      </c>
      <c r="K115" t="n">
        <v>0</v>
      </c>
      <c r="L115" t="n">
        <v>0</v>
      </c>
      <c r="M115" t="n">
        <v>0</v>
      </c>
      <c r="N115" t="n">
        <v>0</v>
      </c>
      <c r="O115" t="n">
        <v>0</v>
      </c>
      <c r="P115" t="n">
        <v>0</v>
      </c>
      <c r="Q115" t="n">
        <v>0</v>
      </c>
      <c r="R115" s="2" t="inlineStr"/>
    </row>
    <row r="116" ht="15" customHeight="1">
      <c r="A116" t="inlineStr">
        <is>
          <t>A 58674-2019</t>
        </is>
      </c>
      <c r="B116" s="1" t="n">
        <v>43773</v>
      </c>
      <c r="C116" s="1" t="n">
        <v>45834</v>
      </c>
      <c r="D116" t="inlineStr">
        <is>
          <t>DALARNAS LÄN</t>
        </is>
      </c>
      <c r="E116" t="inlineStr">
        <is>
          <t>SMEDJEBACKEN</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58603-2019</t>
        </is>
      </c>
      <c r="B117" s="1" t="n">
        <v>43773</v>
      </c>
      <c r="C117" s="1" t="n">
        <v>45834</v>
      </c>
      <c r="D117" t="inlineStr">
        <is>
          <t>DALARNAS LÄN</t>
        </is>
      </c>
      <c r="E117" t="inlineStr">
        <is>
          <t>SMEDJEBACKEN</t>
        </is>
      </c>
      <c r="G117" t="n">
        <v>6.2</v>
      </c>
      <c r="H117" t="n">
        <v>0</v>
      </c>
      <c r="I117" t="n">
        <v>0</v>
      </c>
      <c r="J117" t="n">
        <v>0</v>
      </c>
      <c r="K117" t="n">
        <v>0</v>
      </c>
      <c r="L117" t="n">
        <v>0</v>
      </c>
      <c r="M117" t="n">
        <v>0</v>
      </c>
      <c r="N117" t="n">
        <v>0</v>
      </c>
      <c r="O117" t="n">
        <v>0</v>
      </c>
      <c r="P117" t="n">
        <v>0</v>
      </c>
      <c r="Q117" t="n">
        <v>0</v>
      </c>
      <c r="R117" s="2" t="inlineStr"/>
    </row>
    <row r="118" ht="15" customHeight="1">
      <c r="A118" t="inlineStr">
        <is>
          <t>A 59267-2019</t>
        </is>
      </c>
      <c r="B118" s="1" t="n">
        <v>43775</v>
      </c>
      <c r="C118" s="1" t="n">
        <v>45834</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60095-2019</t>
        </is>
      </c>
      <c r="B119" s="1" t="n">
        <v>43777</v>
      </c>
      <c r="C119" s="1" t="n">
        <v>45834</v>
      </c>
      <c r="D119" t="inlineStr">
        <is>
          <t>DALARNAS LÄN</t>
        </is>
      </c>
      <c r="E119" t="inlineStr">
        <is>
          <t>SMEDJEBACKEN</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60148-2019</t>
        </is>
      </c>
      <c r="B120" s="1" t="n">
        <v>43779</v>
      </c>
      <c r="C120" s="1" t="n">
        <v>45834</v>
      </c>
      <c r="D120" t="inlineStr">
        <is>
          <t>DALARNAS LÄN</t>
        </is>
      </c>
      <c r="E120" t="inlineStr">
        <is>
          <t>SMEDJEBACKEN</t>
        </is>
      </c>
      <c r="G120" t="n">
        <v>2.5</v>
      </c>
      <c r="H120" t="n">
        <v>0</v>
      </c>
      <c r="I120" t="n">
        <v>0</v>
      </c>
      <c r="J120" t="n">
        <v>0</v>
      </c>
      <c r="K120" t="n">
        <v>0</v>
      </c>
      <c r="L120" t="n">
        <v>0</v>
      </c>
      <c r="M120" t="n">
        <v>0</v>
      </c>
      <c r="N120" t="n">
        <v>0</v>
      </c>
      <c r="O120" t="n">
        <v>0</v>
      </c>
      <c r="P120" t="n">
        <v>0</v>
      </c>
      <c r="Q120" t="n">
        <v>0</v>
      </c>
      <c r="R120" s="2" t="inlineStr"/>
    </row>
    <row r="121" ht="15" customHeight="1">
      <c r="A121" t="inlineStr">
        <is>
          <t>A 60421-2019</t>
        </is>
      </c>
      <c r="B121" s="1" t="n">
        <v>43780</v>
      </c>
      <c r="C121" s="1" t="n">
        <v>45834</v>
      </c>
      <c r="D121" t="inlineStr">
        <is>
          <t>DALARNAS LÄN</t>
        </is>
      </c>
      <c r="E121" t="inlineStr">
        <is>
          <t>SMEDJEBACKEN</t>
        </is>
      </c>
      <c r="G121" t="n">
        <v>3.1</v>
      </c>
      <c r="H121" t="n">
        <v>0</v>
      </c>
      <c r="I121" t="n">
        <v>0</v>
      </c>
      <c r="J121" t="n">
        <v>0</v>
      </c>
      <c r="K121" t="n">
        <v>0</v>
      </c>
      <c r="L121" t="n">
        <v>0</v>
      </c>
      <c r="M121" t="n">
        <v>0</v>
      </c>
      <c r="N121" t="n">
        <v>0</v>
      </c>
      <c r="O121" t="n">
        <v>0</v>
      </c>
      <c r="P121" t="n">
        <v>0</v>
      </c>
      <c r="Q121" t="n">
        <v>0</v>
      </c>
      <c r="R121" s="2" t="inlineStr"/>
    </row>
    <row r="122" ht="15" customHeight="1">
      <c r="A122" t="inlineStr">
        <is>
          <t>A 63796-2019</t>
        </is>
      </c>
      <c r="B122" s="1" t="n">
        <v>43795</v>
      </c>
      <c r="C122" s="1" t="n">
        <v>45834</v>
      </c>
      <c r="D122" t="inlineStr">
        <is>
          <t>DALARNAS LÄN</t>
        </is>
      </c>
      <c r="E122" t="inlineStr">
        <is>
          <t>SMEDJEBACKEN</t>
        </is>
      </c>
      <c r="G122" t="n">
        <v>1.2</v>
      </c>
      <c r="H122" t="n">
        <v>0</v>
      </c>
      <c r="I122" t="n">
        <v>0</v>
      </c>
      <c r="J122" t="n">
        <v>0</v>
      </c>
      <c r="K122" t="n">
        <v>0</v>
      </c>
      <c r="L122" t="n">
        <v>0</v>
      </c>
      <c r="M122" t="n">
        <v>0</v>
      </c>
      <c r="N122" t="n">
        <v>0</v>
      </c>
      <c r="O122" t="n">
        <v>0</v>
      </c>
      <c r="P122" t="n">
        <v>0</v>
      </c>
      <c r="Q122" t="n">
        <v>0</v>
      </c>
      <c r="R122" s="2" t="inlineStr"/>
    </row>
    <row r="123" ht="15" customHeight="1">
      <c r="A123" t="inlineStr">
        <is>
          <t>A 64705-2019</t>
        </is>
      </c>
      <c r="B123" s="1" t="n">
        <v>43798</v>
      </c>
      <c r="C123" s="1" t="n">
        <v>45834</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68938-2019</t>
        </is>
      </c>
      <c r="B124" s="1" t="n">
        <v>43822</v>
      </c>
      <c r="C124" s="1" t="n">
        <v>45834</v>
      </c>
      <c r="D124" t="inlineStr">
        <is>
          <t>DALARNAS LÄN</t>
        </is>
      </c>
      <c r="E124" t="inlineStr">
        <is>
          <t>SMEDJEBACKEN</t>
        </is>
      </c>
      <c r="G124" t="n">
        <v>1.5</v>
      </c>
      <c r="H124" t="n">
        <v>0</v>
      </c>
      <c r="I124" t="n">
        <v>0</v>
      </c>
      <c r="J124" t="n">
        <v>0</v>
      </c>
      <c r="K124" t="n">
        <v>0</v>
      </c>
      <c r="L124" t="n">
        <v>0</v>
      </c>
      <c r="M124" t="n">
        <v>0</v>
      </c>
      <c r="N124" t="n">
        <v>0</v>
      </c>
      <c r="O124" t="n">
        <v>0</v>
      </c>
      <c r="P124" t="n">
        <v>0</v>
      </c>
      <c r="Q124" t="n">
        <v>0</v>
      </c>
      <c r="R124" s="2" t="inlineStr"/>
    </row>
    <row r="125" ht="15" customHeight="1">
      <c r="A125" t="inlineStr">
        <is>
          <t>A 68937-2019</t>
        </is>
      </c>
      <c r="B125" s="1" t="n">
        <v>43822</v>
      </c>
      <c r="C125" s="1" t="n">
        <v>45834</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1080-2020</t>
        </is>
      </c>
      <c r="B126" s="1" t="n">
        <v>43840</v>
      </c>
      <c r="C126" s="1" t="n">
        <v>45834</v>
      </c>
      <c r="D126" t="inlineStr">
        <is>
          <t>DALARNAS LÄN</t>
        </is>
      </c>
      <c r="E126" t="inlineStr">
        <is>
          <t>SMEDJEBACKEN</t>
        </is>
      </c>
      <c r="G126" t="n">
        <v>2.9</v>
      </c>
      <c r="H126" t="n">
        <v>0</v>
      </c>
      <c r="I126" t="n">
        <v>0</v>
      </c>
      <c r="J126" t="n">
        <v>0</v>
      </c>
      <c r="K126" t="n">
        <v>0</v>
      </c>
      <c r="L126" t="n">
        <v>0</v>
      </c>
      <c r="M126" t="n">
        <v>0</v>
      </c>
      <c r="N126" t="n">
        <v>0</v>
      </c>
      <c r="O126" t="n">
        <v>0</v>
      </c>
      <c r="P126" t="n">
        <v>0</v>
      </c>
      <c r="Q126" t="n">
        <v>0</v>
      </c>
      <c r="R126" s="2" t="inlineStr"/>
    </row>
    <row r="127" ht="15" customHeight="1">
      <c r="A127" t="inlineStr">
        <is>
          <t>A 2333-2020</t>
        </is>
      </c>
      <c r="B127" s="1" t="n">
        <v>43840</v>
      </c>
      <c r="C127" s="1" t="n">
        <v>45834</v>
      </c>
      <c r="D127" t="inlineStr">
        <is>
          <t>DALARNAS LÄN</t>
        </is>
      </c>
      <c r="E127" t="inlineStr">
        <is>
          <t>SMEDJEBACKEN</t>
        </is>
      </c>
      <c r="G127" t="n">
        <v>4.5</v>
      </c>
      <c r="H127" t="n">
        <v>0</v>
      </c>
      <c r="I127" t="n">
        <v>0</v>
      </c>
      <c r="J127" t="n">
        <v>0</v>
      </c>
      <c r="K127" t="n">
        <v>0</v>
      </c>
      <c r="L127" t="n">
        <v>0</v>
      </c>
      <c r="M127" t="n">
        <v>0</v>
      </c>
      <c r="N127" t="n">
        <v>0</v>
      </c>
      <c r="O127" t="n">
        <v>0</v>
      </c>
      <c r="P127" t="n">
        <v>0</v>
      </c>
      <c r="Q127" t="n">
        <v>0</v>
      </c>
      <c r="R127" s="2" t="inlineStr"/>
    </row>
    <row r="128" ht="15" customHeight="1">
      <c r="A128" t="inlineStr">
        <is>
          <t>A 1119-2020</t>
        </is>
      </c>
      <c r="B128" s="1" t="n">
        <v>43840</v>
      </c>
      <c r="C128" s="1" t="n">
        <v>45834</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1287-2020</t>
        </is>
      </c>
      <c r="B129" s="1" t="n">
        <v>43842</v>
      </c>
      <c r="C129" s="1" t="n">
        <v>45834</v>
      </c>
      <c r="D129" t="inlineStr">
        <is>
          <t>DALARNAS LÄN</t>
        </is>
      </c>
      <c r="E129" t="inlineStr">
        <is>
          <t>SMEDJEBACKEN</t>
        </is>
      </c>
      <c r="G129" t="n">
        <v>1.3</v>
      </c>
      <c r="H129" t="n">
        <v>0</v>
      </c>
      <c r="I129" t="n">
        <v>0</v>
      </c>
      <c r="J129" t="n">
        <v>0</v>
      </c>
      <c r="K129" t="n">
        <v>0</v>
      </c>
      <c r="L129" t="n">
        <v>0</v>
      </c>
      <c r="M129" t="n">
        <v>0</v>
      </c>
      <c r="N129" t="n">
        <v>0</v>
      </c>
      <c r="O129" t="n">
        <v>0</v>
      </c>
      <c r="P129" t="n">
        <v>0</v>
      </c>
      <c r="Q129" t="n">
        <v>0</v>
      </c>
      <c r="R129" s="2" t="inlineStr"/>
    </row>
    <row r="130" ht="15" customHeight="1">
      <c r="A130" t="inlineStr">
        <is>
          <t>A 1470-2020</t>
        </is>
      </c>
      <c r="B130" s="1" t="n">
        <v>43843</v>
      </c>
      <c r="C130" s="1" t="n">
        <v>45834</v>
      </c>
      <c r="D130" t="inlineStr">
        <is>
          <t>DALARNAS LÄN</t>
        </is>
      </c>
      <c r="E130" t="inlineStr">
        <is>
          <t>SMEDJEBACKEN</t>
        </is>
      </c>
      <c r="G130" t="n">
        <v>4</v>
      </c>
      <c r="H130" t="n">
        <v>0</v>
      </c>
      <c r="I130" t="n">
        <v>0</v>
      </c>
      <c r="J130" t="n">
        <v>0</v>
      </c>
      <c r="K130" t="n">
        <v>0</v>
      </c>
      <c r="L130" t="n">
        <v>0</v>
      </c>
      <c r="M130" t="n">
        <v>0</v>
      </c>
      <c r="N130" t="n">
        <v>0</v>
      </c>
      <c r="O130" t="n">
        <v>0</v>
      </c>
      <c r="P130" t="n">
        <v>0</v>
      </c>
      <c r="Q130" t="n">
        <v>0</v>
      </c>
      <c r="R130" s="2" t="inlineStr"/>
    </row>
    <row r="131" ht="15" customHeight="1">
      <c r="A131" t="inlineStr">
        <is>
          <t>A 1466-2020</t>
        </is>
      </c>
      <c r="B131" s="1" t="n">
        <v>43843</v>
      </c>
      <c r="C131" s="1" t="n">
        <v>45834</v>
      </c>
      <c r="D131" t="inlineStr">
        <is>
          <t>DALARNAS LÄN</t>
        </is>
      </c>
      <c r="E131" t="inlineStr">
        <is>
          <t>SMEDJEBACKEN</t>
        </is>
      </c>
      <c r="G131" t="n">
        <v>1</v>
      </c>
      <c r="H131" t="n">
        <v>0</v>
      </c>
      <c r="I131" t="n">
        <v>0</v>
      </c>
      <c r="J131" t="n">
        <v>0</v>
      </c>
      <c r="K131" t="n">
        <v>0</v>
      </c>
      <c r="L131" t="n">
        <v>0</v>
      </c>
      <c r="M131" t="n">
        <v>0</v>
      </c>
      <c r="N131" t="n">
        <v>0</v>
      </c>
      <c r="O131" t="n">
        <v>0</v>
      </c>
      <c r="P131" t="n">
        <v>0</v>
      </c>
      <c r="Q131" t="n">
        <v>0</v>
      </c>
      <c r="R131" s="2" t="inlineStr"/>
    </row>
    <row r="132" ht="15" customHeight="1">
      <c r="A132" t="inlineStr">
        <is>
          <t>A 2044-2020</t>
        </is>
      </c>
      <c r="B132" s="1" t="n">
        <v>43845</v>
      </c>
      <c r="C132" s="1" t="n">
        <v>45834</v>
      </c>
      <c r="D132" t="inlineStr">
        <is>
          <t>DALARNAS LÄN</t>
        </is>
      </c>
      <c r="E132" t="inlineStr">
        <is>
          <t>SMEDJEBACKEN</t>
        </is>
      </c>
      <c r="F132" t="inlineStr">
        <is>
          <t>Kyrkan</t>
        </is>
      </c>
      <c r="G132" t="n">
        <v>5.1</v>
      </c>
      <c r="H132" t="n">
        <v>0</v>
      </c>
      <c r="I132" t="n">
        <v>0</v>
      </c>
      <c r="J132" t="n">
        <v>0</v>
      </c>
      <c r="K132" t="n">
        <v>0</v>
      </c>
      <c r="L132" t="n">
        <v>0</v>
      </c>
      <c r="M132" t="n">
        <v>0</v>
      </c>
      <c r="N132" t="n">
        <v>0</v>
      </c>
      <c r="O132" t="n">
        <v>0</v>
      </c>
      <c r="P132" t="n">
        <v>0</v>
      </c>
      <c r="Q132" t="n">
        <v>0</v>
      </c>
      <c r="R132" s="2" t="inlineStr"/>
    </row>
    <row r="133" ht="15" customHeight="1">
      <c r="A133" t="inlineStr">
        <is>
          <t>A 4046-2020</t>
        </is>
      </c>
      <c r="B133" s="1" t="n">
        <v>43846</v>
      </c>
      <c r="C133" s="1" t="n">
        <v>45834</v>
      </c>
      <c r="D133" t="inlineStr">
        <is>
          <t>DALARNAS LÄN</t>
        </is>
      </c>
      <c r="E133" t="inlineStr">
        <is>
          <t>SMEDJEBACKEN</t>
        </is>
      </c>
      <c r="G133" t="n">
        <v>0.8</v>
      </c>
      <c r="H133" t="n">
        <v>0</v>
      </c>
      <c r="I133" t="n">
        <v>0</v>
      </c>
      <c r="J133" t="n">
        <v>0</v>
      </c>
      <c r="K133" t="n">
        <v>0</v>
      </c>
      <c r="L133" t="n">
        <v>0</v>
      </c>
      <c r="M133" t="n">
        <v>0</v>
      </c>
      <c r="N133" t="n">
        <v>0</v>
      </c>
      <c r="O133" t="n">
        <v>0</v>
      </c>
      <c r="P133" t="n">
        <v>0</v>
      </c>
      <c r="Q133" t="n">
        <v>0</v>
      </c>
      <c r="R133" s="2" t="inlineStr"/>
    </row>
    <row r="134" ht="15" customHeight="1">
      <c r="A134" t="inlineStr">
        <is>
          <t>A 2989-2020</t>
        </is>
      </c>
      <c r="B134" s="1" t="n">
        <v>43850</v>
      </c>
      <c r="C134" s="1" t="n">
        <v>45834</v>
      </c>
      <c r="D134" t="inlineStr">
        <is>
          <t>DALARNAS LÄN</t>
        </is>
      </c>
      <c r="E134" t="inlineStr">
        <is>
          <t>SMEDJEBACKEN</t>
        </is>
      </c>
      <c r="G134" t="n">
        <v>0.6</v>
      </c>
      <c r="H134" t="n">
        <v>0</v>
      </c>
      <c r="I134" t="n">
        <v>0</v>
      </c>
      <c r="J134" t="n">
        <v>0</v>
      </c>
      <c r="K134" t="n">
        <v>0</v>
      </c>
      <c r="L134" t="n">
        <v>0</v>
      </c>
      <c r="M134" t="n">
        <v>0</v>
      </c>
      <c r="N134" t="n">
        <v>0</v>
      </c>
      <c r="O134" t="n">
        <v>0</v>
      </c>
      <c r="P134" t="n">
        <v>0</v>
      </c>
      <c r="Q134" t="n">
        <v>0</v>
      </c>
      <c r="R134" s="2" t="inlineStr"/>
    </row>
    <row r="135" ht="15" customHeight="1">
      <c r="A135" t="inlineStr">
        <is>
          <t>A 3219-2020</t>
        </is>
      </c>
      <c r="B135" s="1" t="n">
        <v>43851</v>
      </c>
      <c r="C135" s="1" t="n">
        <v>45834</v>
      </c>
      <c r="D135" t="inlineStr">
        <is>
          <t>DALARNAS LÄN</t>
        </is>
      </c>
      <c r="E135" t="inlineStr">
        <is>
          <t>SMEDJEBACKEN</t>
        </is>
      </c>
      <c r="G135" t="n">
        <v>7.2</v>
      </c>
      <c r="H135" t="n">
        <v>0</v>
      </c>
      <c r="I135" t="n">
        <v>0</v>
      </c>
      <c r="J135" t="n">
        <v>0</v>
      </c>
      <c r="K135" t="n">
        <v>0</v>
      </c>
      <c r="L135" t="n">
        <v>0</v>
      </c>
      <c r="M135" t="n">
        <v>0</v>
      </c>
      <c r="N135" t="n">
        <v>0</v>
      </c>
      <c r="O135" t="n">
        <v>0</v>
      </c>
      <c r="P135" t="n">
        <v>0</v>
      </c>
      <c r="Q135" t="n">
        <v>0</v>
      </c>
      <c r="R135" s="2" t="inlineStr"/>
    </row>
    <row r="136" ht="15" customHeight="1">
      <c r="A136" t="inlineStr">
        <is>
          <t>A 3601-2020</t>
        </is>
      </c>
      <c r="B136" s="1" t="n">
        <v>43853</v>
      </c>
      <c r="C136" s="1" t="n">
        <v>45834</v>
      </c>
      <c r="D136" t="inlineStr">
        <is>
          <t>DALARNAS LÄN</t>
        </is>
      </c>
      <c r="E136" t="inlineStr">
        <is>
          <t>SMEDJEBACKEN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5227-2020</t>
        </is>
      </c>
      <c r="B137" s="1" t="n">
        <v>43854</v>
      </c>
      <c r="C137" s="1" t="n">
        <v>45834</v>
      </c>
      <c r="D137" t="inlineStr">
        <is>
          <t>DALARNAS LÄN</t>
        </is>
      </c>
      <c r="E137" t="inlineStr">
        <is>
          <t>SMEDJEBACKEN</t>
        </is>
      </c>
      <c r="G137" t="n">
        <v>1.6</v>
      </c>
      <c r="H137" t="n">
        <v>0</v>
      </c>
      <c r="I137" t="n">
        <v>0</v>
      </c>
      <c r="J137" t="n">
        <v>0</v>
      </c>
      <c r="K137" t="n">
        <v>0</v>
      </c>
      <c r="L137" t="n">
        <v>0</v>
      </c>
      <c r="M137" t="n">
        <v>0</v>
      </c>
      <c r="N137" t="n">
        <v>0</v>
      </c>
      <c r="O137" t="n">
        <v>0</v>
      </c>
      <c r="P137" t="n">
        <v>0</v>
      </c>
      <c r="Q137" t="n">
        <v>0</v>
      </c>
      <c r="R137" s="2" t="inlineStr"/>
    </row>
    <row r="138" ht="15" customHeight="1">
      <c r="A138" t="inlineStr">
        <is>
          <t>A 5959-2020</t>
        </is>
      </c>
      <c r="B138" s="1" t="n">
        <v>43864</v>
      </c>
      <c r="C138" s="1" t="n">
        <v>45834</v>
      </c>
      <c r="D138" t="inlineStr">
        <is>
          <t>DALARNAS LÄN</t>
        </is>
      </c>
      <c r="E138" t="inlineStr">
        <is>
          <t>SMEDJEBACKEN</t>
        </is>
      </c>
      <c r="G138" t="n">
        <v>2.2</v>
      </c>
      <c r="H138" t="n">
        <v>0</v>
      </c>
      <c r="I138" t="n">
        <v>0</v>
      </c>
      <c r="J138" t="n">
        <v>0</v>
      </c>
      <c r="K138" t="n">
        <v>0</v>
      </c>
      <c r="L138" t="n">
        <v>0</v>
      </c>
      <c r="M138" t="n">
        <v>0</v>
      </c>
      <c r="N138" t="n">
        <v>0</v>
      </c>
      <c r="O138" t="n">
        <v>0</v>
      </c>
      <c r="P138" t="n">
        <v>0</v>
      </c>
      <c r="Q138" t="n">
        <v>0</v>
      </c>
      <c r="R138" s="2" t="inlineStr"/>
    </row>
    <row r="139" ht="15" customHeight="1">
      <c r="A139" t="inlineStr">
        <is>
          <t>A 6312-2020</t>
        </is>
      </c>
      <c r="B139" s="1" t="n">
        <v>43866</v>
      </c>
      <c r="C139" s="1" t="n">
        <v>45834</v>
      </c>
      <c r="D139" t="inlineStr">
        <is>
          <t>DALARNAS LÄN</t>
        </is>
      </c>
      <c r="E139" t="inlineStr">
        <is>
          <t>SMEDJEBACKEN</t>
        </is>
      </c>
      <c r="G139" t="n">
        <v>6.7</v>
      </c>
      <c r="H139" t="n">
        <v>0</v>
      </c>
      <c r="I139" t="n">
        <v>0</v>
      </c>
      <c r="J139" t="n">
        <v>0</v>
      </c>
      <c r="K139" t="n">
        <v>0</v>
      </c>
      <c r="L139" t="n">
        <v>0</v>
      </c>
      <c r="M139" t="n">
        <v>0</v>
      </c>
      <c r="N139" t="n">
        <v>0</v>
      </c>
      <c r="O139" t="n">
        <v>0</v>
      </c>
      <c r="P139" t="n">
        <v>0</v>
      </c>
      <c r="Q139" t="n">
        <v>0</v>
      </c>
      <c r="R139" s="2" t="inlineStr"/>
    </row>
    <row r="140" ht="15" customHeight="1">
      <c r="A140" t="inlineStr">
        <is>
          <t>A 7721-2020</t>
        </is>
      </c>
      <c r="B140" s="1" t="n">
        <v>43872</v>
      </c>
      <c r="C140" s="1" t="n">
        <v>45834</v>
      </c>
      <c r="D140" t="inlineStr">
        <is>
          <t>DALARNAS LÄN</t>
        </is>
      </c>
      <c r="E140" t="inlineStr">
        <is>
          <t>SMEDJEBACKEN</t>
        </is>
      </c>
      <c r="G140" t="n">
        <v>1</v>
      </c>
      <c r="H140" t="n">
        <v>0</v>
      </c>
      <c r="I140" t="n">
        <v>0</v>
      </c>
      <c r="J140" t="n">
        <v>0</v>
      </c>
      <c r="K140" t="n">
        <v>0</v>
      </c>
      <c r="L140" t="n">
        <v>0</v>
      </c>
      <c r="M140" t="n">
        <v>0</v>
      </c>
      <c r="N140" t="n">
        <v>0</v>
      </c>
      <c r="O140" t="n">
        <v>0</v>
      </c>
      <c r="P140" t="n">
        <v>0</v>
      </c>
      <c r="Q140" t="n">
        <v>0</v>
      </c>
      <c r="R140" s="2" t="inlineStr"/>
    </row>
    <row r="141" ht="15" customHeight="1">
      <c r="A141" t="inlineStr">
        <is>
          <t>A 9950-2020</t>
        </is>
      </c>
      <c r="B141" s="1" t="n">
        <v>43882</v>
      </c>
      <c r="C141" s="1" t="n">
        <v>45834</v>
      </c>
      <c r="D141" t="inlineStr">
        <is>
          <t>DALARNAS LÄN</t>
        </is>
      </c>
      <c r="E141" t="inlineStr">
        <is>
          <t>SMEDJEBACKEN</t>
        </is>
      </c>
      <c r="G141" t="n">
        <v>3.4</v>
      </c>
      <c r="H141" t="n">
        <v>0</v>
      </c>
      <c r="I141" t="n">
        <v>0</v>
      </c>
      <c r="J141" t="n">
        <v>0</v>
      </c>
      <c r="K141" t="n">
        <v>0</v>
      </c>
      <c r="L141" t="n">
        <v>0</v>
      </c>
      <c r="M141" t="n">
        <v>0</v>
      </c>
      <c r="N141" t="n">
        <v>0</v>
      </c>
      <c r="O141" t="n">
        <v>0</v>
      </c>
      <c r="P141" t="n">
        <v>0</v>
      </c>
      <c r="Q141" t="n">
        <v>0</v>
      </c>
      <c r="R141" s="2" t="inlineStr"/>
    </row>
    <row r="142" ht="15" customHeight="1">
      <c r="A142" t="inlineStr">
        <is>
          <t>A 10716-2020</t>
        </is>
      </c>
      <c r="B142" s="1" t="n">
        <v>43885</v>
      </c>
      <c r="C142" s="1" t="n">
        <v>45834</v>
      </c>
      <c r="D142" t="inlineStr">
        <is>
          <t>DALARNAS LÄN</t>
        </is>
      </c>
      <c r="E142" t="inlineStr">
        <is>
          <t>SMEDJEBACKEN</t>
        </is>
      </c>
      <c r="G142" t="n">
        <v>1.2</v>
      </c>
      <c r="H142" t="n">
        <v>0</v>
      </c>
      <c r="I142" t="n">
        <v>0</v>
      </c>
      <c r="J142" t="n">
        <v>0</v>
      </c>
      <c r="K142" t="n">
        <v>0</v>
      </c>
      <c r="L142" t="n">
        <v>0</v>
      </c>
      <c r="M142" t="n">
        <v>0</v>
      </c>
      <c r="N142" t="n">
        <v>0</v>
      </c>
      <c r="O142" t="n">
        <v>0</v>
      </c>
      <c r="P142" t="n">
        <v>0</v>
      </c>
      <c r="Q142" t="n">
        <v>0</v>
      </c>
      <c r="R142" s="2" t="inlineStr"/>
    </row>
    <row r="143" ht="15" customHeight="1">
      <c r="A143" t="inlineStr">
        <is>
          <t>A 11304-2020</t>
        </is>
      </c>
      <c r="B143" s="1" t="n">
        <v>43886</v>
      </c>
      <c r="C143" s="1" t="n">
        <v>45834</v>
      </c>
      <c r="D143" t="inlineStr">
        <is>
          <t>DALARNAS LÄN</t>
        </is>
      </c>
      <c r="E143" t="inlineStr">
        <is>
          <t>SMEDJEBACKEN</t>
        </is>
      </c>
      <c r="G143" t="n">
        <v>1.8</v>
      </c>
      <c r="H143" t="n">
        <v>0</v>
      </c>
      <c r="I143" t="n">
        <v>0</v>
      </c>
      <c r="J143" t="n">
        <v>0</v>
      </c>
      <c r="K143" t="n">
        <v>0</v>
      </c>
      <c r="L143" t="n">
        <v>0</v>
      </c>
      <c r="M143" t="n">
        <v>0</v>
      </c>
      <c r="N143" t="n">
        <v>0</v>
      </c>
      <c r="O143" t="n">
        <v>0</v>
      </c>
      <c r="P143" t="n">
        <v>0</v>
      </c>
      <c r="Q143" t="n">
        <v>0</v>
      </c>
      <c r="R143" s="2" t="inlineStr"/>
    </row>
    <row r="144" ht="15" customHeight="1">
      <c r="A144" t="inlineStr">
        <is>
          <t>A 10582-2020</t>
        </is>
      </c>
      <c r="B144" s="1" t="n">
        <v>43887</v>
      </c>
      <c r="C144" s="1" t="n">
        <v>45834</v>
      </c>
      <c r="D144" t="inlineStr">
        <is>
          <t>DALARNAS LÄN</t>
        </is>
      </c>
      <c r="E144" t="inlineStr">
        <is>
          <t>SMEDJEBACKEN</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10104-2020</t>
        </is>
      </c>
      <c r="B145" s="1" t="n">
        <v>43887</v>
      </c>
      <c r="C145" s="1" t="n">
        <v>45834</v>
      </c>
      <c r="D145" t="inlineStr">
        <is>
          <t>DALARNAS LÄN</t>
        </is>
      </c>
      <c r="E145" t="inlineStr">
        <is>
          <t>SMEDJEBACKEN</t>
        </is>
      </c>
      <c r="F145" t="inlineStr">
        <is>
          <t>Bergvik skog väst AB</t>
        </is>
      </c>
      <c r="G145" t="n">
        <v>2.9</v>
      </c>
      <c r="H145" t="n">
        <v>0</v>
      </c>
      <c r="I145" t="n">
        <v>0</v>
      </c>
      <c r="J145" t="n">
        <v>0</v>
      </c>
      <c r="K145" t="n">
        <v>0</v>
      </c>
      <c r="L145" t="n">
        <v>0</v>
      </c>
      <c r="M145" t="n">
        <v>0</v>
      </c>
      <c r="N145" t="n">
        <v>0</v>
      </c>
      <c r="O145" t="n">
        <v>0</v>
      </c>
      <c r="P145" t="n">
        <v>0</v>
      </c>
      <c r="Q145" t="n">
        <v>0</v>
      </c>
      <c r="R145" s="2" t="inlineStr"/>
    </row>
    <row r="146" ht="15" customHeight="1">
      <c r="A146" t="inlineStr">
        <is>
          <t>A 10605-2020</t>
        </is>
      </c>
      <c r="B146" s="1" t="n">
        <v>43887</v>
      </c>
      <c r="C146" s="1" t="n">
        <v>45834</v>
      </c>
      <c r="D146" t="inlineStr">
        <is>
          <t>DALARNAS LÄN</t>
        </is>
      </c>
      <c r="E146" t="inlineStr">
        <is>
          <t>SMEDJEBACKEN</t>
        </is>
      </c>
      <c r="G146" t="n">
        <v>0.6</v>
      </c>
      <c r="H146" t="n">
        <v>0</v>
      </c>
      <c r="I146" t="n">
        <v>0</v>
      </c>
      <c r="J146" t="n">
        <v>0</v>
      </c>
      <c r="K146" t="n">
        <v>0</v>
      </c>
      <c r="L146" t="n">
        <v>0</v>
      </c>
      <c r="M146" t="n">
        <v>0</v>
      </c>
      <c r="N146" t="n">
        <v>0</v>
      </c>
      <c r="O146" t="n">
        <v>0</v>
      </c>
      <c r="P146" t="n">
        <v>0</v>
      </c>
      <c r="Q146" t="n">
        <v>0</v>
      </c>
      <c r="R146" s="2" t="inlineStr"/>
    </row>
    <row r="147" ht="15" customHeight="1">
      <c r="A147" t="inlineStr">
        <is>
          <t>A 10562-2020</t>
        </is>
      </c>
      <c r="B147" s="1" t="n">
        <v>43887</v>
      </c>
      <c r="C147" s="1" t="n">
        <v>45834</v>
      </c>
      <c r="D147" t="inlineStr">
        <is>
          <t>DALARNAS LÄN</t>
        </is>
      </c>
      <c r="E147" t="inlineStr">
        <is>
          <t>SMEDJEBACKEN</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10772-2020</t>
        </is>
      </c>
      <c r="B148" s="1" t="n">
        <v>43888</v>
      </c>
      <c r="C148" s="1" t="n">
        <v>45834</v>
      </c>
      <c r="D148" t="inlineStr">
        <is>
          <t>DALARNAS LÄN</t>
        </is>
      </c>
      <c r="E148" t="inlineStr">
        <is>
          <t>SMEDJEBACKEN</t>
        </is>
      </c>
      <c r="F148" t="inlineStr">
        <is>
          <t>Övriga Aktiebolag</t>
        </is>
      </c>
      <c r="G148" t="n">
        <v>1.9</v>
      </c>
      <c r="H148" t="n">
        <v>0</v>
      </c>
      <c r="I148" t="n">
        <v>0</v>
      </c>
      <c r="J148" t="n">
        <v>0</v>
      </c>
      <c r="K148" t="n">
        <v>0</v>
      </c>
      <c r="L148" t="n">
        <v>0</v>
      </c>
      <c r="M148" t="n">
        <v>0</v>
      </c>
      <c r="N148" t="n">
        <v>0</v>
      </c>
      <c r="O148" t="n">
        <v>0</v>
      </c>
      <c r="P148" t="n">
        <v>0</v>
      </c>
      <c r="Q148" t="n">
        <v>0</v>
      </c>
      <c r="R148" s="2" t="inlineStr"/>
    </row>
    <row r="149" ht="15" customHeight="1">
      <c r="A149" t="inlineStr">
        <is>
          <t>A 12381-2020</t>
        </is>
      </c>
      <c r="B149" s="1" t="n">
        <v>43896</v>
      </c>
      <c r="C149" s="1" t="n">
        <v>45834</v>
      </c>
      <c r="D149" t="inlineStr">
        <is>
          <t>DALARNAS LÄN</t>
        </is>
      </c>
      <c r="E149" t="inlineStr">
        <is>
          <t>SMEDJEBACKEN</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14636-2020</t>
        </is>
      </c>
      <c r="B150" s="1" t="n">
        <v>43902</v>
      </c>
      <c r="C150" s="1" t="n">
        <v>45834</v>
      </c>
      <c r="D150" t="inlineStr">
        <is>
          <t>DALARNAS LÄN</t>
        </is>
      </c>
      <c r="E150" t="inlineStr">
        <is>
          <t>SMEDJEBACKEN</t>
        </is>
      </c>
      <c r="G150" t="n">
        <v>9.6</v>
      </c>
      <c r="H150" t="n">
        <v>0</v>
      </c>
      <c r="I150" t="n">
        <v>0</v>
      </c>
      <c r="J150" t="n">
        <v>0</v>
      </c>
      <c r="K150" t="n">
        <v>0</v>
      </c>
      <c r="L150" t="n">
        <v>0</v>
      </c>
      <c r="M150" t="n">
        <v>0</v>
      </c>
      <c r="N150" t="n">
        <v>0</v>
      </c>
      <c r="O150" t="n">
        <v>0</v>
      </c>
      <c r="P150" t="n">
        <v>0</v>
      </c>
      <c r="Q150" t="n">
        <v>0</v>
      </c>
      <c r="R150" s="2" t="inlineStr"/>
    </row>
    <row r="151" ht="15" customHeight="1">
      <c r="A151" t="inlineStr">
        <is>
          <t>A 15772-2020</t>
        </is>
      </c>
      <c r="B151" s="1" t="n">
        <v>43915</v>
      </c>
      <c r="C151" s="1" t="n">
        <v>45834</v>
      </c>
      <c r="D151" t="inlineStr">
        <is>
          <t>DALARNAS LÄN</t>
        </is>
      </c>
      <c r="E151" t="inlineStr">
        <is>
          <t>SMEDJEBACKEN</t>
        </is>
      </c>
      <c r="G151" t="n">
        <v>1.2</v>
      </c>
      <c r="H151" t="n">
        <v>0</v>
      </c>
      <c r="I151" t="n">
        <v>0</v>
      </c>
      <c r="J151" t="n">
        <v>0</v>
      </c>
      <c r="K151" t="n">
        <v>0</v>
      </c>
      <c r="L151" t="n">
        <v>0</v>
      </c>
      <c r="M151" t="n">
        <v>0</v>
      </c>
      <c r="N151" t="n">
        <v>0</v>
      </c>
      <c r="O151" t="n">
        <v>0</v>
      </c>
      <c r="P151" t="n">
        <v>0</v>
      </c>
      <c r="Q151" t="n">
        <v>0</v>
      </c>
      <c r="R151" s="2" t="inlineStr"/>
    </row>
    <row r="152" ht="15" customHeight="1">
      <c r="A152" t="inlineStr">
        <is>
          <t>A 15668-2020</t>
        </is>
      </c>
      <c r="B152" s="1" t="n">
        <v>43915</v>
      </c>
      <c r="C152" s="1" t="n">
        <v>45834</v>
      </c>
      <c r="D152" t="inlineStr">
        <is>
          <t>DALARNAS LÄN</t>
        </is>
      </c>
      <c r="E152" t="inlineStr">
        <is>
          <t>SMEDJEBACKEN</t>
        </is>
      </c>
      <c r="F152" t="inlineStr">
        <is>
          <t>Kyrkan</t>
        </is>
      </c>
      <c r="G152" t="n">
        <v>0.9</v>
      </c>
      <c r="H152" t="n">
        <v>0</v>
      </c>
      <c r="I152" t="n">
        <v>0</v>
      </c>
      <c r="J152" t="n">
        <v>0</v>
      </c>
      <c r="K152" t="n">
        <v>0</v>
      </c>
      <c r="L152" t="n">
        <v>0</v>
      </c>
      <c r="M152" t="n">
        <v>0</v>
      </c>
      <c r="N152" t="n">
        <v>0</v>
      </c>
      <c r="O152" t="n">
        <v>0</v>
      </c>
      <c r="P152" t="n">
        <v>0</v>
      </c>
      <c r="Q152" t="n">
        <v>0</v>
      </c>
      <c r="R152" s="2" t="inlineStr"/>
    </row>
    <row r="153" ht="15" customHeight="1">
      <c r="A153" t="inlineStr">
        <is>
          <t>A 16415-2020</t>
        </is>
      </c>
      <c r="B153" s="1" t="n">
        <v>43919</v>
      </c>
      <c r="C153" s="1" t="n">
        <v>45834</v>
      </c>
      <c r="D153" t="inlineStr">
        <is>
          <t>DALARNAS LÄN</t>
        </is>
      </c>
      <c r="E153" t="inlineStr">
        <is>
          <t>SMEDJEBACKEN</t>
        </is>
      </c>
      <c r="G153" t="n">
        <v>9.300000000000001</v>
      </c>
      <c r="H153" t="n">
        <v>0</v>
      </c>
      <c r="I153" t="n">
        <v>0</v>
      </c>
      <c r="J153" t="n">
        <v>0</v>
      </c>
      <c r="K153" t="n">
        <v>0</v>
      </c>
      <c r="L153" t="n">
        <v>0</v>
      </c>
      <c r="M153" t="n">
        <v>0</v>
      </c>
      <c r="N153" t="n">
        <v>0</v>
      </c>
      <c r="O153" t="n">
        <v>0</v>
      </c>
      <c r="P153" t="n">
        <v>0</v>
      </c>
      <c r="Q153" t="n">
        <v>0</v>
      </c>
      <c r="R153" s="2" t="inlineStr"/>
    </row>
    <row r="154" ht="15" customHeight="1">
      <c r="A154" t="inlineStr">
        <is>
          <t>A 16614-2020</t>
        </is>
      </c>
      <c r="B154" s="1" t="n">
        <v>43920</v>
      </c>
      <c r="C154" s="1" t="n">
        <v>45834</v>
      </c>
      <c r="D154" t="inlineStr">
        <is>
          <t>DALARNAS LÄN</t>
        </is>
      </c>
      <c r="E154" t="inlineStr">
        <is>
          <t>SMEDJEBACKEN</t>
        </is>
      </c>
      <c r="F154" t="inlineStr">
        <is>
          <t>Övriga Aktiebolag</t>
        </is>
      </c>
      <c r="G154" t="n">
        <v>7.7</v>
      </c>
      <c r="H154" t="n">
        <v>0</v>
      </c>
      <c r="I154" t="n">
        <v>0</v>
      </c>
      <c r="J154" t="n">
        <v>0</v>
      </c>
      <c r="K154" t="n">
        <v>0</v>
      </c>
      <c r="L154" t="n">
        <v>0</v>
      </c>
      <c r="M154" t="n">
        <v>0</v>
      </c>
      <c r="N154" t="n">
        <v>0</v>
      </c>
      <c r="O154" t="n">
        <v>0</v>
      </c>
      <c r="P154" t="n">
        <v>0</v>
      </c>
      <c r="Q154" t="n">
        <v>0</v>
      </c>
      <c r="R154" s="2" t="inlineStr"/>
    </row>
    <row r="155" ht="15" customHeight="1">
      <c r="A155" t="inlineStr">
        <is>
          <t>A 16861-2020</t>
        </is>
      </c>
      <c r="B155" s="1" t="n">
        <v>43921</v>
      </c>
      <c r="C155" s="1" t="n">
        <v>45834</v>
      </c>
      <c r="D155" t="inlineStr">
        <is>
          <t>DALARNAS LÄN</t>
        </is>
      </c>
      <c r="E155" t="inlineStr">
        <is>
          <t>SMEDJEBACKEN</t>
        </is>
      </c>
      <c r="F155" t="inlineStr">
        <is>
          <t>Övriga Aktiebolag</t>
        </is>
      </c>
      <c r="G155" t="n">
        <v>3.6</v>
      </c>
      <c r="H155" t="n">
        <v>0</v>
      </c>
      <c r="I155" t="n">
        <v>0</v>
      </c>
      <c r="J155" t="n">
        <v>0</v>
      </c>
      <c r="K155" t="n">
        <v>0</v>
      </c>
      <c r="L155" t="n">
        <v>0</v>
      </c>
      <c r="M155" t="n">
        <v>0</v>
      </c>
      <c r="N155" t="n">
        <v>0</v>
      </c>
      <c r="O155" t="n">
        <v>0</v>
      </c>
      <c r="P155" t="n">
        <v>0</v>
      </c>
      <c r="Q155" t="n">
        <v>0</v>
      </c>
      <c r="R155" s="2" t="inlineStr"/>
    </row>
    <row r="156" ht="15" customHeight="1">
      <c r="A156" t="inlineStr">
        <is>
          <t>A 17031-2020</t>
        </is>
      </c>
      <c r="B156" s="1" t="n">
        <v>43921</v>
      </c>
      <c r="C156" s="1" t="n">
        <v>45834</v>
      </c>
      <c r="D156" t="inlineStr">
        <is>
          <t>DALARNAS LÄN</t>
        </is>
      </c>
      <c r="E156" t="inlineStr">
        <is>
          <t>SMEDJEBACKEN</t>
        </is>
      </c>
      <c r="G156" t="n">
        <v>0.8</v>
      </c>
      <c r="H156" t="n">
        <v>0</v>
      </c>
      <c r="I156" t="n">
        <v>0</v>
      </c>
      <c r="J156" t="n">
        <v>0</v>
      </c>
      <c r="K156" t="n">
        <v>0</v>
      </c>
      <c r="L156" t="n">
        <v>0</v>
      </c>
      <c r="M156" t="n">
        <v>0</v>
      </c>
      <c r="N156" t="n">
        <v>0</v>
      </c>
      <c r="O156" t="n">
        <v>0</v>
      </c>
      <c r="P156" t="n">
        <v>0</v>
      </c>
      <c r="Q156" t="n">
        <v>0</v>
      </c>
      <c r="R156" s="2" t="inlineStr"/>
    </row>
    <row r="157" ht="15" customHeight="1">
      <c r="A157" t="inlineStr">
        <is>
          <t>A 18065-2020</t>
        </is>
      </c>
      <c r="B157" s="1" t="n">
        <v>43927</v>
      </c>
      <c r="C157" s="1" t="n">
        <v>45834</v>
      </c>
      <c r="D157" t="inlineStr">
        <is>
          <t>DALARNAS LÄN</t>
        </is>
      </c>
      <c r="E157" t="inlineStr">
        <is>
          <t>SMEDJEBACKEN</t>
        </is>
      </c>
      <c r="G157" t="n">
        <v>2.6</v>
      </c>
      <c r="H157" t="n">
        <v>0</v>
      </c>
      <c r="I157" t="n">
        <v>0</v>
      </c>
      <c r="J157" t="n">
        <v>0</v>
      </c>
      <c r="K157" t="n">
        <v>0</v>
      </c>
      <c r="L157" t="n">
        <v>0</v>
      </c>
      <c r="M157" t="n">
        <v>0</v>
      </c>
      <c r="N157" t="n">
        <v>0</v>
      </c>
      <c r="O157" t="n">
        <v>0</v>
      </c>
      <c r="P157" t="n">
        <v>0</v>
      </c>
      <c r="Q157" t="n">
        <v>0</v>
      </c>
      <c r="R157" s="2" t="inlineStr"/>
    </row>
    <row r="158" ht="15" customHeight="1">
      <c r="A158" t="inlineStr">
        <is>
          <t>A 18068-2020</t>
        </is>
      </c>
      <c r="B158" s="1" t="n">
        <v>43927</v>
      </c>
      <c r="C158" s="1" t="n">
        <v>45834</v>
      </c>
      <c r="D158" t="inlineStr">
        <is>
          <t>DALARNAS LÄN</t>
        </is>
      </c>
      <c r="E158" t="inlineStr">
        <is>
          <t>SMEDJEBACKEN</t>
        </is>
      </c>
      <c r="G158" t="n">
        <v>3.5</v>
      </c>
      <c r="H158" t="n">
        <v>0</v>
      </c>
      <c r="I158" t="n">
        <v>0</v>
      </c>
      <c r="J158" t="n">
        <v>0</v>
      </c>
      <c r="K158" t="n">
        <v>0</v>
      </c>
      <c r="L158" t="n">
        <v>0</v>
      </c>
      <c r="M158" t="n">
        <v>0</v>
      </c>
      <c r="N158" t="n">
        <v>0</v>
      </c>
      <c r="O158" t="n">
        <v>0</v>
      </c>
      <c r="P158" t="n">
        <v>0</v>
      </c>
      <c r="Q158" t="n">
        <v>0</v>
      </c>
      <c r="R158" s="2" t="inlineStr"/>
    </row>
    <row r="159" ht="15" customHeight="1">
      <c r="A159" t="inlineStr">
        <is>
          <t>A 18500-2020</t>
        </is>
      </c>
      <c r="B159" s="1" t="n">
        <v>43929</v>
      </c>
      <c r="C159" s="1" t="n">
        <v>45834</v>
      </c>
      <c r="D159" t="inlineStr">
        <is>
          <t>DALARNAS LÄN</t>
        </is>
      </c>
      <c r="E159" t="inlineStr">
        <is>
          <t>SMEDJEBACKEN</t>
        </is>
      </c>
      <c r="G159" t="n">
        <v>4.3</v>
      </c>
      <c r="H159" t="n">
        <v>0</v>
      </c>
      <c r="I159" t="n">
        <v>0</v>
      </c>
      <c r="J159" t="n">
        <v>0</v>
      </c>
      <c r="K159" t="n">
        <v>0</v>
      </c>
      <c r="L159" t="n">
        <v>0</v>
      </c>
      <c r="M159" t="n">
        <v>0</v>
      </c>
      <c r="N159" t="n">
        <v>0</v>
      </c>
      <c r="O159" t="n">
        <v>0</v>
      </c>
      <c r="P159" t="n">
        <v>0</v>
      </c>
      <c r="Q159" t="n">
        <v>0</v>
      </c>
      <c r="R159" s="2" t="inlineStr"/>
    </row>
    <row r="160" ht="15" customHeight="1">
      <c r="A160" t="inlineStr">
        <is>
          <t>A 19633-2020</t>
        </is>
      </c>
      <c r="B160" s="1" t="n">
        <v>43941</v>
      </c>
      <c r="C160" s="1" t="n">
        <v>45834</v>
      </c>
      <c r="D160" t="inlineStr">
        <is>
          <t>DALARNAS LÄN</t>
        </is>
      </c>
      <c r="E160" t="inlineStr">
        <is>
          <t>SMEDJEBACKEN</t>
        </is>
      </c>
      <c r="F160" t="inlineStr">
        <is>
          <t>Övriga Aktiebolag</t>
        </is>
      </c>
      <c r="G160" t="n">
        <v>6.6</v>
      </c>
      <c r="H160" t="n">
        <v>0</v>
      </c>
      <c r="I160" t="n">
        <v>0</v>
      </c>
      <c r="J160" t="n">
        <v>0</v>
      </c>
      <c r="K160" t="n">
        <v>0</v>
      </c>
      <c r="L160" t="n">
        <v>0</v>
      </c>
      <c r="M160" t="n">
        <v>0</v>
      </c>
      <c r="N160" t="n">
        <v>0</v>
      </c>
      <c r="O160" t="n">
        <v>0</v>
      </c>
      <c r="P160" t="n">
        <v>0</v>
      </c>
      <c r="Q160" t="n">
        <v>0</v>
      </c>
      <c r="R160" s="2" t="inlineStr"/>
    </row>
    <row r="161" ht="15" customHeight="1">
      <c r="A161" t="inlineStr">
        <is>
          <t>A 19850-2020</t>
        </is>
      </c>
      <c r="B161" s="1" t="n">
        <v>43942</v>
      </c>
      <c r="C161" s="1" t="n">
        <v>45834</v>
      </c>
      <c r="D161" t="inlineStr">
        <is>
          <t>DALARNAS LÄN</t>
        </is>
      </c>
      <c r="E161" t="inlineStr">
        <is>
          <t>SMEDJEBACKEN</t>
        </is>
      </c>
      <c r="G161" t="n">
        <v>4.2</v>
      </c>
      <c r="H161" t="n">
        <v>0</v>
      </c>
      <c r="I161" t="n">
        <v>0</v>
      </c>
      <c r="J161" t="n">
        <v>0</v>
      </c>
      <c r="K161" t="n">
        <v>0</v>
      </c>
      <c r="L161" t="n">
        <v>0</v>
      </c>
      <c r="M161" t="n">
        <v>0</v>
      </c>
      <c r="N161" t="n">
        <v>0</v>
      </c>
      <c r="O161" t="n">
        <v>0</v>
      </c>
      <c r="P161" t="n">
        <v>0</v>
      </c>
      <c r="Q161" t="n">
        <v>0</v>
      </c>
      <c r="R161" s="2" t="inlineStr"/>
    </row>
    <row r="162" ht="15" customHeight="1">
      <c r="A162" t="inlineStr">
        <is>
          <t>A 24298-2020</t>
        </is>
      </c>
      <c r="B162" s="1" t="n">
        <v>43976</v>
      </c>
      <c r="C162" s="1" t="n">
        <v>45834</v>
      </c>
      <c r="D162" t="inlineStr">
        <is>
          <t>DALARNAS LÄN</t>
        </is>
      </c>
      <c r="E162" t="inlineStr">
        <is>
          <t>SMEDJEBACKEN</t>
        </is>
      </c>
      <c r="G162" t="n">
        <v>1.1</v>
      </c>
      <c r="H162" t="n">
        <v>0</v>
      </c>
      <c r="I162" t="n">
        <v>0</v>
      </c>
      <c r="J162" t="n">
        <v>0</v>
      </c>
      <c r="K162" t="n">
        <v>0</v>
      </c>
      <c r="L162" t="n">
        <v>0</v>
      </c>
      <c r="M162" t="n">
        <v>0</v>
      </c>
      <c r="N162" t="n">
        <v>0</v>
      </c>
      <c r="O162" t="n">
        <v>0</v>
      </c>
      <c r="P162" t="n">
        <v>0</v>
      </c>
      <c r="Q162" t="n">
        <v>0</v>
      </c>
      <c r="R162" s="2" t="inlineStr"/>
    </row>
    <row r="163" ht="15" customHeight="1">
      <c r="A163" t="inlineStr">
        <is>
          <t>A 24517-2020</t>
        </is>
      </c>
      <c r="B163" s="1" t="n">
        <v>43977</v>
      </c>
      <c r="C163" s="1" t="n">
        <v>45834</v>
      </c>
      <c r="D163" t="inlineStr">
        <is>
          <t>DALARNAS LÄN</t>
        </is>
      </c>
      <c r="E163" t="inlineStr">
        <is>
          <t>SMEDJEBACKEN</t>
        </is>
      </c>
      <c r="F163" t="inlineStr">
        <is>
          <t>Sveaskog</t>
        </is>
      </c>
      <c r="G163" t="n">
        <v>0.6</v>
      </c>
      <c r="H163" t="n">
        <v>0</v>
      </c>
      <c r="I163" t="n">
        <v>0</v>
      </c>
      <c r="J163" t="n">
        <v>0</v>
      </c>
      <c r="K163" t="n">
        <v>0</v>
      </c>
      <c r="L163" t="n">
        <v>0</v>
      </c>
      <c r="M163" t="n">
        <v>0</v>
      </c>
      <c r="N163" t="n">
        <v>0</v>
      </c>
      <c r="O163" t="n">
        <v>0</v>
      </c>
      <c r="P163" t="n">
        <v>0</v>
      </c>
      <c r="Q163" t="n">
        <v>0</v>
      </c>
      <c r="R163" s="2" t="inlineStr"/>
    </row>
    <row r="164" ht="15" customHeight="1">
      <c r="A164" t="inlineStr">
        <is>
          <t>A 24911-2020</t>
        </is>
      </c>
      <c r="B164" s="1" t="n">
        <v>43979</v>
      </c>
      <c r="C164" s="1" t="n">
        <v>45834</v>
      </c>
      <c r="D164" t="inlineStr">
        <is>
          <t>DALARNAS LÄN</t>
        </is>
      </c>
      <c r="E164" t="inlineStr">
        <is>
          <t>SMEDJEBACKEN</t>
        </is>
      </c>
      <c r="G164" t="n">
        <v>1.7</v>
      </c>
      <c r="H164" t="n">
        <v>0</v>
      </c>
      <c r="I164" t="n">
        <v>0</v>
      </c>
      <c r="J164" t="n">
        <v>0</v>
      </c>
      <c r="K164" t="n">
        <v>0</v>
      </c>
      <c r="L164" t="n">
        <v>0</v>
      </c>
      <c r="M164" t="n">
        <v>0</v>
      </c>
      <c r="N164" t="n">
        <v>0</v>
      </c>
      <c r="O164" t="n">
        <v>0</v>
      </c>
      <c r="P164" t="n">
        <v>0</v>
      </c>
      <c r="Q164" t="n">
        <v>0</v>
      </c>
      <c r="R164" s="2" t="inlineStr"/>
    </row>
    <row r="165" ht="15" customHeight="1">
      <c r="A165" t="inlineStr">
        <is>
          <t>A 25875-2020</t>
        </is>
      </c>
      <c r="B165" s="1" t="n">
        <v>43984</v>
      </c>
      <c r="C165" s="1" t="n">
        <v>45834</v>
      </c>
      <c r="D165" t="inlineStr">
        <is>
          <t>DALARNAS LÄN</t>
        </is>
      </c>
      <c r="E165" t="inlineStr">
        <is>
          <t>SMEDJEBACKEN</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25878-2020</t>
        </is>
      </c>
      <c r="B166" s="1" t="n">
        <v>43984</v>
      </c>
      <c r="C166" s="1" t="n">
        <v>45834</v>
      </c>
      <c r="D166" t="inlineStr">
        <is>
          <t>DALARNAS LÄN</t>
        </is>
      </c>
      <c r="E166" t="inlineStr">
        <is>
          <t>SMEDJEBACKEN</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26309-2020</t>
        </is>
      </c>
      <c r="B167" s="1" t="n">
        <v>43986</v>
      </c>
      <c r="C167" s="1" t="n">
        <v>45834</v>
      </c>
      <c r="D167" t="inlineStr">
        <is>
          <t>DALARNAS LÄN</t>
        </is>
      </c>
      <c r="E167" t="inlineStr">
        <is>
          <t>SMEDJEBACKEN</t>
        </is>
      </c>
      <c r="G167" t="n">
        <v>0.7</v>
      </c>
      <c r="H167" t="n">
        <v>0</v>
      </c>
      <c r="I167" t="n">
        <v>0</v>
      </c>
      <c r="J167" t="n">
        <v>0</v>
      </c>
      <c r="K167" t="n">
        <v>0</v>
      </c>
      <c r="L167" t="n">
        <v>0</v>
      </c>
      <c r="M167" t="n">
        <v>0</v>
      </c>
      <c r="N167" t="n">
        <v>0</v>
      </c>
      <c r="O167" t="n">
        <v>0</v>
      </c>
      <c r="P167" t="n">
        <v>0</v>
      </c>
      <c r="Q167" t="n">
        <v>0</v>
      </c>
      <c r="R167" s="2" t="inlineStr"/>
    </row>
    <row r="168" ht="15" customHeight="1">
      <c r="A168" t="inlineStr">
        <is>
          <t>A 27961-2020</t>
        </is>
      </c>
      <c r="B168" s="1" t="n">
        <v>43997</v>
      </c>
      <c r="C168" s="1" t="n">
        <v>45834</v>
      </c>
      <c r="D168" t="inlineStr">
        <is>
          <t>DALARNAS LÄN</t>
        </is>
      </c>
      <c r="E168" t="inlineStr">
        <is>
          <t>SMEDJEBACKEN</t>
        </is>
      </c>
      <c r="G168" t="n">
        <v>0.6</v>
      </c>
      <c r="H168" t="n">
        <v>0</v>
      </c>
      <c r="I168" t="n">
        <v>0</v>
      </c>
      <c r="J168" t="n">
        <v>0</v>
      </c>
      <c r="K168" t="n">
        <v>0</v>
      </c>
      <c r="L168" t="n">
        <v>0</v>
      </c>
      <c r="M168" t="n">
        <v>0</v>
      </c>
      <c r="N168" t="n">
        <v>0</v>
      </c>
      <c r="O168" t="n">
        <v>0</v>
      </c>
      <c r="P168" t="n">
        <v>0</v>
      </c>
      <c r="Q168" t="n">
        <v>0</v>
      </c>
      <c r="R168" s="2" t="inlineStr"/>
    </row>
    <row r="169" ht="15" customHeight="1">
      <c r="A169" t="inlineStr">
        <is>
          <t>A 28085-2020</t>
        </is>
      </c>
      <c r="B169" s="1" t="n">
        <v>43997</v>
      </c>
      <c r="C169" s="1" t="n">
        <v>45834</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28916-2020</t>
        </is>
      </c>
      <c r="B170" s="1" t="n">
        <v>44000</v>
      </c>
      <c r="C170" s="1" t="n">
        <v>45834</v>
      </c>
      <c r="D170" t="inlineStr">
        <is>
          <t>DALARNAS LÄN</t>
        </is>
      </c>
      <c r="E170" t="inlineStr">
        <is>
          <t>SMEDJEBACKEN</t>
        </is>
      </c>
      <c r="G170" t="n">
        <v>4.6</v>
      </c>
      <c r="H170" t="n">
        <v>0</v>
      </c>
      <c r="I170" t="n">
        <v>0</v>
      </c>
      <c r="J170" t="n">
        <v>0</v>
      </c>
      <c r="K170" t="n">
        <v>0</v>
      </c>
      <c r="L170" t="n">
        <v>0</v>
      </c>
      <c r="M170" t="n">
        <v>0</v>
      </c>
      <c r="N170" t="n">
        <v>0</v>
      </c>
      <c r="O170" t="n">
        <v>0</v>
      </c>
      <c r="P170" t="n">
        <v>0</v>
      </c>
      <c r="Q170" t="n">
        <v>0</v>
      </c>
      <c r="R170" s="2" t="inlineStr"/>
    </row>
    <row r="171" ht="15" customHeight="1">
      <c r="A171" t="inlineStr">
        <is>
          <t>A 30288-2020</t>
        </is>
      </c>
      <c r="B171" s="1" t="n">
        <v>44007</v>
      </c>
      <c r="C171" s="1" t="n">
        <v>45834</v>
      </c>
      <c r="D171" t="inlineStr">
        <is>
          <t>DALARNAS LÄN</t>
        </is>
      </c>
      <c r="E171" t="inlineStr">
        <is>
          <t>SMEDJEBACKEN</t>
        </is>
      </c>
      <c r="F171" t="inlineStr">
        <is>
          <t>Bergvik skog väst AB</t>
        </is>
      </c>
      <c r="G171" t="n">
        <v>1</v>
      </c>
      <c r="H171" t="n">
        <v>0</v>
      </c>
      <c r="I171" t="n">
        <v>0</v>
      </c>
      <c r="J171" t="n">
        <v>0</v>
      </c>
      <c r="K171" t="n">
        <v>0</v>
      </c>
      <c r="L171" t="n">
        <v>0</v>
      </c>
      <c r="M171" t="n">
        <v>0</v>
      </c>
      <c r="N171" t="n">
        <v>0</v>
      </c>
      <c r="O171" t="n">
        <v>0</v>
      </c>
      <c r="P171" t="n">
        <v>0</v>
      </c>
      <c r="Q171" t="n">
        <v>0</v>
      </c>
      <c r="R171" s="2" t="inlineStr"/>
    </row>
    <row r="172" ht="15" customHeight="1">
      <c r="A172" t="inlineStr">
        <is>
          <t>A 30637-2020</t>
        </is>
      </c>
      <c r="B172" s="1" t="n">
        <v>44008</v>
      </c>
      <c r="C172" s="1" t="n">
        <v>45834</v>
      </c>
      <c r="D172" t="inlineStr">
        <is>
          <t>DALARNAS LÄN</t>
        </is>
      </c>
      <c r="E172" t="inlineStr">
        <is>
          <t>SMEDJEBACKEN</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32177-2020</t>
        </is>
      </c>
      <c r="B173" s="1" t="n">
        <v>44015</v>
      </c>
      <c r="C173" s="1" t="n">
        <v>45834</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33655-2020</t>
        </is>
      </c>
      <c r="B174" s="1" t="n">
        <v>44026</v>
      </c>
      <c r="C174" s="1" t="n">
        <v>45834</v>
      </c>
      <c r="D174" t="inlineStr">
        <is>
          <t>DALARNAS LÄN</t>
        </is>
      </c>
      <c r="E174" t="inlineStr">
        <is>
          <t>SMEDJEBACKEN</t>
        </is>
      </c>
      <c r="F174" t="inlineStr">
        <is>
          <t>Kyrkan</t>
        </is>
      </c>
      <c r="G174" t="n">
        <v>7.7</v>
      </c>
      <c r="H174" t="n">
        <v>0</v>
      </c>
      <c r="I174" t="n">
        <v>0</v>
      </c>
      <c r="J174" t="n">
        <v>0</v>
      </c>
      <c r="K174" t="n">
        <v>0</v>
      </c>
      <c r="L174" t="n">
        <v>0</v>
      </c>
      <c r="M174" t="n">
        <v>0</v>
      </c>
      <c r="N174" t="n">
        <v>0</v>
      </c>
      <c r="O174" t="n">
        <v>0</v>
      </c>
      <c r="P174" t="n">
        <v>0</v>
      </c>
      <c r="Q174" t="n">
        <v>0</v>
      </c>
      <c r="R174" s="2" t="inlineStr"/>
    </row>
    <row r="175" ht="15" customHeight="1">
      <c r="A175" t="inlineStr">
        <is>
          <t>A 34618-2020</t>
        </is>
      </c>
      <c r="B175" s="1" t="n">
        <v>44034</v>
      </c>
      <c r="C175" s="1" t="n">
        <v>45834</v>
      </c>
      <c r="D175" t="inlineStr">
        <is>
          <t>DALARNAS LÄN</t>
        </is>
      </c>
      <c r="E175" t="inlineStr">
        <is>
          <t>SMEDJEBACKEN</t>
        </is>
      </c>
      <c r="G175" t="n">
        <v>1.8</v>
      </c>
      <c r="H175" t="n">
        <v>0</v>
      </c>
      <c r="I175" t="n">
        <v>0</v>
      </c>
      <c r="J175" t="n">
        <v>0</v>
      </c>
      <c r="K175" t="n">
        <v>0</v>
      </c>
      <c r="L175" t="n">
        <v>0</v>
      </c>
      <c r="M175" t="n">
        <v>0</v>
      </c>
      <c r="N175" t="n">
        <v>0</v>
      </c>
      <c r="O175" t="n">
        <v>0</v>
      </c>
      <c r="P175" t="n">
        <v>0</v>
      </c>
      <c r="Q175" t="n">
        <v>0</v>
      </c>
      <c r="R175" s="2" t="inlineStr"/>
    </row>
    <row r="176" ht="15" customHeight="1">
      <c r="A176" t="inlineStr">
        <is>
          <t>A 35961-2020</t>
        </is>
      </c>
      <c r="B176" s="1" t="n">
        <v>44047</v>
      </c>
      <c r="C176" s="1" t="n">
        <v>45834</v>
      </c>
      <c r="D176" t="inlineStr">
        <is>
          <t>DALARNAS LÄN</t>
        </is>
      </c>
      <c r="E176" t="inlineStr">
        <is>
          <t>SMEDJEBACKEN</t>
        </is>
      </c>
      <c r="G176" t="n">
        <v>1.3</v>
      </c>
      <c r="H176" t="n">
        <v>0</v>
      </c>
      <c r="I176" t="n">
        <v>0</v>
      </c>
      <c r="J176" t="n">
        <v>0</v>
      </c>
      <c r="K176" t="n">
        <v>0</v>
      </c>
      <c r="L176" t="n">
        <v>0</v>
      </c>
      <c r="M176" t="n">
        <v>0</v>
      </c>
      <c r="N176" t="n">
        <v>0</v>
      </c>
      <c r="O176" t="n">
        <v>0</v>
      </c>
      <c r="P176" t="n">
        <v>0</v>
      </c>
      <c r="Q176" t="n">
        <v>0</v>
      </c>
      <c r="R176" s="2" t="inlineStr"/>
    </row>
    <row r="177" ht="15" customHeight="1">
      <c r="A177" t="inlineStr">
        <is>
          <t>A 36605-2020</t>
        </is>
      </c>
      <c r="B177" s="1" t="n">
        <v>44050</v>
      </c>
      <c r="C177" s="1" t="n">
        <v>45834</v>
      </c>
      <c r="D177" t="inlineStr">
        <is>
          <t>DALARNAS LÄN</t>
        </is>
      </c>
      <c r="E177" t="inlineStr">
        <is>
          <t>SMEDJEBACKEN</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36603-2020</t>
        </is>
      </c>
      <c r="B178" s="1" t="n">
        <v>44050</v>
      </c>
      <c r="C178" s="1" t="n">
        <v>45834</v>
      </c>
      <c r="D178" t="inlineStr">
        <is>
          <t>DALARNAS LÄN</t>
        </is>
      </c>
      <c r="E178" t="inlineStr">
        <is>
          <t>SMEDJEBACKEN</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38919-2020</t>
        </is>
      </c>
      <c r="B179" s="1" t="n">
        <v>44062</v>
      </c>
      <c r="C179" s="1" t="n">
        <v>45834</v>
      </c>
      <c r="D179" t="inlineStr">
        <is>
          <t>DALARNAS LÄN</t>
        </is>
      </c>
      <c r="E179" t="inlineStr">
        <is>
          <t>SMEDJEBACKEN</t>
        </is>
      </c>
      <c r="F179" t="inlineStr">
        <is>
          <t>Bergvik skog väst AB</t>
        </is>
      </c>
      <c r="G179" t="n">
        <v>6</v>
      </c>
      <c r="H179" t="n">
        <v>0</v>
      </c>
      <c r="I179" t="n">
        <v>0</v>
      </c>
      <c r="J179" t="n">
        <v>0</v>
      </c>
      <c r="K179" t="n">
        <v>0</v>
      </c>
      <c r="L179" t="n">
        <v>0</v>
      </c>
      <c r="M179" t="n">
        <v>0</v>
      </c>
      <c r="N179" t="n">
        <v>0</v>
      </c>
      <c r="O179" t="n">
        <v>0</v>
      </c>
      <c r="P179" t="n">
        <v>0</v>
      </c>
      <c r="Q179" t="n">
        <v>0</v>
      </c>
      <c r="R179" s="2" t="inlineStr"/>
    </row>
    <row r="180" ht="15" customHeight="1">
      <c r="A180" t="inlineStr">
        <is>
          <t>A 38971-2020</t>
        </is>
      </c>
      <c r="B180" s="1" t="n">
        <v>44062</v>
      </c>
      <c r="C180" s="1" t="n">
        <v>45834</v>
      </c>
      <c r="D180" t="inlineStr">
        <is>
          <t>DALARNAS LÄN</t>
        </is>
      </c>
      <c r="E180" t="inlineStr">
        <is>
          <t>SMEDJEBACKEN</t>
        </is>
      </c>
      <c r="F180" t="inlineStr">
        <is>
          <t>Sveaskog</t>
        </is>
      </c>
      <c r="G180" t="n">
        <v>4.7</v>
      </c>
      <c r="H180" t="n">
        <v>0</v>
      </c>
      <c r="I180" t="n">
        <v>0</v>
      </c>
      <c r="J180" t="n">
        <v>0</v>
      </c>
      <c r="K180" t="n">
        <v>0</v>
      </c>
      <c r="L180" t="n">
        <v>0</v>
      </c>
      <c r="M180" t="n">
        <v>0</v>
      </c>
      <c r="N180" t="n">
        <v>0</v>
      </c>
      <c r="O180" t="n">
        <v>0</v>
      </c>
      <c r="P180" t="n">
        <v>0</v>
      </c>
      <c r="Q180" t="n">
        <v>0</v>
      </c>
      <c r="R180" s="2" t="inlineStr"/>
    </row>
    <row r="181" ht="15" customHeight="1">
      <c r="A181" t="inlineStr">
        <is>
          <t>A 38986-2020</t>
        </is>
      </c>
      <c r="B181" s="1" t="n">
        <v>44062</v>
      </c>
      <c r="C181" s="1" t="n">
        <v>45834</v>
      </c>
      <c r="D181" t="inlineStr">
        <is>
          <t>DALARNAS LÄN</t>
        </is>
      </c>
      <c r="E181" t="inlineStr">
        <is>
          <t>SMEDJEBACKEN</t>
        </is>
      </c>
      <c r="F181" t="inlineStr">
        <is>
          <t>Bergvik skog väst AB</t>
        </is>
      </c>
      <c r="G181" t="n">
        <v>3.3</v>
      </c>
      <c r="H181" t="n">
        <v>0</v>
      </c>
      <c r="I181" t="n">
        <v>0</v>
      </c>
      <c r="J181" t="n">
        <v>0</v>
      </c>
      <c r="K181" t="n">
        <v>0</v>
      </c>
      <c r="L181" t="n">
        <v>0</v>
      </c>
      <c r="M181" t="n">
        <v>0</v>
      </c>
      <c r="N181" t="n">
        <v>0</v>
      </c>
      <c r="O181" t="n">
        <v>0</v>
      </c>
      <c r="P181" t="n">
        <v>0</v>
      </c>
      <c r="Q181" t="n">
        <v>0</v>
      </c>
      <c r="R181" s="2" t="inlineStr"/>
    </row>
    <row r="182" ht="15" customHeight="1">
      <c r="A182" t="inlineStr">
        <is>
          <t>A 39605-2020</t>
        </is>
      </c>
      <c r="B182" s="1" t="n">
        <v>44064</v>
      </c>
      <c r="C182" s="1" t="n">
        <v>45834</v>
      </c>
      <c r="D182" t="inlineStr">
        <is>
          <t>DALARNAS LÄN</t>
        </is>
      </c>
      <c r="E182" t="inlineStr">
        <is>
          <t>SMEDJEBACKEN</t>
        </is>
      </c>
      <c r="G182" t="n">
        <v>0.9</v>
      </c>
      <c r="H182" t="n">
        <v>0</v>
      </c>
      <c r="I182" t="n">
        <v>0</v>
      </c>
      <c r="J182" t="n">
        <v>0</v>
      </c>
      <c r="K182" t="n">
        <v>0</v>
      </c>
      <c r="L182" t="n">
        <v>0</v>
      </c>
      <c r="M182" t="n">
        <v>0</v>
      </c>
      <c r="N182" t="n">
        <v>0</v>
      </c>
      <c r="O182" t="n">
        <v>0</v>
      </c>
      <c r="P182" t="n">
        <v>0</v>
      </c>
      <c r="Q182" t="n">
        <v>0</v>
      </c>
      <c r="R182" s="2" t="inlineStr"/>
    </row>
    <row r="183" ht="15" customHeight="1">
      <c r="A183" t="inlineStr">
        <is>
          <t>A 39710-2020</t>
        </is>
      </c>
      <c r="B183" s="1" t="n">
        <v>44066</v>
      </c>
      <c r="C183" s="1" t="n">
        <v>45834</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42429-2020</t>
        </is>
      </c>
      <c r="B184" s="1" t="n">
        <v>44075</v>
      </c>
      <c r="C184" s="1" t="n">
        <v>45834</v>
      </c>
      <c r="D184" t="inlineStr">
        <is>
          <t>DALARNAS LÄN</t>
        </is>
      </c>
      <c r="E184" t="inlineStr">
        <is>
          <t>SMEDJEBACKEN</t>
        </is>
      </c>
      <c r="G184" t="n">
        <v>2.8</v>
      </c>
      <c r="H184" t="n">
        <v>0</v>
      </c>
      <c r="I184" t="n">
        <v>0</v>
      </c>
      <c r="J184" t="n">
        <v>0</v>
      </c>
      <c r="K184" t="n">
        <v>0</v>
      </c>
      <c r="L184" t="n">
        <v>0</v>
      </c>
      <c r="M184" t="n">
        <v>0</v>
      </c>
      <c r="N184" t="n">
        <v>0</v>
      </c>
      <c r="O184" t="n">
        <v>0</v>
      </c>
      <c r="P184" t="n">
        <v>0</v>
      </c>
      <c r="Q184" t="n">
        <v>0</v>
      </c>
      <c r="R184" s="2" t="inlineStr"/>
    </row>
    <row r="185" ht="15" customHeight="1">
      <c r="A185" t="inlineStr">
        <is>
          <t>A 42426-2020</t>
        </is>
      </c>
      <c r="B185" s="1" t="n">
        <v>44075</v>
      </c>
      <c r="C185" s="1" t="n">
        <v>45834</v>
      </c>
      <c r="D185" t="inlineStr">
        <is>
          <t>DALARNAS LÄN</t>
        </is>
      </c>
      <c r="E185" t="inlineStr">
        <is>
          <t>SMEDJEBACKEN</t>
        </is>
      </c>
      <c r="G185" t="n">
        <v>7.3</v>
      </c>
      <c r="H185" t="n">
        <v>0</v>
      </c>
      <c r="I185" t="n">
        <v>0</v>
      </c>
      <c r="J185" t="n">
        <v>0</v>
      </c>
      <c r="K185" t="n">
        <v>0</v>
      </c>
      <c r="L185" t="n">
        <v>0</v>
      </c>
      <c r="M185" t="n">
        <v>0</v>
      </c>
      <c r="N185" t="n">
        <v>0</v>
      </c>
      <c r="O185" t="n">
        <v>0</v>
      </c>
      <c r="P185" t="n">
        <v>0</v>
      </c>
      <c r="Q185" t="n">
        <v>0</v>
      </c>
      <c r="R185" s="2" t="inlineStr"/>
    </row>
    <row r="186" ht="15" customHeight="1">
      <c r="A186" t="inlineStr">
        <is>
          <t>A 43214-2020</t>
        </is>
      </c>
      <c r="B186" s="1" t="n">
        <v>44076</v>
      </c>
      <c r="C186" s="1" t="n">
        <v>45834</v>
      </c>
      <c r="D186" t="inlineStr">
        <is>
          <t>DALARNAS LÄN</t>
        </is>
      </c>
      <c r="E186" t="inlineStr">
        <is>
          <t>SMEDJEBACKEN</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43277-2020</t>
        </is>
      </c>
      <c r="B187" s="1" t="n">
        <v>44076</v>
      </c>
      <c r="C187" s="1" t="n">
        <v>45834</v>
      </c>
      <c r="D187" t="inlineStr">
        <is>
          <t>DALARNAS LÄN</t>
        </is>
      </c>
      <c r="E187" t="inlineStr">
        <is>
          <t>SMEDJEBACKEN</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48943-2020</t>
        </is>
      </c>
      <c r="B188" s="1" t="n">
        <v>44102</v>
      </c>
      <c r="C188" s="1" t="n">
        <v>45834</v>
      </c>
      <c r="D188" t="inlineStr">
        <is>
          <t>DALARNAS LÄN</t>
        </is>
      </c>
      <c r="E188" t="inlineStr">
        <is>
          <t>SMEDJEBACKEN</t>
        </is>
      </c>
      <c r="F188" t="inlineStr">
        <is>
          <t>Kommuner</t>
        </is>
      </c>
      <c r="G188" t="n">
        <v>5.6</v>
      </c>
      <c r="H188" t="n">
        <v>0</v>
      </c>
      <c r="I188" t="n">
        <v>0</v>
      </c>
      <c r="J188" t="n">
        <v>0</v>
      </c>
      <c r="K188" t="n">
        <v>0</v>
      </c>
      <c r="L188" t="n">
        <v>0</v>
      </c>
      <c r="M188" t="n">
        <v>0</v>
      </c>
      <c r="N188" t="n">
        <v>0</v>
      </c>
      <c r="O188" t="n">
        <v>0</v>
      </c>
      <c r="P188" t="n">
        <v>0</v>
      </c>
      <c r="Q188" t="n">
        <v>0</v>
      </c>
      <c r="R188" s="2" t="inlineStr"/>
    </row>
    <row r="189" ht="15" customHeight="1">
      <c r="A189" t="inlineStr">
        <is>
          <t>A 48634-2020</t>
        </is>
      </c>
      <c r="B189" s="1" t="n">
        <v>44103</v>
      </c>
      <c r="C189" s="1" t="n">
        <v>45834</v>
      </c>
      <c r="D189" t="inlineStr">
        <is>
          <t>DALARNAS LÄN</t>
        </is>
      </c>
      <c r="E189" t="inlineStr">
        <is>
          <t>SMEDJEBACKEN</t>
        </is>
      </c>
      <c r="G189" t="n">
        <v>6.4</v>
      </c>
      <c r="H189" t="n">
        <v>0</v>
      </c>
      <c r="I189" t="n">
        <v>0</v>
      </c>
      <c r="J189" t="n">
        <v>0</v>
      </c>
      <c r="K189" t="n">
        <v>0</v>
      </c>
      <c r="L189" t="n">
        <v>0</v>
      </c>
      <c r="M189" t="n">
        <v>0</v>
      </c>
      <c r="N189" t="n">
        <v>0</v>
      </c>
      <c r="O189" t="n">
        <v>0</v>
      </c>
      <c r="P189" t="n">
        <v>0</v>
      </c>
      <c r="Q189" t="n">
        <v>0</v>
      </c>
      <c r="R189" s="2" t="inlineStr"/>
    </row>
    <row r="190" ht="15" customHeight="1">
      <c r="A190" t="inlineStr">
        <is>
          <t>A 50432-2020</t>
        </is>
      </c>
      <c r="B190" s="1" t="n">
        <v>44105</v>
      </c>
      <c r="C190" s="1" t="n">
        <v>45834</v>
      </c>
      <c r="D190" t="inlineStr">
        <is>
          <t>DALARNAS LÄN</t>
        </is>
      </c>
      <c r="E190" t="inlineStr">
        <is>
          <t>SMEDJEBACKEN</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50446-2020</t>
        </is>
      </c>
      <c r="B191" s="1" t="n">
        <v>44105</v>
      </c>
      <c r="C191" s="1" t="n">
        <v>45834</v>
      </c>
      <c r="D191" t="inlineStr">
        <is>
          <t>DALARNAS LÄN</t>
        </is>
      </c>
      <c r="E191" t="inlineStr">
        <is>
          <t>SMEDJEBACKEN</t>
        </is>
      </c>
      <c r="F191" t="inlineStr">
        <is>
          <t>Bergvik skog väst AB</t>
        </is>
      </c>
      <c r="G191" t="n">
        <v>6.3</v>
      </c>
      <c r="H191" t="n">
        <v>0</v>
      </c>
      <c r="I191" t="n">
        <v>0</v>
      </c>
      <c r="J191" t="n">
        <v>0</v>
      </c>
      <c r="K191" t="n">
        <v>0</v>
      </c>
      <c r="L191" t="n">
        <v>0</v>
      </c>
      <c r="M191" t="n">
        <v>0</v>
      </c>
      <c r="N191" t="n">
        <v>0</v>
      </c>
      <c r="O191" t="n">
        <v>0</v>
      </c>
      <c r="P191" t="n">
        <v>0</v>
      </c>
      <c r="Q191" t="n">
        <v>0</v>
      </c>
      <c r="R191" s="2" t="inlineStr"/>
    </row>
    <row r="192" ht="15" customHeight="1">
      <c r="A192" t="inlineStr">
        <is>
          <t>A 50463-2020</t>
        </is>
      </c>
      <c r="B192" s="1" t="n">
        <v>44105</v>
      </c>
      <c r="C192" s="1" t="n">
        <v>45834</v>
      </c>
      <c r="D192" t="inlineStr">
        <is>
          <t>DALARNAS LÄN</t>
        </is>
      </c>
      <c r="E192" t="inlineStr">
        <is>
          <t>SMEDJEBACKEN</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51199-2020</t>
        </is>
      </c>
      <c r="B193" s="1" t="n">
        <v>44106</v>
      </c>
      <c r="C193" s="1" t="n">
        <v>45834</v>
      </c>
      <c r="D193" t="inlineStr">
        <is>
          <t>DALARNAS LÄN</t>
        </is>
      </c>
      <c r="E193" t="inlineStr">
        <is>
          <t>SMEDJEBACKEN</t>
        </is>
      </c>
      <c r="G193" t="n">
        <v>1.4</v>
      </c>
      <c r="H193" t="n">
        <v>0</v>
      </c>
      <c r="I193" t="n">
        <v>0</v>
      </c>
      <c r="J193" t="n">
        <v>0</v>
      </c>
      <c r="K193" t="n">
        <v>0</v>
      </c>
      <c r="L193" t="n">
        <v>0</v>
      </c>
      <c r="M193" t="n">
        <v>0</v>
      </c>
      <c r="N193" t="n">
        <v>0</v>
      </c>
      <c r="O193" t="n">
        <v>0</v>
      </c>
      <c r="P193" t="n">
        <v>0</v>
      </c>
      <c r="Q193" t="n">
        <v>0</v>
      </c>
      <c r="R193" s="2" t="inlineStr"/>
    </row>
    <row r="194" ht="15" customHeight="1">
      <c r="A194" t="inlineStr">
        <is>
          <t>A 51205-2020</t>
        </is>
      </c>
      <c r="B194" s="1" t="n">
        <v>44106</v>
      </c>
      <c r="C194" s="1" t="n">
        <v>45834</v>
      </c>
      <c r="D194" t="inlineStr">
        <is>
          <t>DALARNAS LÄN</t>
        </is>
      </c>
      <c r="E194" t="inlineStr">
        <is>
          <t>SMEDJEBACKEN</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49895-2020</t>
        </is>
      </c>
      <c r="B195" s="1" t="n">
        <v>44108</v>
      </c>
      <c r="C195" s="1" t="n">
        <v>45834</v>
      </c>
      <c r="D195" t="inlineStr">
        <is>
          <t>DALARNAS LÄN</t>
        </is>
      </c>
      <c r="E195" t="inlineStr">
        <is>
          <t>SMEDJEBACKEN</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49888-2020</t>
        </is>
      </c>
      <c r="B196" s="1" t="n">
        <v>44108</v>
      </c>
      <c r="C196" s="1" t="n">
        <v>45834</v>
      </c>
      <c r="D196" t="inlineStr">
        <is>
          <t>DALARNAS LÄN</t>
        </is>
      </c>
      <c r="E196" t="inlineStr">
        <is>
          <t>SMEDJEBACKEN</t>
        </is>
      </c>
      <c r="G196" t="n">
        <v>7.7</v>
      </c>
      <c r="H196" t="n">
        <v>0</v>
      </c>
      <c r="I196" t="n">
        <v>0</v>
      </c>
      <c r="J196" t="n">
        <v>0</v>
      </c>
      <c r="K196" t="n">
        <v>0</v>
      </c>
      <c r="L196" t="n">
        <v>0</v>
      </c>
      <c r="M196" t="n">
        <v>0</v>
      </c>
      <c r="N196" t="n">
        <v>0</v>
      </c>
      <c r="O196" t="n">
        <v>0</v>
      </c>
      <c r="P196" t="n">
        <v>0</v>
      </c>
      <c r="Q196" t="n">
        <v>0</v>
      </c>
      <c r="R196" s="2" t="inlineStr"/>
    </row>
    <row r="197" ht="15" customHeight="1">
      <c r="A197" t="inlineStr">
        <is>
          <t>A 49896-2020</t>
        </is>
      </c>
      <c r="B197" s="1" t="n">
        <v>44108</v>
      </c>
      <c r="C197" s="1" t="n">
        <v>45834</v>
      </c>
      <c r="D197" t="inlineStr">
        <is>
          <t>DALARNAS LÄN</t>
        </is>
      </c>
      <c r="E197" t="inlineStr">
        <is>
          <t>SMEDJEBACKEN</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51761-2020</t>
        </is>
      </c>
      <c r="B198" s="1" t="n">
        <v>44115</v>
      </c>
      <c r="C198" s="1" t="n">
        <v>45834</v>
      </c>
      <c r="D198" t="inlineStr">
        <is>
          <t>DALARNAS LÄN</t>
        </is>
      </c>
      <c r="E198" t="inlineStr">
        <is>
          <t>SMEDJEBACKEN</t>
        </is>
      </c>
      <c r="G198" t="n">
        <v>10.6</v>
      </c>
      <c r="H198" t="n">
        <v>0</v>
      </c>
      <c r="I198" t="n">
        <v>0</v>
      </c>
      <c r="J198" t="n">
        <v>0</v>
      </c>
      <c r="K198" t="n">
        <v>0</v>
      </c>
      <c r="L198" t="n">
        <v>0</v>
      </c>
      <c r="M198" t="n">
        <v>0</v>
      </c>
      <c r="N198" t="n">
        <v>0</v>
      </c>
      <c r="O198" t="n">
        <v>0</v>
      </c>
      <c r="P198" t="n">
        <v>0</v>
      </c>
      <c r="Q198" t="n">
        <v>0</v>
      </c>
      <c r="R198" s="2" t="inlineStr"/>
    </row>
    <row r="199" ht="15" customHeight="1">
      <c r="A199" t="inlineStr">
        <is>
          <t>A 51770-2020</t>
        </is>
      </c>
      <c r="B199" s="1" t="n">
        <v>44115</v>
      </c>
      <c r="C199" s="1" t="n">
        <v>45834</v>
      </c>
      <c r="D199" t="inlineStr">
        <is>
          <t>DALARNAS LÄN</t>
        </is>
      </c>
      <c r="E199" t="inlineStr">
        <is>
          <t>SMEDJEBACKEN</t>
        </is>
      </c>
      <c r="G199" t="n">
        <v>0.8</v>
      </c>
      <c r="H199" t="n">
        <v>0</v>
      </c>
      <c r="I199" t="n">
        <v>0</v>
      </c>
      <c r="J199" t="n">
        <v>0</v>
      </c>
      <c r="K199" t="n">
        <v>0</v>
      </c>
      <c r="L199" t="n">
        <v>0</v>
      </c>
      <c r="M199" t="n">
        <v>0</v>
      </c>
      <c r="N199" t="n">
        <v>0</v>
      </c>
      <c r="O199" t="n">
        <v>0</v>
      </c>
      <c r="P199" t="n">
        <v>0</v>
      </c>
      <c r="Q199" t="n">
        <v>0</v>
      </c>
      <c r="R199" s="2" t="inlineStr"/>
    </row>
    <row r="200" ht="15" customHeight="1">
      <c r="A200" t="inlineStr">
        <is>
          <t>A 51775-2020</t>
        </is>
      </c>
      <c r="B200" s="1" t="n">
        <v>44115</v>
      </c>
      <c r="C200" s="1" t="n">
        <v>45834</v>
      </c>
      <c r="D200" t="inlineStr">
        <is>
          <t>DALARNAS LÄN</t>
        </is>
      </c>
      <c r="E200" t="inlineStr">
        <is>
          <t>SMEDJEBACKEN</t>
        </is>
      </c>
      <c r="G200" t="n">
        <v>0.5</v>
      </c>
      <c r="H200" t="n">
        <v>0</v>
      </c>
      <c r="I200" t="n">
        <v>0</v>
      </c>
      <c r="J200" t="n">
        <v>0</v>
      </c>
      <c r="K200" t="n">
        <v>0</v>
      </c>
      <c r="L200" t="n">
        <v>0</v>
      </c>
      <c r="M200" t="n">
        <v>0</v>
      </c>
      <c r="N200" t="n">
        <v>0</v>
      </c>
      <c r="O200" t="n">
        <v>0</v>
      </c>
      <c r="P200" t="n">
        <v>0</v>
      </c>
      <c r="Q200" t="n">
        <v>0</v>
      </c>
      <c r="R200" s="2" t="inlineStr"/>
    </row>
    <row r="201" ht="15" customHeight="1">
      <c r="A201" t="inlineStr">
        <is>
          <t>A 51774-2020</t>
        </is>
      </c>
      <c r="B201" s="1" t="n">
        <v>44115</v>
      </c>
      <c r="C201" s="1" t="n">
        <v>45834</v>
      </c>
      <c r="D201" t="inlineStr">
        <is>
          <t>DALARNAS LÄN</t>
        </is>
      </c>
      <c r="E201" t="inlineStr">
        <is>
          <t>SMEDJEBACKEN</t>
        </is>
      </c>
      <c r="G201" t="n">
        <v>0.3</v>
      </c>
      <c r="H201" t="n">
        <v>0</v>
      </c>
      <c r="I201" t="n">
        <v>0</v>
      </c>
      <c r="J201" t="n">
        <v>0</v>
      </c>
      <c r="K201" t="n">
        <v>0</v>
      </c>
      <c r="L201" t="n">
        <v>0</v>
      </c>
      <c r="M201" t="n">
        <v>0</v>
      </c>
      <c r="N201" t="n">
        <v>0</v>
      </c>
      <c r="O201" t="n">
        <v>0</v>
      </c>
      <c r="P201" t="n">
        <v>0</v>
      </c>
      <c r="Q201" t="n">
        <v>0</v>
      </c>
      <c r="R201" s="2" t="inlineStr"/>
    </row>
    <row r="202" ht="15" customHeight="1">
      <c r="A202" t="inlineStr">
        <is>
          <t>A 51776-2020</t>
        </is>
      </c>
      <c r="B202" s="1" t="n">
        <v>44116</v>
      </c>
      <c r="C202" s="1" t="n">
        <v>45834</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53575-2020</t>
        </is>
      </c>
      <c r="B203" s="1" t="n">
        <v>44124</v>
      </c>
      <c r="C203" s="1" t="n">
        <v>45834</v>
      </c>
      <c r="D203" t="inlineStr">
        <is>
          <t>DALARNAS LÄN</t>
        </is>
      </c>
      <c r="E203" t="inlineStr">
        <is>
          <t>SMEDJEBACKEN</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53572-2020</t>
        </is>
      </c>
      <c r="B204" s="1" t="n">
        <v>44124</v>
      </c>
      <c r="C204" s="1" t="n">
        <v>45834</v>
      </c>
      <c r="D204" t="inlineStr">
        <is>
          <t>DALARNAS LÄN</t>
        </is>
      </c>
      <c r="E204" t="inlineStr">
        <is>
          <t>SMEDJEBACKEN</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53577-2020</t>
        </is>
      </c>
      <c r="B205" s="1" t="n">
        <v>44124</v>
      </c>
      <c r="C205" s="1" t="n">
        <v>45834</v>
      </c>
      <c r="D205" t="inlineStr">
        <is>
          <t>DALARNAS LÄN</t>
        </is>
      </c>
      <c r="E205" t="inlineStr">
        <is>
          <t>SMEDJEBACKEN</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53570-2020</t>
        </is>
      </c>
      <c r="B206" s="1" t="n">
        <v>44124</v>
      </c>
      <c r="C206" s="1" t="n">
        <v>45834</v>
      </c>
      <c r="D206" t="inlineStr">
        <is>
          <t>DALARNAS LÄN</t>
        </is>
      </c>
      <c r="E206" t="inlineStr">
        <is>
          <t>SMEDJEBACKEN</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53576-2020</t>
        </is>
      </c>
      <c r="B207" s="1" t="n">
        <v>44124</v>
      </c>
      <c r="C207" s="1" t="n">
        <v>45834</v>
      </c>
      <c r="D207" t="inlineStr">
        <is>
          <t>DALARNAS LÄN</t>
        </is>
      </c>
      <c r="E207" t="inlineStr">
        <is>
          <t>SMEDJEBACKEN</t>
        </is>
      </c>
      <c r="F207" t="inlineStr">
        <is>
          <t>Sveaskog</t>
        </is>
      </c>
      <c r="G207" t="n">
        <v>3.9</v>
      </c>
      <c r="H207" t="n">
        <v>0</v>
      </c>
      <c r="I207" t="n">
        <v>0</v>
      </c>
      <c r="J207" t="n">
        <v>0</v>
      </c>
      <c r="K207" t="n">
        <v>0</v>
      </c>
      <c r="L207" t="n">
        <v>0</v>
      </c>
      <c r="M207" t="n">
        <v>0</v>
      </c>
      <c r="N207" t="n">
        <v>0</v>
      </c>
      <c r="O207" t="n">
        <v>0</v>
      </c>
      <c r="P207" t="n">
        <v>0</v>
      </c>
      <c r="Q207" t="n">
        <v>0</v>
      </c>
      <c r="R207" s="2" t="inlineStr"/>
    </row>
    <row r="208" ht="15" customHeight="1">
      <c r="A208" t="inlineStr">
        <is>
          <t>A 53919-2020</t>
        </is>
      </c>
      <c r="B208" s="1" t="n">
        <v>44125</v>
      </c>
      <c r="C208" s="1" t="n">
        <v>45834</v>
      </c>
      <c r="D208" t="inlineStr">
        <is>
          <t>DALARNAS LÄN</t>
        </is>
      </c>
      <c r="E208" t="inlineStr">
        <is>
          <t>SMEDJEBACKEN</t>
        </is>
      </c>
      <c r="G208" t="n">
        <v>4</v>
      </c>
      <c r="H208" t="n">
        <v>0</v>
      </c>
      <c r="I208" t="n">
        <v>0</v>
      </c>
      <c r="J208" t="n">
        <v>0</v>
      </c>
      <c r="K208" t="n">
        <v>0</v>
      </c>
      <c r="L208" t="n">
        <v>0</v>
      </c>
      <c r="M208" t="n">
        <v>0</v>
      </c>
      <c r="N208" t="n">
        <v>0</v>
      </c>
      <c r="O208" t="n">
        <v>0</v>
      </c>
      <c r="P208" t="n">
        <v>0</v>
      </c>
      <c r="Q208" t="n">
        <v>0</v>
      </c>
      <c r="R208" s="2" t="inlineStr"/>
    </row>
    <row r="209" ht="15" customHeight="1">
      <c r="A209" t="inlineStr">
        <is>
          <t>A 54889-2020</t>
        </is>
      </c>
      <c r="B209" s="1" t="n">
        <v>44126</v>
      </c>
      <c r="C209" s="1" t="n">
        <v>45834</v>
      </c>
      <c r="D209" t="inlineStr">
        <is>
          <t>DALARNAS LÄN</t>
        </is>
      </c>
      <c r="E209" t="inlineStr">
        <is>
          <t>SMEDJEBACKEN</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54868-2020</t>
        </is>
      </c>
      <c r="B210" s="1" t="n">
        <v>44126</v>
      </c>
      <c r="C210" s="1" t="n">
        <v>45834</v>
      </c>
      <c r="D210" t="inlineStr">
        <is>
          <t>DALARNAS LÄN</t>
        </is>
      </c>
      <c r="E210" t="inlineStr">
        <is>
          <t>SMEDJEBACKEN</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54886-2020</t>
        </is>
      </c>
      <c r="B211" s="1" t="n">
        <v>44126</v>
      </c>
      <c r="C211" s="1" t="n">
        <v>45834</v>
      </c>
      <c r="D211" t="inlineStr">
        <is>
          <t>DALARNAS LÄN</t>
        </is>
      </c>
      <c r="E211" t="inlineStr">
        <is>
          <t>SMEDJEBACKEN</t>
        </is>
      </c>
      <c r="F211" t="inlineStr">
        <is>
          <t>Bergvik skog väst AB</t>
        </is>
      </c>
      <c r="G211" t="n">
        <v>8</v>
      </c>
      <c r="H211" t="n">
        <v>0</v>
      </c>
      <c r="I211" t="n">
        <v>0</v>
      </c>
      <c r="J211" t="n">
        <v>0</v>
      </c>
      <c r="K211" t="n">
        <v>0</v>
      </c>
      <c r="L211" t="n">
        <v>0</v>
      </c>
      <c r="M211" t="n">
        <v>0</v>
      </c>
      <c r="N211" t="n">
        <v>0</v>
      </c>
      <c r="O211" t="n">
        <v>0</v>
      </c>
      <c r="P211" t="n">
        <v>0</v>
      </c>
      <c r="Q211" t="n">
        <v>0</v>
      </c>
      <c r="R211" s="2" t="inlineStr"/>
    </row>
    <row r="212" ht="15" customHeight="1">
      <c r="A212" t="inlineStr">
        <is>
          <t>A 54867-2020</t>
        </is>
      </c>
      <c r="B212" s="1" t="n">
        <v>44126</v>
      </c>
      <c r="C212" s="1" t="n">
        <v>45834</v>
      </c>
      <c r="D212" t="inlineStr">
        <is>
          <t>DALARNAS LÄN</t>
        </is>
      </c>
      <c r="E212" t="inlineStr">
        <is>
          <t>SMEDJEBACKEN</t>
        </is>
      </c>
      <c r="F212" t="inlineStr">
        <is>
          <t>Bergvik skog väst AB</t>
        </is>
      </c>
      <c r="G212" t="n">
        <v>3.6</v>
      </c>
      <c r="H212" t="n">
        <v>0</v>
      </c>
      <c r="I212" t="n">
        <v>0</v>
      </c>
      <c r="J212" t="n">
        <v>0</v>
      </c>
      <c r="K212" t="n">
        <v>0</v>
      </c>
      <c r="L212" t="n">
        <v>0</v>
      </c>
      <c r="M212" t="n">
        <v>0</v>
      </c>
      <c r="N212" t="n">
        <v>0</v>
      </c>
      <c r="O212" t="n">
        <v>0</v>
      </c>
      <c r="P212" t="n">
        <v>0</v>
      </c>
      <c r="Q212" t="n">
        <v>0</v>
      </c>
      <c r="R212" s="2" t="inlineStr"/>
    </row>
    <row r="213" ht="15" customHeight="1">
      <c r="A213" t="inlineStr">
        <is>
          <t>A 54894-2020</t>
        </is>
      </c>
      <c r="B213" s="1" t="n">
        <v>44126</v>
      </c>
      <c r="C213" s="1" t="n">
        <v>45834</v>
      </c>
      <c r="D213" t="inlineStr">
        <is>
          <t>DALARNAS LÄN</t>
        </is>
      </c>
      <c r="E213" t="inlineStr">
        <is>
          <t>SMEDJEBACKEN</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56372-2020</t>
        </is>
      </c>
      <c r="B214" s="1" t="n">
        <v>44136</v>
      </c>
      <c r="C214" s="1" t="n">
        <v>45834</v>
      </c>
      <c r="D214" t="inlineStr">
        <is>
          <t>DALARNAS LÄN</t>
        </is>
      </c>
      <c r="E214" t="inlineStr">
        <is>
          <t>SMEDJEBACKEN</t>
        </is>
      </c>
      <c r="F214" t="inlineStr">
        <is>
          <t>Kyrkan</t>
        </is>
      </c>
      <c r="G214" t="n">
        <v>1.5</v>
      </c>
      <c r="H214" t="n">
        <v>0</v>
      </c>
      <c r="I214" t="n">
        <v>0</v>
      </c>
      <c r="J214" t="n">
        <v>0</v>
      </c>
      <c r="K214" t="n">
        <v>0</v>
      </c>
      <c r="L214" t="n">
        <v>0</v>
      </c>
      <c r="M214" t="n">
        <v>0</v>
      </c>
      <c r="N214" t="n">
        <v>0</v>
      </c>
      <c r="O214" t="n">
        <v>0</v>
      </c>
      <c r="P214" t="n">
        <v>0</v>
      </c>
      <c r="Q214" t="n">
        <v>0</v>
      </c>
      <c r="R214" s="2" t="inlineStr"/>
    </row>
    <row r="215" ht="15" customHeight="1">
      <c r="A215" t="inlineStr">
        <is>
          <t>A 57904-2020</t>
        </is>
      </c>
      <c r="B215" s="1" t="n">
        <v>44141</v>
      </c>
      <c r="C215" s="1" t="n">
        <v>45834</v>
      </c>
      <c r="D215" t="inlineStr">
        <is>
          <t>DALARNAS LÄN</t>
        </is>
      </c>
      <c r="E215" t="inlineStr">
        <is>
          <t>SMEDJEBACKEN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59324-2020</t>
        </is>
      </c>
      <c r="B216" s="1" t="n">
        <v>44147</v>
      </c>
      <c r="C216" s="1" t="n">
        <v>45834</v>
      </c>
      <c r="D216" t="inlineStr">
        <is>
          <t>DALARNAS LÄN</t>
        </is>
      </c>
      <c r="E216" t="inlineStr">
        <is>
          <t>SMEDJEBACKEN</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59381-2020</t>
        </is>
      </c>
      <c r="B217" s="1" t="n">
        <v>44148</v>
      </c>
      <c r="C217" s="1" t="n">
        <v>45834</v>
      </c>
      <c r="D217" t="inlineStr">
        <is>
          <t>DALARNAS LÄN</t>
        </is>
      </c>
      <c r="E217" t="inlineStr">
        <is>
          <t>SMEDJEBACKEN</t>
        </is>
      </c>
      <c r="F217" t="inlineStr">
        <is>
          <t>Sveaskog</t>
        </is>
      </c>
      <c r="G217" t="n">
        <v>6.2</v>
      </c>
      <c r="H217" t="n">
        <v>0</v>
      </c>
      <c r="I217" t="n">
        <v>0</v>
      </c>
      <c r="J217" t="n">
        <v>0</v>
      </c>
      <c r="K217" t="n">
        <v>0</v>
      </c>
      <c r="L217" t="n">
        <v>0</v>
      </c>
      <c r="M217" t="n">
        <v>0</v>
      </c>
      <c r="N217" t="n">
        <v>0</v>
      </c>
      <c r="O217" t="n">
        <v>0</v>
      </c>
      <c r="P217" t="n">
        <v>0</v>
      </c>
      <c r="Q217" t="n">
        <v>0</v>
      </c>
      <c r="R217" s="2" t="inlineStr"/>
    </row>
    <row r="218" ht="15" customHeight="1">
      <c r="A218" t="inlineStr">
        <is>
          <t>A 59536-2020</t>
        </is>
      </c>
      <c r="B218" s="1" t="n">
        <v>44148</v>
      </c>
      <c r="C218" s="1" t="n">
        <v>45834</v>
      </c>
      <c r="D218" t="inlineStr">
        <is>
          <t>DALARNAS LÄN</t>
        </is>
      </c>
      <c r="E218" t="inlineStr">
        <is>
          <t>SMEDJEBACKEN</t>
        </is>
      </c>
      <c r="F218" t="inlineStr">
        <is>
          <t>Bergvik skog väst AB</t>
        </is>
      </c>
      <c r="G218" t="n">
        <v>3</v>
      </c>
      <c r="H218" t="n">
        <v>0</v>
      </c>
      <c r="I218" t="n">
        <v>0</v>
      </c>
      <c r="J218" t="n">
        <v>0</v>
      </c>
      <c r="K218" t="n">
        <v>0</v>
      </c>
      <c r="L218" t="n">
        <v>0</v>
      </c>
      <c r="M218" t="n">
        <v>0</v>
      </c>
      <c r="N218" t="n">
        <v>0</v>
      </c>
      <c r="O218" t="n">
        <v>0</v>
      </c>
      <c r="P218" t="n">
        <v>0</v>
      </c>
      <c r="Q218" t="n">
        <v>0</v>
      </c>
      <c r="R218" s="2" t="inlineStr"/>
    </row>
    <row r="219" ht="15" customHeight="1">
      <c r="A219" t="inlineStr">
        <is>
          <t>A 62215-2020</t>
        </is>
      </c>
      <c r="B219" s="1" t="n">
        <v>44159</v>
      </c>
      <c r="C219" s="1" t="n">
        <v>45834</v>
      </c>
      <c r="D219" t="inlineStr">
        <is>
          <t>DALARNAS LÄN</t>
        </is>
      </c>
      <c r="E219" t="inlineStr">
        <is>
          <t>SMEDJEBACKEN</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62690-2020</t>
        </is>
      </c>
      <c r="B220" s="1" t="n">
        <v>44161</v>
      </c>
      <c r="C220" s="1" t="n">
        <v>45834</v>
      </c>
      <c r="D220" t="inlineStr">
        <is>
          <t>DALARNAS LÄN</t>
        </is>
      </c>
      <c r="E220" t="inlineStr">
        <is>
          <t>SMEDJEBACKEN</t>
        </is>
      </c>
      <c r="G220" t="n">
        <v>4.5</v>
      </c>
      <c r="H220" t="n">
        <v>0</v>
      </c>
      <c r="I220" t="n">
        <v>0</v>
      </c>
      <c r="J220" t="n">
        <v>0</v>
      </c>
      <c r="K220" t="n">
        <v>0</v>
      </c>
      <c r="L220" t="n">
        <v>0</v>
      </c>
      <c r="M220" t="n">
        <v>0</v>
      </c>
      <c r="N220" t="n">
        <v>0</v>
      </c>
      <c r="O220" t="n">
        <v>0</v>
      </c>
      <c r="P220" t="n">
        <v>0</v>
      </c>
      <c r="Q220" t="n">
        <v>0</v>
      </c>
      <c r="R220" s="2" t="inlineStr"/>
    </row>
    <row r="221" ht="15" customHeight="1">
      <c r="A221" t="inlineStr">
        <is>
          <t>A 63255-2020</t>
        </is>
      </c>
      <c r="B221" s="1" t="n">
        <v>44164</v>
      </c>
      <c r="C221" s="1" t="n">
        <v>45834</v>
      </c>
      <c r="D221" t="inlineStr">
        <is>
          <t>DALARNAS LÄN</t>
        </is>
      </c>
      <c r="E221" t="inlineStr">
        <is>
          <t>SMEDJEBACKEN</t>
        </is>
      </c>
      <c r="G221" t="n">
        <v>0.6</v>
      </c>
      <c r="H221" t="n">
        <v>0</v>
      </c>
      <c r="I221" t="n">
        <v>0</v>
      </c>
      <c r="J221" t="n">
        <v>0</v>
      </c>
      <c r="K221" t="n">
        <v>0</v>
      </c>
      <c r="L221" t="n">
        <v>0</v>
      </c>
      <c r="M221" t="n">
        <v>0</v>
      </c>
      <c r="N221" t="n">
        <v>0</v>
      </c>
      <c r="O221" t="n">
        <v>0</v>
      </c>
      <c r="P221" t="n">
        <v>0</v>
      </c>
      <c r="Q221" t="n">
        <v>0</v>
      </c>
      <c r="R221" s="2" t="inlineStr"/>
    </row>
    <row r="222" ht="15" customHeight="1">
      <c r="A222" t="inlineStr">
        <is>
          <t>A 63249-2020</t>
        </is>
      </c>
      <c r="B222" s="1" t="n">
        <v>44164</v>
      </c>
      <c r="C222" s="1" t="n">
        <v>45834</v>
      </c>
      <c r="D222" t="inlineStr">
        <is>
          <t>DALARNAS LÄN</t>
        </is>
      </c>
      <c r="E222" t="inlineStr">
        <is>
          <t>SMEDJEBACKEN</t>
        </is>
      </c>
      <c r="G222" t="n">
        <v>1.3</v>
      </c>
      <c r="H222" t="n">
        <v>0</v>
      </c>
      <c r="I222" t="n">
        <v>0</v>
      </c>
      <c r="J222" t="n">
        <v>0</v>
      </c>
      <c r="K222" t="n">
        <v>0</v>
      </c>
      <c r="L222" t="n">
        <v>0</v>
      </c>
      <c r="M222" t="n">
        <v>0</v>
      </c>
      <c r="N222" t="n">
        <v>0</v>
      </c>
      <c r="O222" t="n">
        <v>0</v>
      </c>
      <c r="P222" t="n">
        <v>0</v>
      </c>
      <c r="Q222" t="n">
        <v>0</v>
      </c>
      <c r="R222" s="2" t="inlineStr"/>
    </row>
    <row r="223" ht="15" customHeight="1">
      <c r="A223" t="inlineStr">
        <is>
          <t>A 63248-2020</t>
        </is>
      </c>
      <c r="B223" s="1" t="n">
        <v>44164</v>
      </c>
      <c r="C223" s="1" t="n">
        <v>45834</v>
      </c>
      <c r="D223" t="inlineStr">
        <is>
          <t>DALARNAS LÄN</t>
        </is>
      </c>
      <c r="E223" t="inlineStr">
        <is>
          <t>SMEDJEBACKEN</t>
        </is>
      </c>
      <c r="G223" t="n">
        <v>0.3</v>
      </c>
      <c r="H223" t="n">
        <v>0</v>
      </c>
      <c r="I223" t="n">
        <v>0</v>
      </c>
      <c r="J223" t="n">
        <v>0</v>
      </c>
      <c r="K223" t="n">
        <v>0</v>
      </c>
      <c r="L223" t="n">
        <v>0</v>
      </c>
      <c r="M223" t="n">
        <v>0</v>
      </c>
      <c r="N223" t="n">
        <v>0</v>
      </c>
      <c r="O223" t="n">
        <v>0</v>
      </c>
      <c r="P223" t="n">
        <v>0</v>
      </c>
      <c r="Q223" t="n">
        <v>0</v>
      </c>
      <c r="R223" s="2" t="inlineStr"/>
    </row>
    <row r="224" ht="15" customHeight="1">
      <c r="A224" t="inlineStr">
        <is>
          <t>A 63854-2020</t>
        </is>
      </c>
      <c r="B224" s="1" t="n">
        <v>44165</v>
      </c>
      <c r="C224" s="1" t="n">
        <v>45834</v>
      </c>
      <c r="D224" t="inlineStr">
        <is>
          <t>DALARNAS LÄN</t>
        </is>
      </c>
      <c r="E224" t="inlineStr">
        <is>
          <t>SMEDJEBACKEN</t>
        </is>
      </c>
      <c r="G224" t="n">
        <v>22.4</v>
      </c>
      <c r="H224" t="n">
        <v>0</v>
      </c>
      <c r="I224" t="n">
        <v>0</v>
      </c>
      <c r="J224" t="n">
        <v>0</v>
      </c>
      <c r="K224" t="n">
        <v>0</v>
      </c>
      <c r="L224" t="n">
        <v>0</v>
      </c>
      <c r="M224" t="n">
        <v>0</v>
      </c>
      <c r="N224" t="n">
        <v>0</v>
      </c>
      <c r="O224" t="n">
        <v>0</v>
      </c>
      <c r="P224" t="n">
        <v>0</v>
      </c>
      <c r="Q224" t="n">
        <v>0</v>
      </c>
      <c r="R224" s="2" t="inlineStr"/>
    </row>
    <row r="225" ht="15" customHeight="1">
      <c r="A225" t="inlineStr">
        <is>
          <t>A 66730-2020</t>
        </is>
      </c>
      <c r="B225" s="1" t="n">
        <v>44179</v>
      </c>
      <c r="C225" s="1" t="n">
        <v>45834</v>
      </c>
      <c r="D225" t="inlineStr">
        <is>
          <t>DALARNAS LÄN</t>
        </is>
      </c>
      <c r="E225" t="inlineStr">
        <is>
          <t>SMEDJEBACKEN</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68784-2020</t>
        </is>
      </c>
      <c r="B226" s="1" t="n">
        <v>44187</v>
      </c>
      <c r="C226" s="1" t="n">
        <v>45834</v>
      </c>
      <c r="D226" t="inlineStr">
        <is>
          <t>DALARNAS LÄN</t>
        </is>
      </c>
      <c r="E226" t="inlineStr">
        <is>
          <t>SMEDJEBACKEN</t>
        </is>
      </c>
      <c r="G226" t="n">
        <v>2.5</v>
      </c>
      <c r="H226" t="n">
        <v>0</v>
      </c>
      <c r="I226" t="n">
        <v>0</v>
      </c>
      <c r="J226" t="n">
        <v>0</v>
      </c>
      <c r="K226" t="n">
        <v>0</v>
      </c>
      <c r="L226" t="n">
        <v>0</v>
      </c>
      <c r="M226" t="n">
        <v>0</v>
      </c>
      <c r="N226" t="n">
        <v>0</v>
      </c>
      <c r="O226" t="n">
        <v>0</v>
      </c>
      <c r="P226" t="n">
        <v>0</v>
      </c>
      <c r="Q226" t="n">
        <v>0</v>
      </c>
      <c r="R226" s="2" t="inlineStr"/>
    </row>
    <row r="227" ht="15" customHeight="1">
      <c r="A227" t="inlineStr">
        <is>
          <t>A 458-2021</t>
        </is>
      </c>
      <c r="B227" s="1" t="n">
        <v>44202</v>
      </c>
      <c r="C227" s="1" t="n">
        <v>45834</v>
      </c>
      <c r="D227" t="inlineStr">
        <is>
          <t>DALARNAS LÄN</t>
        </is>
      </c>
      <c r="E227" t="inlineStr">
        <is>
          <t>SMEDJEBACKEN</t>
        </is>
      </c>
      <c r="G227" t="n">
        <v>3.7</v>
      </c>
      <c r="H227" t="n">
        <v>0</v>
      </c>
      <c r="I227" t="n">
        <v>0</v>
      </c>
      <c r="J227" t="n">
        <v>0</v>
      </c>
      <c r="K227" t="n">
        <v>0</v>
      </c>
      <c r="L227" t="n">
        <v>0</v>
      </c>
      <c r="M227" t="n">
        <v>0</v>
      </c>
      <c r="N227" t="n">
        <v>0</v>
      </c>
      <c r="O227" t="n">
        <v>0</v>
      </c>
      <c r="P227" t="n">
        <v>0</v>
      </c>
      <c r="Q227" t="n">
        <v>0</v>
      </c>
      <c r="R227" s="2" t="inlineStr"/>
    </row>
    <row r="228" ht="15" customHeight="1">
      <c r="A228" t="inlineStr">
        <is>
          <t>A 2296-2021</t>
        </is>
      </c>
      <c r="B228" s="1" t="n">
        <v>44212</v>
      </c>
      <c r="C228" s="1" t="n">
        <v>45834</v>
      </c>
      <c r="D228" t="inlineStr">
        <is>
          <t>DALARNAS LÄN</t>
        </is>
      </c>
      <c r="E228" t="inlineStr">
        <is>
          <t>SMEDJEBACKEN</t>
        </is>
      </c>
      <c r="G228" t="n">
        <v>11.6</v>
      </c>
      <c r="H228" t="n">
        <v>0</v>
      </c>
      <c r="I228" t="n">
        <v>0</v>
      </c>
      <c r="J228" t="n">
        <v>0</v>
      </c>
      <c r="K228" t="n">
        <v>0</v>
      </c>
      <c r="L228" t="n">
        <v>0</v>
      </c>
      <c r="M228" t="n">
        <v>0</v>
      </c>
      <c r="N228" t="n">
        <v>0</v>
      </c>
      <c r="O228" t="n">
        <v>0</v>
      </c>
      <c r="P228" t="n">
        <v>0</v>
      </c>
      <c r="Q228" t="n">
        <v>0</v>
      </c>
      <c r="R228" s="2" t="inlineStr"/>
    </row>
    <row r="229" ht="15" customHeight="1">
      <c r="A229" t="inlineStr">
        <is>
          <t>A 5707-2021</t>
        </is>
      </c>
      <c r="B229" s="1" t="n">
        <v>44230</v>
      </c>
      <c r="C229" s="1" t="n">
        <v>45834</v>
      </c>
      <c r="D229" t="inlineStr">
        <is>
          <t>DALARNAS LÄN</t>
        </is>
      </c>
      <c r="E229" t="inlineStr">
        <is>
          <t>SMEDJEBACKEN</t>
        </is>
      </c>
      <c r="G229" t="n">
        <v>4.7</v>
      </c>
      <c r="H229" t="n">
        <v>0</v>
      </c>
      <c r="I229" t="n">
        <v>0</v>
      </c>
      <c r="J229" t="n">
        <v>0</v>
      </c>
      <c r="K229" t="n">
        <v>0</v>
      </c>
      <c r="L229" t="n">
        <v>0</v>
      </c>
      <c r="M229" t="n">
        <v>0</v>
      </c>
      <c r="N229" t="n">
        <v>0</v>
      </c>
      <c r="O229" t="n">
        <v>0</v>
      </c>
      <c r="P229" t="n">
        <v>0</v>
      </c>
      <c r="Q229" t="n">
        <v>0</v>
      </c>
      <c r="R229" s="2" t="inlineStr"/>
    </row>
    <row r="230" ht="15" customHeight="1">
      <c r="A230" t="inlineStr">
        <is>
          <t>A 5616-2021</t>
        </is>
      </c>
      <c r="B230" s="1" t="n">
        <v>44230</v>
      </c>
      <c r="C230" s="1" t="n">
        <v>45834</v>
      </c>
      <c r="D230" t="inlineStr">
        <is>
          <t>DALARNAS LÄN</t>
        </is>
      </c>
      <c r="E230" t="inlineStr">
        <is>
          <t>SMEDJEBACKEN</t>
        </is>
      </c>
      <c r="G230" t="n">
        <v>5</v>
      </c>
      <c r="H230" t="n">
        <v>0</v>
      </c>
      <c r="I230" t="n">
        <v>0</v>
      </c>
      <c r="J230" t="n">
        <v>0</v>
      </c>
      <c r="K230" t="n">
        <v>0</v>
      </c>
      <c r="L230" t="n">
        <v>0</v>
      </c>
      <c r="M230" t="n">
        <v>0</v>
      </c>
      <c r="N230" t="n">
        <v>0</v>
      </c>
      <c r="O230" t="n">
        <v>0</v>
      </c>
      <c r="P230" t="n">
        <v>0</v>
      </c>
      <c r="Q230" t="n">
        <v>0</v>
      </c>
      <c r="R230" s="2" t="inlineStr"/>
    </row>
    <row r="231" ht="15" customHeight="1">
      <c r="A231" t="inlineStr">
        <is>
          <t>A 6187-2021</t>
        </is>
      </c>
      <c r="B231" s="1" t="n">
        <v>44234</v>
      </c>
      <c r="C231" s="1" t="n">
        <v>45834</v>
      </c>
      <c r="D231" t="inlineStr">
        <is>
          <t>DALARNAS LÄN</t>
        </is>
      </c>
      <c r="E231" t="inlineStr">
        <is>
          <t>SMEDJEBACKEN</t>
        </is>
      </c>
      <c r="G231" t="n">
        <v>2.8</v>
      </c>
      <c r="H231" t="n">
        <v>0</v>
      </c>
      <c r="I231" t="n">
        <v>0</v>
      </c>
      <c r="J231" t="n">
        <v>0</v>
      </c>
      <c r="K231" t="n">
        <v>0</v>
      </c>
      <c r="L231" t="n">
        <v>0</v>
      </c>
      <c r="M231" t="n">
        <v>0</v>
      </c>
      <c r="N231" t="n">
        <v>0</v>
      </c>
      <c r="O231" t="n">
        <v>0</v>
      </c>
      <c r="P231" t="n">
        <v>0</v>
      </c>
      <c r="Q231" t="n">
        <v>0</v>
      </c>
      <c r="R231" s="2" t="inlineStr"/>
    </row>
    <row r="232" ht="15" customHeight="1">
      <c r="A232" t="inlineStr">
        <is>
          <t>A 6735-2021</t>
        </is>
      </c>
      <c r="B232" s="1" t="n">
        <v>44236</v>
      </c>
      <c r="C232" s="1" t="n">
        <v>45834</v>
      </c>
      <c r="D232" t="inlineStr">
        <is>
          <t>DALARNAS LÄN</t>
        </is>
      </c>
      <c r="E232" t="inlineStr">
        <is>
          <t>SMEDJEBACKEN</t>
        </is>
      </c>
      <c r="F232" t="inlineStr">
        <is>
          <t>Övriga Aktiebolag</t>
        </is>
      </c>
      <c r="G232" t="n">
        <v>0.6</v>
      </c>
      <c r="H232" t="n">
        <v>0</v>
      </c>
      <c r="I232" t="n">
        <v>0</v>
      </c>
      <c r="J232" t="n">
        <v>0</v>
      </c>
      <c r="K232" t="n">
        <v>0</v>
      </c>
      <c r="L232" t="n">
        <v>0</v>
      </c>
      <c r="M232" t="n">
        <v>0</v>
      </c>
      <c r="N232" t="n">
        <v>0</v>
      </c>
      <c r="O232" t="n">
        <v>0</v>
      </c>
      <c r="P232" t="n">
        <v>0</v>
      </c>
      <c r="Q232" t="n">
        <v>0</v>
      </c>
      <c r="R232" s="2" t="inlineStr"/>
    </row>
    <row r="233" ht="15" customHeight="1">
      <c r="A233" t="inlineStr">
        <is>
          <t>A 10997-2021</t>
        </is>
      </c>
      <c r="B233" s="1" t="n">
        <v>44260</v>
      </c>
      <c r="C233" s="1" t="n">
        <v>45834</v>
      </c>
      <c r="D233" t="inlineStr">
        <is>
          <t>DALARNAS LÄN</t>
        </is>
      </c>
      <c r="E233" t="inlineStr">
        <is>
          <t>SMEDJEBACKEN</t>
        </is>
      </c>
      <c r="G233" t="n">
        <v>5.7</v>
      </c>
      <c r="H233" t="n">
        <v>0</v>
      </c>
      <c r="I233" t="n">
        <v>0</v>
      </c>
      <c r="J233" t="n">
        <v>0</v>
      </c>
      <c r="K233" t="n">
        <v>0</v>
      </c>
      <c r="L233" t="n">
        <v>0</v>
      </c>
      <c r="M233" t="n">
        <v>0</v>
      </c>
      <c r="N233" t="n">
        <v>0</v>
      </c>
      <c r="O233" t="n">
        <v>0</v>
      </c>
      <c r="P233" t="n">
        <v>0</v>
      </c>
      <c r="Q233" t="n">
        <v>0</v>
      </c>
      <c r="R233" s="2" t="inlineStr"/>
    </row>
    <row r="234" ht="15" customHeight="1">
      <c r="A234" t="inlineStr">
        <is>
          <t>A 10996-2021</t>
        </is>
      </c>
      <c r="B234" s="1" t="n">
        <v>44260</v>
      </c>
      <c r="C234" s="1" t="n">
        <v>45834</v>
      </c>
      <c r="D234" t="inlineStr">
        <is>
          <t>DALARNAS LÄN</t>
        </is>
      </c>
      <c r="E234" t="inlineStr">
        <is>
          <t>SMEDJEBACKEN</t>
        </is>
      </c>
      <c r="G234" t="n">
        <v>4</v>
      </c>
      <c r="H234" t="n">
        <v>0</v>
      </c>
      <c r="I234" t="n">
        <v>0</v>
      </c>
      <c r="J234" t="n">
        <v>0</v>
      </c>
      <c r="K234" t="n">
        <v>0</v>
      </c>
      <c r="L234" t="n">
        <v>0</v>
      </c>
      <c r="M234" t="n">
        <v>0</v>
      </c>
      <c r="N234" t="n">
        <v>0</v>
      </c>
      <c r="O234" t="n">
        <v>0</v>
      </c>
      <c r="P234" t="n">
        <v>0</v>
      </c>
      <c r="Q234" t="n">
        <v>0</v>
      </c>
      <c r="R234" s="2" t="inlineStr"/>
    </row>
    <row r="235" ht="15" customHeight="1">
      <c r="A235" t="inlineStr">
        <is>
          <t>A 11143-2021</t>
        </is>
      </c>
      <c r="B235" s="1" t="n">
        <v>44261</v>
      </c>
      <c r="C235" s="1" t="n">
        <v>45834</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11141-2021</t>
        </is>
      </c>
      <c r="B236" s="1" t="n">
        <v>44261</v>
      </c>
      <c r="C236" s="1" t="n">
        <v>45834</v>
      </c>
      <c r="D236" t="inlineStr">
        <is>
          <t>DALARNAS LÄN</t>
        </is>
      </c>
      <c r="E236" t="inlineStr">
        <is>
          <t>SMEDJEBACKEN</t>
        </is>
      </c>
      <c r="G236" t="n">
        <v>2.8</v>
      </c>
      <c r="H236" t="n">
        <v>0</v>
      </c>
      <c r="I236" t="n">
        <v>0</v>
      </c>
      <c r="J236" t="n">
        <v>0</v>
      </c>
      <c r="K236" t="n">
        <v>0</v>
      </c>
      <c r="L236" t="n">
        <v>0</v>
      </c>
      <c r="M236" t="n">
        <v>0</v>
      </c>
      <c r="N236" t="n">
        <v>0</v>
      </c>
      <c r="O236" t="n">
        <v>0</v>
      </c>
      <c r="P236" t="n">
        <v>0</v>
      </c>
      <c r="Q236" t="n">
        <v>0</v>
      </c>
      <c r="R236" s="2" t="inlineStr"/>
    </row>
    <row r="237" ht="15" customHeight="1">
      <c r="A237" t="inlineStr">
        <is>
          <t>A 11502-2021</t>
        </is>
      </c>
      <c r="B237" s="1" t="n">
        <v>44264</v>
      </c>
      <c r="C237" s="1" t="n">
        <v>45834</v>
      </c>
      <c r="D237" t="inlineStr">
        <is>
          <t>DALARNAS LÄN</t>
        </is>
      </c>
      <c r="E237" t="inlineStr">
        <is>
          <t>SMEDJEBACKEN</t>
        </is>
      </c>
      <c r="G237" t="n">
        <v>3.9</v>
      </c>
      <c r="H237" t="n">
        <v>0</v>
      </c>
      <c r="I237" t="n">
        <v>0</v>
      </c>
      <c r="J237" t="n">
        <v>0</v>
      </c>
      <c r="K237" t="n">
        <v>0</v>
      </c>
      <c r="L237" t="n">
        <v>0</v>
      </c>
      <c r="M237" t="n">
        <v>0</v>
      </c>
      <c r="N237" t="n">
        <v>0</v>
      </c>
      <c r="O237" t="n">
        <v>0</v>
      </c>
      <c r="P237" t="n">
        <v>0</v>
      </c>
      <c r="Q237" t="n">
        <v>0</v>
      </c>
      <c r="R237" s="2" t="inlineStr"/>
    </row>
    <row r="238" ht="15" customHeight="1">
      <c r="A238" t="inlineStr">
        <is>
          <t>A 11647-2021</t>
        </is>
      </c>
      <c r="B238" s="1" t="n">
        <v>44264</v>
      </c>
      <c r="C238" s="1" t="n">
        <v>45834</v>
      </c>
      <c r="D238" t="inlineStr">
        <is>
          <t>DALARNAS LÄN</t>
        </is>
      </c>
      <c r="E238" t="inlineStr">
        <is>
          <t>SMEDJEBACKEN</t>
        </is>
      </c>
      <c r="G238" t="n">
        <v>1.5</v>
      </c>
      <c r="H238" t="n">
        <v>0</v>
      </c>
      <c r="I238" t="n">
        <v>0</v>
      </c>
      <c r="J238" t="n">
        <v>0</v>
      </c>
      <c r="K238" t="n">
        <v>0</v>
      </c>
      <c r="L238" t="n">
        <v>0</v>
      </c>
      <c r="M238" t="n">
        <v>0</v>
      </c>
      <c r="N238" t="n">
        <v>0</v>
      </c>
      <c r="O238" t="n">
        <v>0</v>
      </c>
      <c r="P238" t="n">
        <v>0</v>
      </c>
      <c r="Q238" t="n">
        <v>0</v>
      </c>
      <c r="R238" s="2" t="inlineStr"/>
    </row>
    <row r="239" ht="15" customHeight="1">
      <c r="A239" t="inlineStr">
        <is>
          <t>A 12349-2021</t>
        </is>
      </c>
      <c r="B239" s="1" t="n">
        <v>44267</v>
      </c>
      <c r="C239" s="1" t="n">
        <v>45834</v>
      </c>
      <c r="D239" t="inlineStr">
        <is>
          <t>DALARNAS LÄN</t>
        </is>
      </c>
      <c r="E239" t="inlineStr">
        <is>
          <t>SMEDJEBACKEN</t>
        </is>
      </c>
      <c r="F239" t="inlineStr">
        <is>
          <t>Sveaskog</t>
        </is>
      </c>
      <c r="G239" t="n">
        <v>7.8</v>
      </c>
      <c r="H239" t="n">
        <v>0</v>
      </c>
      <c r="I239" t="n">
        <v>0</v>
      </c>
      <c r="J239" t="n">
        <v>0</v>
      </c>
      <c r="K239" t="n">
        <v>0</v>
      </c>
      <c r="L239" t="n">
        <v>0</v>
      </c>
      <c r="M239" t="n">
        <v>0</v>
      </c>
      <c r="N239" t="n">
        <v>0</v>
      </c>
      <c r="O239" t="n">
        <v>0</v>
      </c>
      <c r="P239" t="n">
        <v>0</v>
      </c>
      <c r="Q239" t="n">
        <v>0</v>
      </c>
      <c r="R239" s="2" t="inlineStr"/>
    </row>
    <row r="240" ht="15" customHeight="1">
      <c r="A240" t="inlineStr">
        <is>
          <t>A 14318-2021</t>
        </is>
      </c>
      <c r="B240" s="1" t="n">
        <v>44278</v>
      </c>
      <c r="C240" s="1" t="n">
        <v>45834</v>
      </c>
      <c r="D240" t="inlineStr">
        <is>
          <t>DALARNAS LÄN</t>
        </is>
      </c>
      <c r="E240" t="inlineStr">
        <is>
          <t>SMEDJEBACKEN</t>
        </is>
      </c>
      <c r="G240" t="n">
        <v>4.6</v>
      </c>
      <c r="H240" t="n">
        <v>0</v>
      </c>
      <c r="I240" t="n">
        <v>0</v>
      </c>
      <c r="J240" t="n">
        <v>0</v>
      </c>
      <c r="K240" t="n">
        <v>0</v>
      </c>
      <c r="L240" t="n">
        <v>0</v>
      </c>
      <c r="M240" t="n">
        <v>0</v>
      </c>
      <c r="N240" t="n">
        <v>0</v>
      </c>
      <c r="O240" t="n">
        <v>0</v>
      </c>
      <c r="P240" t="n">
        <v>0</v>
      </c>
      <c r="Q240" t="n">
        <v>0</v>
      </c>
      <c r="R240" s="2" t="inlineStr"/>
    </row>
    <row r="241" ht="15" customHeight="1">
      <c r="A241" t="inlineStr">
        <is>
          <t>A 15085-2021</t>
        </is>
      </c>
      <c r="B241" s="1" t="n">
        <v>44281</v>
      </c>
      <c r="C241" s="1" t="n">
        <v>45834</v>
      </c>
      <c r="D241" t="inlineStr">
        <is>
          <t>DALARNAS LÄN</t>
        </is>
      </c>
      <c r="E241" t="inlineStr">
        <is>
          <t>SMEDJEBACKEN</t>
        </is>
      </c>
      <c r="G241" t="n">
        <v>7.3</v>
      </c>
      <c r="H241" t="n">
        <v>0</v>
      </c>
      <c r="I241" t="n">
        <v>0</v>
      </c>
      <c r="J241" t="n">
        <v>0</v>
      </c>
      <c r="K241" t="n">
        <v>0</v>
      </c>
      <c r="L241" t="n">
        <v>0</v>
      </c>
      <c r="M241" t="n">
        <v>0</v>
      </c>
      <c r="N241" t="n">
        <v>0</v>
      </c>
      <c r="O241" t="n">
        <v>0</v>
      </c>
      <c r="P241" t="n">
        <v>0</v>
      </c>
      <c r="Q241" t="n">
        <v>0</v>
      </c>
      <c r="R241" s="2" t="inlineStr"/>
    </row>
    <row r="242" ht="15" customHeight="1">
      <c r="A242" t="inlineStr">
        <is>
          <t>A 15331-2021</t>
        </is>
      </c>
      <c r="B242" s="1" t="n">
        <v>44284</v>
      </c>
      <c r="C242" s="1" t="n">
        <v>45834</v>
      </c>
      <c r="D242" t="inlineStr">
        <is>
          <t>DALARNAS LÄN</t>
        </is>
      </c>
      <c r="E242" t="inlineStr">
        <is>
          <t>SMEDJEBACKEN</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15727-2021</t>
        </is>
      </c>
      <c r="B243" s="1" t="n">
        <v>44286</v>
      </c>
      <c r="C243" s="1" t="n">
        <v>45834</v>
      </c>
      <c r="D243" t="inlineStr">
        <is>
          <t>DALARNAS LÄN</t>
        </is>
      </c>
      <c r="E243" t="inlineStr">
        <is>
          <t>SMEDJEBACKEN</t>
        </is>
      </c>
      <c r="G243" t="n">
        <v>1.9</v>
      </c>
      <c r="H243" t="n">
        <v>0</v>
      </c>
      <c r="I243" t="n">
        <v>0</v>
      </c>
      <c r="J243" t="n">
        <v>0</v>
      </c>
      <c r="K243" t="n">
        <v>0</v>
      </c>
      <c r="L243" t="n">
        <v>0</v>
      </c>
      <c r="M243" t="n">
        <v>0</v>
      </c>
      <c r="N243" t="n">
        <v>0</v>
      </c>
      <c r="O243" t="n">
        <v>0</v>
      </c>
      <c r="P243" t="n">
        <v>0</v>
      </c>
      <c r="Q243" t="n">
        <v>0</v>
      </c>
      <c r="R243" s="2" t="inlineStr"/>
    </row>
    <row r="244" ht="15" customHeight="1">
      <c r="A244" t="inlineStr">
        <is>
          <t>A 16129-2021</t>
        </is>
      </c>
      <c r="B244" s="1" t="n">
        <v>44291</v>
      </c>
      <c r="C244" s="1" t="n">
        <v>45834</v>
      </c>
      <c r="D244" t="inlineStr">
        <is>
          <t>DALARNAS LÄN</t>
        </is>
      </c>
      <c r="E244" t="inlineStr">
        <is>
          <t>SMEDJEBACKEN</t>
        </is>
      </c>
      <c r="G244" t="n">
        <v>2.3</v>
      </c>
      <c r="H244" t="n">
        <v>0</v>
      </c>
      <c r="I244" t="n">
        <v>0</v>
      </c>
      <c r="J244" t="n">
        <v>0</v>
      </c>
      <c r="K244" t="n">
        <v>0</v>
      </c>
      <c r="L244" t="n">
        <v>0</v>
      </c>
      <c r="M244" t="n">
        <v>0</v>
      </c>
      <c r="N244" t="n">
        <v>0</v>
      </c>
      <c r="O244" t="n">
        <v>0</v>
      </c>
      <c r="P244" t="n">
        <v>0</v>
      </c>
      <c r="Q244" t="n">
        <v>0</v>
      </c>
      <c r="R244" s="2" t="inlineStr"/>
    </row>
    <row r="245" ht="15" customHeight="1">
      <c r="A245" t="inlineStr">
        <is>
          <t>A 16842-2021</t>
        </is>
      </c>
      <c r="B245" s="1" t="n">
        <v>44295</v>
      </c>
      <c r="C245" s="1" t="n">
        <v>45834</v>
      </c>
      <c r="D245" t="inlineStr">
        <is>
          <t>DALARNAS LÄN</t>
        </is>
      </c>
      <c r="E245" t="inlineStr">
        <is>
          <t>SMEDJEBACKEN</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17115-2021</t>
        </is>
      </c>
      <c r="B246" s="1" t="n">
        <v>44298</v>
      </c>
      <c r="C246" s="1" t="n">
        <v>45834</v>
      </c>
      <c r="D246" t="inlineStr">
        <is>
          <t>DALARNAS LÄN</t>
        </is>
      </c>
      <c r="E246" t="inlineStr">
        <is>
          <t>SMEDJEBACKEN</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17107-2021</t>
        </is>
      </c>
      <c r="B247" s="1" t="n">
        <v>44298</v>
      </c>
      <c r="C247" s="1" t="n">
        <v>45834</v>
      </c>
      <c r="D247" t="inlineStr">
        <is>
          <t>DALARNAS LÄN</t>
        </is>
      </c>
      <c r="E247" t="inlineStr">
        <is>
          <t>SMEDJEBACKEN</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17116-2021</t>
        </is>
      </c>
      <c r="B248" s="1" t="n">
        <v>44298</v>
      </c>
      <c r="C248" s="1" t="n">
        <v>45834</v>
      </c>
      <c r="D248" t="inlineStr">
        <is>
          <t>DALARNAS LÄN</t>
        </is>
      </c>
      <c r="E248" t="inlineStr">
        <is>
          <t>SMEDJEBACKEN</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17112-2021</t>
        </is>
      </c>
      <c r="B249" s="1" t="n">
        <v>44298</v>
      </c>
      <c r="C249" s="1" t="n">
        <v>45834</v>
      </c>
      <c r="D249" t="inlineStr">
        <is>
          <t>DALARNAS LÄN</t>
        </is>
      </c>
      <c r="E249" t="inlineStr">
        <is>
          <t>SMEDJEBACKEN</t>
        </is>
      </c>
      <c r="F249" t="inlineStr">
        <is>
          <t>Sveaskog</t>
        </is>
      </c>
      <c r="G249" t="n">
        <v>6.9</v>
      </c>
      <c r="H249" t="n">
        <v>0</v>
      </c>
      <c r="I249" t="n">
        <v>0</v>
      </c>
      <c r="J249" t="n">
        <v>0</v>
      </c>
      <c r="K249" t="n">
        <v>0</v>
      </c>
      <c r="L249" t="n">
        <v>0</v>
      </c>
      <c r="M249" t="n">
        <v>0</v>
      </c>
      <c r="N249" t="n">
        <v>0</v>
      </c>
      <c r="O249" t="n">
        <v>0</v>
      </c>
      <c r="P249" t="n">
        <v>0</v>
      </c>
      <c r="Q249" t="n">
        <v>0</v>
      </c>
      <c r="R249" s="2" t="inlineStr"/>
    </row>
    <row r="250" ht="15" customHeight="1">
      <c r="A250" t="inlineStr">
        <is>
          <t>A 18120-2021</t>
        </is>
      </c>
      <c r="B250" s="1" t="n">
        <v>44302</v>
      </c>
      <c r="C250" s="1" t="n">
        <v>45834</v>
      </c>
      <c r="D250" t="inlineStr">
        <is>
          <t>DALARNAS LÄN</t>
        </is>
      </c>
      <c r="E250" t="inlineStr">
        <is>
          <t>SMEDJEBACKEN</t>
        </is>
      </c>
      <c r="G250" t="n">
        <v>0.9</v>
      </c>
      <c r="H250" t="n">
        <v>0</v>
      </c>
      <c r="I250" t="n">
        <v>0</v>
      </c>
      <c r="J250" t="n">
        <v>0</v>
      </c>
      <c r="K250" t="n">
        <v>0</v>
      </c>
      <c r="L250" t="n">
        <v>0</v>
      </c>
      <c r="M250" t="n">
        <v>0</v>
      </c>
      <c r="N250" t="n">
        <v>0</v>
      </c>
      <c r="O250" t="n">
        <v>0</v>
      </c>
      <c r="P250" t="n">
        <v>0</v>
      </c>
      <c r="Q250" t="n">
        <v>0</v>
      </c>
      <c r="R250" s="2" t="inlineStr"/>
    </row>
    <row r="251" ht="15" customHeight="1">
      <c r="A251" t="inlineStr">
        <is>
          <t>A 18198-2021</t>
        </is>
      </c>
      <c r="B251" s="1" t="n">
        <v>44302</v>
      </c>
      <c r="C251" s="1" t="n">
        <v>45834</v>
      </c>
      <c r="D251" t="inlineStr">
        <is>
          <t>DALARNAS LÄN</t>
        </is>
      </c>
      <c r="E251" t="inlineStr">
        <is>
          <t>SMEDJEBACKEN</t>
        </is>
      </c>
      <c r="F251" t="inlineStr">
        <is>
          <t>Kyrkan</t>
        </is>
      </c>
      <c r="G251" t="n">
        <v>1.1</v>
      </c>
      <c r="H251" t="n">
        <v>0</v>
      </c>
      <c r="I251" t="n">
        <v>0</v>
      </c>
      <c r="J251" t="n">
        <v>0</v>
      </c>
      <c r="K251" t="n">
        <v>0</v>
      </c>
      <c r="L251" t="n">
        <v>0</v>
      </c>
      <c r="M251" t="n">
        <v>0</v>
      </c>
      <c r="N251" t="n">
        <v>0</v>
      </c>
      <c r="O251" t="n">
        <v>0</v>
      </c>
      <c r="P251" t="n">
        <v>0</v>
      </c>
      <c r="Q251" t="n">
        <v>0</v>
      </c>
      <c r="R251" s="2" t="inlineStr"/>
    </row>
    <row r="252" ht="15" customHeight="1">
      <c r="A252" t="inlineStr">
        <is>
          <t>A 18133-2021</t>
        </is>
      </c>
      <c r="B252" s="1" t="n">
        <v>44302</v>
      </c>
      <c r="C252" s="1" t="n">
        <v>45834</v>
      </c>
      <c r="D252" t="inlineStr">
        <is>
          <t>DALARNAS LÄN</t>
        </is>
      </c>
      <c r="E252" t="inlineStr">
        <is>
          <t>SMEDJEBACKEN</t>
        </is>
      </c>
      <c r="G252" t="n">
        <v>0.7</v>
      </c>
      <c r="H252" t="n">
        <v>0</v>
      </c>
      <c r="I252" t="n">
        <v>0</v>
      </c>
      <c r="J252" t="n">
        <v>0</v>
      </c>
      <c r="K252" t="n">
        <v>0</v>
      </c>
      <c r="L252" t="n">
        <v>0</v>
      </c>
      <c r="M252" t="n">
        <v>0</v>
      </c>
      <c r="N252" t="n">
        <v>0</v>
      </c>
      <c r="O252" t="n">
        <v>0</v>
      </c>
      <c r="P252" t="n">
        <v>0</v>
      </c>
      <c r="Q252" t="n">
        <v>0</v>
      </c>
      <c r="R252" s="2" t="inlineStr"/>
    </row>
    <row r="253" ht="15" customHeight="1">
      <c r="A253" t="inlineStr">
        <is>
          <t>A 18369-2021</t>
        </is>
      </c>
      <c r="B253" s="1" t="n">
        <v>44305</v>
      </c>
      <c r="C253" s="1" t="n">
        <v>45834</v>
      </c>
      <c r="D253" t="inlineStr">
        <is>
          <t>DALARNAS LÄN</t>
        </is>
      </c>
      <c r="E253" t="inlineStr">
        <is>
          <t>SMEDJEBACKEN</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18373-2021</t>
        </is>
      </c>
      <c r="B254" s="1" t="n">
        <v>44305</v>
      </c>
      <c r="C254" s="1" t="n">
        <v>45834</v>
      </c>
      <c r="D254" t="inlineStr">
        <is>
          <t>DALARNAS LÄN</t>
        </is>
      </c>
      <c r="E254" t="inlineStr">
        <is>
          <t>SMEDJEBACKEN</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18505-2021</t>
        </is>
      </c>
      <c r="B255" s="1" t="n">
        <v>44306</v>
      </c>
      <c r="C255" s="1" t="n">
        <v>45834</v>
      </c>
      <c r="D255" t="inlineStr">
        <is>
          <t>DALARNAS LÄN</t>
        </is>
      </c>
      <c r="E255" t="inlineStr">
        <is>
          <t>SMEDJEBACKEN</t>
        </is>
      </c>
      <c r="G255" t="n">
        <v>0.8</v>
      </c>
      <c r="H255" t="n">
        <v>0</v>
      </c>
      <c r="I255" t="n">
        <v>0</v>
      </c>
      <c r="J255" t="n">
        <v>0</v>
      </c>
      <c r="K255" t="n">
        <v>0</v>
      </c>
      <c r="L255" t="n">
        <v>0</v>
      </c>
      <c r="M255" t="n">
        <v>0</v>
      </c>
      <c r="N255" t="n">
        <v>0</v>
      </c>
      <c r="O255" t="n">
        <v>0</v>
      </c>
      <c r="P255" t="n">
        <v>0</v>
      </c>
      <c r="Q255" t="n">
        <v>0</v>
      </c>
      <c r="R255" s="2" t="inlineStr"/>
    </row>
    <row r="256" ht="15" customHeight="1">
      <c r="A256" t="inlineStr">
        <is>
          <t>A 18749-2021</t>
        </is>
      </c>
      <c r="B256" s="1" t="n">
        <v>44307</v>
      </c>
      <c r="C256" s="1" t="n">
        <v>45834</v>
      </c>
      <c r="D256" t="inlineStr">
        <is>
          <t>DALARNAS LÄN</t>
        </is>
      </c>
      <c r="E256" t="inlineStr">
        <is>
          <t>SMEDJEBACKEN</t>
        </is>
      </c>
      <c r="F256" t="inlineStr">
        <is>
          <t>Övriga Aktiebolag</t>
        </is>
      </c>
      <c r="G256" t="n">
        <v>10.4</v>
      </c>
      <c r="H256" t="n">
        <v>0</v>
      </c>
      <c r="I256" t="n">
        <v>0</v>
      </c>
      <c r="J256" t="n">
        <v>0</v>
      </c>
      <c r="K256" t="n">
        <v>0</v>
      </c>
      <c r="L256" t="n">
        <v>0</v>
      </c>
      <c r="M256" t="n">
        <v>0</v>
      </c>
      <c r="N256" t="n">
        <v>0</v>
      </c>
      <c r="O256" t="n">
        <v>0</v>
      </c>
      <c r="P256" t="n">
        <v>0</v>
      </c>
      <c r="Q256" t="n">
        <v>0</v>
      </c>
      <c r="R256" s="2" t="inlineStr"/>
    </row>
    <row r="257" ht="15" customHeight="1">
      <c r="A257" t="inlineStr">
        <is>
          <t>A 18968-2021</t>
        </is>
      </c>
      <c r="B257" s="1" t="n">
        <v>44308</v>
      </c>
      <c r="C257" s="1" t="n">
        <v>45834</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19515-2021</t>
        </is>
      </c>
      <c r="B258" s="1" t="n">
        <v>44312</v>
      </c>
      <c r="C258" s="1" t="n">
        <v>45834</v>
      </c>
      <c r="D258" t="inlineStr">
        <is>
          <t>DALARNAS LÄN</t>
        </is>
      </c>
      <c r="E258" t="inlineStr">
        <is>
          <t>SMEDJEBACKEN</t>
        </is>
      </c>
      <c r="G258" t="n">
        <v>1.1</v>
      </c>
      <c r="H258" t="n">
        <v>0</v>
      </c>
      <c r="I258" t="n">
        <v>0</v>
      </c>
      <c r="J258" t="n">
        <v>0</v>
      </c>
      <c r="K258" t="n">
        <v>0</v>
      </c>
      <c r="L258" t="n">
        <v>0</v>
      </c>
      <c r="M258" t="n">
        <v>0</v>
      </c>
      <c r="N258" t="n">
        <v>0</v>
      </c>
      <c r="O258" t="n">
        <v>0</v>
      </c>
      <c r="P258" t="n">
        <v>0</v>
      </c>
      <c r="Q258" t="n">
        <v>0</v>
      </c>
      <c r="R258" s="2" t="inlineStr"/>
    </row>
    <row r="259" ht="15" customHeight="1">
      <c r="A259" t="inlineStr">
        <is>
          <t>A 19519-2021</t>
        </is>
      </c>
      <c r="B259" s="1" t="n">
        <v>44312</v>
      </c>
      <c r="C259" s="1" t="n">
        <v>45834</v>
      </c>
      <c r="D259" t="inlineStr">
        <is>
          <t>DALARNAS LÄN</t>
        </is>
      </c>
      <c r="E259" t="inlineStr">
        <is>
          <t>SMEDJEBACKEN</t>
        </is>
      </c>
      <c r="G259" t="n">
        <v>4.1</v>
      </c>
      <c r="H259" t="n">
        <v>0</v>
      </c>
      <c r="I259" t="n">
        <v>0</v>
      </c>
      <c r="J259" t="n">
        <v>0</v>
      </c>
      <c r="K259" t="n">
        <v>0</v>
      </c>
      <c r="L259" t="n">
        <v>0</v>
      </c>
      <c r="M259" t="n">
        <v>0</v>
      </c>
      <c r="N259" t="n">
        <v>0</v>
      </c>
      <c r="O259" t="n">
        <v>0</v>
      </c>
      <c r="P259" t="n">
        <v>0</v>
      </c>
      <c r="Q259" t="n">
        <v>0</v>
      </c>
      <c r="R259" s="2" t="inlineStr"/>
    </row>
    <row r="260" ht="15" customHeight="1">
      <c r="A260" t="inlineStr">
        <is>
          <t>A 20625-2021</t>
        </is>
      </c>
      <c r="B260" s="1" t="n">
        <v>44316</v>
      </c>
      <c r="C260" s="1" t="n">
        <v>45834</v>
      </c>
      <c r="D260" t="inlineStr">
        <is>
          <t>DALARNAS LÄN</t>
        </is>
      </c>
      <c r="E260" t="inlineStr">
        <is>
          <t>SMEDJEBACKEN</t>
        </is>
      </c>
      <c r="G260" t="n">
        <v>1.5</v>
      </c>
      <c r="H260" t="n">
        <v>0</v>
      </c>
      <c r="I260" t="n">
        <v>0</v>
      </c>
      <c r="J260" t="n">
        <v>0</v>
      </c>
      <c r="K260" t="n">
        <v>0</v>
      </c>
      <c r="L260" t="n">
        <v>0</v>
      </c>
      <c r="M260" t="n">
        <v>0</v>
      </c>
      <c r="N260" t="n">
        <v>0</v>
      </c>
      <c r="O260" t="n">
        <v>0</v>
      </c>
      <c r="P260" t="n">
        <v>0</v>
      </c>
      <c r="Q260" t="n">
        <v>0</v>
      </c>
      <c r="R260" s="2" t="inlineStr"/>
    </row>
    <row r="261" ht="15" customHeight="1">
      <c r="A261" t="inlineStr">
        <is>
          <t>A 20779-2021</t>
        </is>
      </c>
      <c r="B261" s="1" t="n">
        <v>44316</v>
      </c>
      <c r="C261" s="1" t="n">
        <v>45834</v>
      </c>
      <c r="D261" t="inlineStr">
        <is>
          <t>DALARNAS LÄN</t>
        </is>
      </c>
      <c r="E261" t="inlineStr">
        <is>
          <t>SMEDJEBACKEN</t>
        </is>
      </c>
      <c r="G261" t="n">
        <v>5.1</v>
      </c>
      <c r="H261" t="n">
        <v>0</v>
      </c>
      <c r="I261" t="n">
        <v>0</v>
      </c>
      <c r="J261" t="n">
        <v>0</v>
      </c>
      <c r="K261" t="n">
        <v>0</v>
      </c>
      <c r="L261" t="n">
        <v>0</v>
      </c>
      <c r="M261" t="n">
        <v>0</v>
      </c>
      <c r="N261" t="n">
        <v>0</v>
      </c>
      <c r="O261" t="n">
        <v>0</v>
      </c>
      <c r="P261" t="n">
        <v>0</v>
      </c>
      <c r="Q261" t="n">
        <v>0</v>
      </c>
      <c r="R261" s="2" t="inlineStr"/>
    </row>
    <row r="262" ht="15" customHeight="1">
      <c r="A262" t="inlineStr">
        <is>
          <t>A 20790-2021</t>
        </is>
      </c>
      <c r="B262" s="1" t="n">
        <v>44316</v>
      </c>
      <c r="C262" s="1" t="n">
        <v>45834</v>
      </c>
      <c r="D262" t="inlineStr">
        <is>
          <t>DALARNAS LÄN</t>
        </is>
      </c>
      <c r="E262" t="inlineStr">
        <is>
          <t>SMEDJEBACKEN</t>
        </is>
      </c>
      <c r="G262" t="n">
        <v>2</v>
      </c>
      <c r="H262" t="n">
        <v>0</v>
      </c>
      <c r="I262" t="n">
        <v>0</v>
      </c>
      <c r="J262" t="n">
        <v>0</v>
      </c>
      <c r="K262" t="n">
        <v>0</v>
      </c>
      <c r="L262" t="n">
        <v>0</v>
      </c>
      <c r="M262" t="n">
        <v>0</v>
      </c>
      <c r="N262" t="n">
        <v>0</v>
      </c>
      <c r="O262" t="n">
        <v>0</v>
      </c>
      <c r="P262" t="n">
        <v>0</v>
      </c>
      <c r="Q262" t="n">
        <v>0</v>
      </c>
      <c r="R262" s="2" t="inlineStr"/>
    </row>
    <row r="263" ht="15" customHeight="1">
      <c r="A263" t="inlineStr">
        <is>
          <t>A 20990-2021</t>
        </is>
      </c>
      <c r="B263" s="1" t="n">
        <v>44319</v>
      </c>
      <c r="C263" s="1" t="n">
        <v>45834</v>
      </c>
      <c r="D263" t="inlineStr">
        <is>
          <t>DALARNAS LÄN</t>
        </is>
      </c>
      <c r="E263" t="inlineStr">
        <is>
          <t>SMEDJEBACKEN</t>
        </is>
      </c>
      <c r="F263" t="inlineStr">
        <is>
          <t>Kyrkan</t>
        </is>
      </c>
      <c r="G263" t="n">
        <v>1.4</v>
      </c>
      <c r="H263" t="n">
        <v>0</v>
      </c>
      <c r="I263" t="n">
        <v>0</v>
      </c>
      <c r="J263" t="n">
        <v>0</v>
      </c>
      <c r="K263" t="n">
        <v>0</v>
      </c>
      <c r="L263" t="n">
        <v>0</v>
      </c>
      <c r="M263" t="n">
        <v>0</v>
      </c>
      <c r="N263" t="n">
        <v>0</v>
      </c>
      <c r="O263" t="n">
        <v>0</v>
      </c>
      <c r="P263" t="n">
        <v>0</v>
      </c>
      <c r="Q263" t="n">
        <v>0</v>
      </c>
      <c r="R263" s="2" t="inlineStr"/>
    </row>
    <row r="264" ht="15" customHeight="1">
      <c r="A264" t="inlineStr">
        <is>
          <t>A 21429-2021</t>
        </is>
      </c>
      <c r="B264" s="1" t="n">
        <v>44321</v>
      </c>
      <c r="C264" s="1" t="n">
        <v>45834</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21424-2021</t>
        </is>
      </c>
      <c r="B265" s="1" t="n">
        <v>44321</v>
      </c>
      <c r="C265" s="1" t="n">
        <v>45834</v>
      </c>
      <c r="D265" t="inlineStr">
        <is>
          <t>DALARNAS LÄN</t>
        </is>
      </c>
      <c r="E265" t="inlineStr">
        <is>
          <t>SMEDJEBACKEN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21468-2021</t>
        </is>
      </c>
      <c r="B266" s="1" t="n">
        <v>44321</v>
      </c>
      <c r="C266" s="1" t="n">
        <v>45834</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21414-2021</t>
        </is>
      </c>
      <c r="B267" s="1" t="n">
        <v>44321</v>
      </c>
      <c r="C267" s="1" t="n">
        <v>45834</v>
      </c>
      <c r="D267" t="inlineStr">
        <is>
          <t>DALARNAS LÄN</t>
        </is>
      </c>
      <c r="E267" t="inlineStr">
        <is>
          <t>SMEDJEBACKEN</t>
        </is>
      </c>
      <c r="G267" t="n">
        <v>0.6</v>
      </c>
      <c r="H267" t="n">
        <v>0</v>
      </c>
      <c r="I267" t="n">
        <v>0</v>
      </c>
      <c r="J267" t="n">
        <v>0</v>
      </c>
      <c r="K267" t="n">
        <v>0</v>
      </c>
      <c r="L267" t="n">
        <v>0</v>
      </c>
      <c r="M267" t="n">
        <v>0</v>
      </c>
      <c r="N267" t="n">
        <v>0</v>
      </c>
      <c r="O267" t="n">
        <v>0</v>
      </c>
      <c r="P267" t="n">
        <v>0</v>
      </c>
      <c r="Q267" t="n">
        <v>0</v>
      </c>
      <c r="R267" s="2" t="inlineStr"/>
    </row>
    <row r="268" ht="15" customHeight="1">
      <c r="A268" t="inlineStr">
        <is>
          <t>A 21451-2021</t>
        </is>
      </c>
      <c r="B268" s="1" t="n">
        <v>44321</v>
      </c>
      <c r="C268" s="1" t="n">
        <v>45834</v>
      </c>
      <c r="D268" t="inlineStr">
        <is>
          <t>DALARNAS LÄN</t>
        </is>
      </c>
      <c r="E268" t="inlineStr">
        <is>
          <t>SMEDJEBACKEN</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23040-2021</t>
        </is>
      </c>
      <c r="B269" s="1" t="n">
        <v>44329</v>
      </c>
      <c r="C269" s="1" t="n">
        <v>45834</v>
      </c>
      <c r="D269" t="inlineStr">
        <is>
          <t>DALARNAS LÄN</t>
        </is>
      </c>
      <c r="E269" t="inlineStr">
        <is>
          <t>SMEDJEBACKEN</t>
        </is>
      </c>
      <c r="F269" t="inlineStr">
        <is>
          <t>Övriga Aktiebolag</t>
        </is>
      </c>
      <c r="G269" t="n">
        <v>6</v>
      </c>
      <c r="H269" t="n">
        <v>0</v>
      </c>
      <c r="I269" t="n">
        <v>0</v>
      </c>
      <c r="J269" t="n">
        <v>0</v>
      </c>
      <c r="K269" t="n">
        <v>0</v>
      </c>
      <c r="L269" t="n">
        <v>0</v>
      </c>
      <c r="M269" t="n">
        <v>0</v>
      </c>
      <c r="N269" t="n">
        <v>0</v>
      </c>
      <c r="O269" t="n">
        <v>0</v>
      </c>
      <c r="P269" t="n">
        <v>0</v>
      </c>
      <c r="Q269" t="n">
        <v>0</v>
      </c>
      <c r="R269" s="2" t="inlineStr"/>
    </row>
    <row r="270" ht="15" customHeight="1">
      <c r="A270" t="inlineStr">
        <is>
          <t>A 23156-2021</t>
        </is>
      </c>
      <c r="B270" s="1" t="n">
        <v>44332</v>
      </c>
      <c r="C270" s="1" t="n">
        <v>45834</v>
      </c>
      <c r="D270" t="inlineStr">
        <is>
          <t>DALARNAS LÄN</t>
        </is>
      </c>
      <c r="E270" t="inlineStr">
        <is>
          <t>SMEDJEBACKEN</t>
        </is>
      </c>
      <c r="G270" t="n">
        <v>0.6</v>
      </c>
      <c r="H270" t="n">
        <v>0</v>
      </c>
      <c r="I270" t="n">
        <v>0</v>
      </c>
      <c r="J270" t="n">
        <v>0</v>
      </c>
      <c r="K270" t="n">
        <v>0</v>
      </c>
      <c r="L270" t="n">
        <v>0</v>
      </c>
      <c r="M270" t="n">
        <v>0</v>
      </c>
      <c r="N270" t="n">
        <v>0</v>
      </c>
      <c r="O270" t="n">
        <v>0</v>
      </c>
      <c r="P270" t="n">
        <v>0</v>
      </c>
      <c r="Q270" t="n">
        <v>0</v>
      </c>
      <c r="R270" s="2" t="inlineStr"/>
    </row>
    <row r="271" ht="15" customHeight="1">
      <c r="A271" t="inlineStr">
        <is>
          <t>A 23233-2021</t>
        </is>
      </c>
      <c r="B271" s="1" t="n">
        <v>44333</v>
      </c>
      <c r="C271" s="1" t="n">
        <v>45834</v>
      </c>
      <c r="D271" t="inlineStr">
        <is>
          <t>DALARNAS LÄN</t>
        </is>
      </c>
      <c r="E271" t="inlineStr">
        <is>
          <t>SMEDJEBACKEN</t>
        </is>
      </c>
      <c r="F271" t="inlineStr">
        <is>
          <t>Sveaskog</t>
        </is>
      </c>
      <c r="G271" t="n">
        <v>5</v>
      </c>
      <c r="H271" t="n">
        <v>0</v>
      </c>
      <c r="I271" t="n">
        <v>0</v>
      </c>
      <c r="J271" t="n">
        <v>0</v>
      </c>
      <c r="K271" t="n">
        <v>0</v>
      </c>
      <c r="L271" t="n">
        <v>0</v>
      </c>
      <c r="M271" t="n">
        <v>0</v>
      </c>
      <c r="N271" t="n">
        <v>0</v>
      </c>
      <c r="O271" t="n">
        <v>0</v>
      </c>
      <c r="P271" t="n">
        <v>0</v>
      </c>
      <c r="Q271" t="n">
        <v>0</v>
      </c>
      <c r="R271" s="2" t="inlineStr"/>
    </row>
    <row r="272" ht="15" customHeight="1">
      <c r="A272" t="inlineStr">
        <is>
          <t>A 23251-2021</t>
        </is>
      </c>
      <c r="B272" s="1" t="n">
        <v>44333</v>
      </c>
      <c r="C272" s="1" t="n">
        <v>45834</v>
      </c>
      <c r="D272" t="inlineStr">
        <is>
          <t>DALARNAS LÄN</t>
        </is>
      </c>
      <c r="E272" t="inlineStr">
        <is>
          <t>SMEDJEBACKEN</t>
        </is>
      </c>
      <c r="F272" t="inlineStr">
        <is>
          <t>Sveaskog</t>
        </is>
      </c>
      <c r="G272" t="n">
        <v>9</v>
      </c>
      <c r="H272" t="n">
        <v>0</v>
      </c>
      <c r="I272" t="n">
        <v>0</v>
      </c>
      <c r="J272" t="n">
        <v>0</v>
      </c>
      <c r="K272" t="n">
        <v>0</v>
      </c>
      <c r="L272" t="n">
        <v>0</v>
      </c>
      <c r="M272" t="n">
        <v>0</v>
      </c>
      <c r="N272" t="n">
        <v>0</v>
      </c>
      <c r="O272" t="n">
        <v>0</v>
      </c>
      <c r="P272" t="n">
        <v>0</v>
      </c>
      <c r="Q272" t="n">
        <v>0</v>
      </c>
      <c r="R272" s="2" t="inlineStr"/>
    </row>
    <row r="273" ht="15" customHeight="1">
      <c r="A273" t="inlineStr">
        <is>
          <t>A 23220-2021</t>
        </is>
      </c>
      <c r="B273" s="1" t="n">
        <v>44333</v>
      </c>
      <c r="C273" s="1" t="n">
        <v>45834</v>
      </c>
      <c r="D273" t="inlineStr">
        <is>
          <t>DALARNAS LÄN</t>
        </is>
      </c>
      <c r="E273" t="inlineStr">
        <is>
          <t>SMEDJEBACKEN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23257-2021</t>
        </is>
      </c>
      <c r="B274" s="1" t="n">
        <v>44333</v>
      </c>
      <c r="C274" s="1" t="n">
        <v>45834</v>
      </c>
      <c r="D274" t="inlineStr">
        <is>
          <t>DALARNAS LÄN</t>
        </is>
      </c>
      <c r="E274" t="inlineStr">
        <is>
          <t>SMEDJEBACKEN</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25366-2021</t>
        </is>
      </c>
      <c r="B275" s="1" t="n">
        <v>44342</v>
      </c>
      <c r="C275" s="1" t="n">
        <v>45834</v>
      </c>
      <c r="D275" t="inlineStr">
        <is>
          <t>DALARNAS LÄN</t>
        </is>
      </c>
      <c r="E275" t="inlineStr">
        <is>
          <t>SMEDJEBACKEN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25361-2021</t>
        </is>
      </c>
      <c r="B276" s="1" t="n">
        <v>44342</v>
      </c>
      <c r="C276" s="1" t="n">
        <v>45834</v>
      </c>
      <c r="D276" t="inlineStr">
        <is>
          <t>DALARNAS LÄN</t>
        </is>
      </c>
      <c r="E276" t="inlineStr">
        <is>
          <t>SMEDJEBACKEN</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25419-2021</t>
        </is>
      </c>
      <c r="B277" s="1" t="n">
        <v>44342</v>
      </c>
      <c r="C277" s="1" t="n">
        <v>45834</v>
      </c>
      <c r="D277" t="inlineStr">
        <is>
          <t>DALARNAS LÄN</t>
        </is>
      </c>
      <c r="E277" t="inlineStr">
        <is>
          <t>SMEDJEBACKEN</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25437-2021</t>
        </is>
      </c>
      <c r="B278" s="1" t="n">
        <v>44342</v>
      </c>
      <c r="C278" s="1" t="n">
        <v>45834</v>
      </c>
      <c r="D278" t="inlineStr">
        <is>
          <t>DALARNAS LÄN</t>
        </is>
      </c>
      <c r="E278" t="inlineStr">
        <is>
          <t>SMEDJEBACKEN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25430-2021</t>
        </is>
      </c>
      <c r="B279" s="1" t="n">
        <v>44342</v>
      </c>
      <c r="C279" s="1" t="n">
        <v>45834</v>
      </c>
      <c r="D279" t="inlineStr">
        <is>
          <t>DALARNAS LÄN</t>
        </is>
      </c>
      <c r="E279" t="inlineStr">
        <is>
          <t>SMEDJEBACKEN</t>
        </is>
      </c>
      <c r="F279" t="inlineStr">
        <is>
          <t>Sveaskog</t>
        </is>
      </c>
      <c r="G279" t="n">
        <v>1.5</v>
      </c>
      <c r="H279" t="n">
        <v>0</v>
      </c>
      <c r="I279" t="n">
        <v>0</v>
      </c>
      <c r="J279" t="n">
        <v>0</v>
      </c>
      <c r="K279" t="n">
        <v>0</v>
      </c>
      <c r="L279" t="n">
        <v>0</v>
      </c>
      <c r="M279" t="n">
        <v>0</v>
      </c>
      <c r="N279" t="n">
        <v>0</v>
      </c>
      <c r="O279" t="n">
        <v>0</v>
      </c>
      <c r="P279" t="n">
        <v>0</v>
      </c>
      <c r="Q279" t="n">
        <v>0</v>
      </c>
      <c r="R279" s="2" t="inlineStr"/>
    </row>
    <row r="280" ht="15" customHeight="1">
      <c r="A280" t="inlineStr">
        <is>
          <t>A 27621-2021</t>
        </is>
      </c>
      <c r="B280" s="1" t="n">
        <v>44354</v>
      </c>
      <c r="C280" s="1" t="n">
        <v>45834</v>
      </c>
      <c r="D280" t="inlineStr">
        <is>
          <t>DALARNAS LÄN</t>
        </is>
      </c>
      <c r="E280" t="inlineStr">
        <is>
          <t>SMEDJEBACKEN</t>
        </is>
      </c>
      <c r="G280" t="n">
        <v>4.5</v>
      </c>
      <c r="H280" t="n">
        <v>0</v>
      </c>
      <c r="I280" t="n">
        <v>0</v>
      </c>
      <c r="J280" t="n">
        <v>0</v>
      </c>
      <c r="K280" t="n">
        <v>0</v>
      </c>
      <c r="L280" t="n">
        <v>0</v>
      </c>
      <c r="M280" t="n">
        <v>0</v>
      </c>
      <c r="N280" t="n">
        <v>0</v>
      </c>
      <c r="O280" t="n">
        <v>0</v>
      </c>
      <c r="P280" t="n">
        <v>0</v>
      </c>
      <c r="Q280" t="n">
        <v>0</v>
      </c>
      <c r="R280" s="2" t="inlineStr"/>
    </row>
    <row r="281" ht="15" customHeight="1">
      <c r="A281" t="inlineStr">
        <is>
          <t>A 27611-2021</t>
        </is>
      </c>
      <c r="B281" s="1" t="n">
        <v>44354</v>
      </c>
      <c r="C281" s="1" t="n">
        <v>45834</v>
      </c>
      <c r="D281" t="inlineStr">
        <is>
          <t>DALARNAS LÄN</t>
        </is>
      </c>
      <c r="E281" t="inlineStr">
        <is>
          <t>SMEDJEBACKEN</t>
        </is>
      </c>
      <c r="G281" t="n">
        <v>0.9</v>
      </c>
      <c r="H281" t="n">
        <v>0</v>
      </c>
      <c r="I281" t="n">
        <v>0</v>
      </c>
      <c r="J281" t="n">
        <v>0</v>
      </c>
      <c r="K281" t="n">
        <v>0</v>
      </c>
      <c r="L281" t="n">
        <v>0</v>
      </c>
      <c r="M281" t="n">
        <v>0</v>
      </c>
      <c r="N281" t="n">
        <v>0</v>
      </c>
      <c r="O281" t="n">
        <v>0</v>
      </c>
      <c r="P281" t="n">
        <v>0</v>
      </c>
      <c r="Q281" t="n">
        <v>0</v>
      </c>
      <c r="R281" s="2" t="inlineStr"/>
    </row>
    <row r="282" ht="15" customHeight="1">
      <c r="A282" t="inlineStr">
        <is>
          <t>A 28021-2021</t>
        </is>
      </c>
      <c r="B282" s="1" t="n">
        <v>44355</v>
      </c>
      <c r="C282" s="1" t="n">
        <v>45834</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28037-2021</t>
        </is>
      </c>
      <c r="B283" s="1" t="n">
        <v>44355</v>
      </c>
      <c r="C283" s="1" t="n">
        <v>45834</v>
      </c>
      <c r="D283" t="inlineStr">
        <is>
          <t>DALARNAS LÄN</t>
        </is>
      </c>
      <c r="E283" t="inlineStr">
        <is>
          <t>SMEDJEBACKEN</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28024-2021</t>
        </is>
      </c>
      <c r="B284" s="1" t="n">
        <v>44355</v>
      </c>
      <c r="C284" s="1" t="n">
        <v>45834</v>
      </c>
      <c r="D284" t="inlineStr">
        <is>
          <t>DALARNAS LÄN</t>
        </is>
      </c>
      <c r="E284" t="inlineStr">
        <is>
          <t>SMEDJEBACKEN</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28049-2021</t>
        </is>
      </c>
      <c r="B285" s="1" t="n">
        <v>44355</v>
      </c>
      <c r="C285" s="1" t="n">
        <v>45834</v>
      </c>
      <c r="D285" t="inlineStr">
        <is>
          <t>DALARNAS LÄN</t>
        </is>
      </c>
      <c r="E285" t="inlineStr">
        <is>
          <t>SMEDJEBACKEN</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28008-2021</t>
        </is>
      </c>
      <c r="B286" s="1" t="n">
        <v>44355</v>
      </c>
      <c r="C286" s="1" t="n">
        <v>45834</v>
      </c>
      <c r="D286" t="inlineStr">
        <is>
          <t>DALARNAS LÄN</t>
        </is>
      </c>
      <c r="E286" t="inlineStr">
        <is>
          <t>SMEDJEBACKEN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28017-2021</t>
        </is>
      </c>
      <c r="B287" s="1" t="n">
        <v>44355</v>
      </c>
      <c r="C287" s="1" t="n">
        <v>45834</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28029-2021</t>
        </is>
      </c>
      <c r="B288" s="1" t="n">
        <v>44355</v>
      </c>
      <c r="C288" s="1" t="n">
        <v>45834</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28041-2021</t>
        </is>
      </c>
      <c r="B289" s="1" t="n">
        <v>44355</v>
      </c>
      <c r="C289" s="1" t="n">
        <v>45834</v>
      </c>
      <c r="D289" t="inlineStr">
        <is>
          <t>DALARNAS LÄN</t>
        </is>
      </c>
      <c r="E289" t="inlineStr">
        <is>
          <t>SMEDJEBACKEN</t>
        </is>
      </c>
      <c r="F289" t="inlineStr">
        <is>
          <t>Sveaskog</t>
        </is>
      </c>
      <c r="G289" t="n">
        <v>2.8</v>
      </c>
      <c r="H289" t="n">
        <v>0</v>
      </c>
      <c r="I289" t="n">
        <v>0</v>
      </c>
      <c r="J289" t="n">
        <v>0</v>
      </c>
      <c r="K289" t="n">
        <v>0</v>
      </c>
      <c r="L289" t="n">
        <v>0</v>
      </c>
      <c r="M289" t="n">
        <v>0</v>
      </c>
      <c r="N289" t="n">
        <v>0</v>
      </c>
      <c r="O289" t="n">
        <v>0</v>
      </c>
      <c r="P289" t="n">
        <v>0</v>
      </c>
      <c r="Q289" t="n">
        <v>0</v>
      </c>
      <c r="R289" s="2" t="inlineStr"/>
    </row>
    <row r="290" ht="15" customHeight="1">
      <c r="A290" t="inlineStr">
        <is>
          <t>A 28089-2021</t>
        </is>
      </c>
      <c r="B290" s="1" t="n">
        <v>44355</v>
      </c>
      <c r="C290" s="1" t="n">
        <v>45834</v>
      </c>
      <c r="D290" t="inlineStr">
        <is>
          <t>DALARNAS LÄN</t>
        </is>
      </c>
      <c r="E290" t="inlineStr">
        <is>
          <t>SMEDJEBACKEN</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28030-2021</t>
        </is>
      </c>
      <c r="B291" s="1" t="n">
        <v>44355</v>
      </c>
      <c r="C291" s="1" t="n">
        <v>45834</v>
      </c>
      <c r="D291" t="inlineStr">
        <is>
          <t>DALARNAS LÄN</t>
        </is>
      </c>
      <c r="E291" t="inlineStr">
        <is>
          <t>SMEDJEBACKEN</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28675-2021</t>
        </is>
      </c>
      <c r="B292" s="1" t="n">
        <v>44357</v>
      </c>
      <c r="C292" s="1" t="n">
        <v>45834</v>
      </c>
      <c r="D292" t="inlineStr">
        <is>
          <t>DALARNAS LÄN</t>
        </is>
      </c>
      <c r="E292" t="inlineStr">
        <is>
          <t>SMEDJEBACKEN</t>
        </is>
      </c>
      <c r="F292" t="inlineStr">
        <is>
          <t>Kommuner</t>
        </is>
      </c>
      <c r="G292" t="n">
        <v>1.5</v>
      </c>
      <c r="H292" t="n">
        <v>0</v>
      </c>
      <c r="I292" t="n">
        <v>0</v>
      </c>
      <c r="J292" t="n">
        <v>0</v>
      </c>
      <c r="K292" t="n">
        <v>0</v>
      </c>
      <c r="L292" t="n">
        <v>0</v>
      </c>
      <c r="M292" t="n">
        <v>0</v>
      </c>
      <c r="N292" t="n">
        <v>0</v>
      </c>
      <c r="O292" t="n">
        <v>0</v>
      </c>
      <c r="P292" t="n">
        <v>0</v>
      </c>
      <c r="Q292" t="n">
        <v>0</v>
      </c>
      <c r="R292" s="2" t="inlineStr"/>
    </row>
    <row r="293" ht="15" customHeight="1">
      <c r="A293" t="inlineStr">
        <is>
          <t>A 30907-2021</t>
        </is>
      </c>
      <c r="B293" s="1" t="n">
        <v>44365</v>
      </c>
      <c r="C293" s="1" t="n">
        <v>45834</v>
      </c>
      <c r="D293" t="inlineStr">
        <is>
          <t>DALARNAS LÄN</t>
        </is>
      </c>
      <c r="E293" t="inlineStr">
        <is>
          <t>SMEDJEBACKEN</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32130-2021</t>
        </is>
      </c>
      <c r="B294" s="1" t="n">
        <v>44371</v>
      </c>
      <c r="C294" s="1" t="n">
        <v>45834</v>
      </c>
      <c r="D294" t="inlineStr">
        <is>
          <t>DALARNAS LÄN</t>
        </is>
      </c>
      <c r="E294" t="inlineStr">
        <is>
          <t>SMEDJEBACKEN</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32985-2021</t>
        </is>
      </c>
      <c r="B295" s="1" t="n">
        <v>44376</v>
      </c>
      <c r="C295" s="1" t="n">
        <v>45834</v>
      </c>
      <c r="D295" t="inlineStr">
        <is>
          <t>DALARNAS LÄN</t>
        </is>
      </c>
      <c r="E295" t="inlineStr">
        <is>
          <t>SMEDJEBACKEN</t>
        </is>
      </c>
      <c r="G295" t="n">
        <v>5</v>
      </c>
      <c r="H295" t="n">
        <v>0</v>
      </c>
      <c r="I295" t="n">
        <v>0</v>
      </c>
      <c r="J295" t="n">
        <v>0</v>
      </c>
      <c r="K295" t="n">
        <v>0</v>
      </c>
      <c r="L295" t="n">
        <v>0</v>
      </c>
      <c r="M295" t="n">
        <v>0</v>
      </c>
      <c r="N295" t="n">
        <v>0</v>
      </c>
      <c r="O295" t="n">
        <v>0</v>
      </c>
      <c r="P295" t="n">
        <v>0</v>
      </c>
      <c r="Q295" t="n">
        <v>0</v>
      </c>
      <c r="R295" s="2" t="inlineStr"/>
    </row>
    <row r="296" ht="15" customHeight="1">
      <c r="A296" t="inlineStr">
        <is>
          <t>A 33489-2021</t>
        </is>
      </c>
      <c r="B296" s="1" t="n">
        <v>44377</v>
      </c>
      <c r="C296" s="1" t="n">
        <v>45834</v>
      </c>
      <c r="D296" t="inlineStr">
        <is>
          <t>DALARNAS LÄN</t>
        </is>
      </c>
      <c r="E296" t="inlineStr">
        <is>
          <t>SMEDJEBACKEN</t>
        </is>
      </c>
      <c r="G296" t="n">
        <v>1.8</v>
      </c>
      <c r="H296" t="n">
        <v>0</v>
      </c>
      <c r="I296" t="n">
        <v>0</v>
      </c>
      <c r="J296" t="n">
        <v>0</v>
      </c>
      <c r="K296" t="n">
        <v>0</v>
      </c>
      <c r="L296" t="n">
        <v>0</v>
      </c>
      <c r="M296" t="n">
        <v>0</v>
      </c>
      <c r="N296" t="n">
        <v>0</v>
      </c>
      <c r="O296" t="n">
        <v>0</v>
      </c>
      <c r="P296" t="n">
        <v>0</v>
      </c>
      <c r="Q296" t="n">
        <v>0</v>
      </c>
      <c r="R296" s="2" t="inlineStr"/>
    </row>
    <row r="297" ht="15" customHeight="1">
      <c r="A297" t="inlineStr">
        <is>
          <t>A 34822-2021</t>
        </is>
      </c>
      <c r="B297" s="1" t="n">
        <v>44383</v>
      </c>
      <c r="C297" s="1" t="n">
        <v>45834</v>
      </c>
      <c r="D297" t="inlineStr">
        <is>
          <t>DALARNAS LÄN</t>
        </is>
      </c>
      <c r="E297" t="inlineStr">
        <is>
          <t>SMEDJEBACKEN</t>
        </is>
      </c>
      <c r="F297" t="inlineStr">
        <is>
          <t>Sveaskog</t>
        </is>
      </c>
      <c r="G297" t="n">
        <v>3.5</v>
      </c>
      <c r="H297" t="n">
        <v>0</v>
      </c>
      <c r="I297" t="n">
        <v>0</v>
      </c>
      <c r="J297" t="n">
        <v>0</v>
      </c>
      <c r="K297" t="n">
        <v>0</v>
      </c>
      <c r="L297" t="n">
        <v>0</v>
      </c>
      <c r="M297" t="n">
        <v>0</v>
      </c>
      <c r="N297" t="n">
        <v>0</v>
      </c>
      <c r="O297" t="n">
        <v>0</v>
      </c>
      <c r="P297" t="n">
        <v>0</v>
      </c>
      <c r="Q297" t="n">
        <v>0</v>
      </c>
      <c r="R297" s="2" t="inlineStr"/>
    </row>
    <row r="298" ht="15" customHeight="1">
      <c r="A298" t="inlineStr">
        <is>
          <t>A 36393-2021</t>
        </is>
      </c>
      <c r="B298" s="1" t="n">
        <v>44390</v>
      </c>
      <c r="C298" s="1" t="n">
        <v>45834</v>
      </c>
      <c r="D298" t="inlineStr">
        <is>
          <t>DALARNAS LÄN</t>
        </is>
      </c>
      <c r="E298" t="inlineStr">
        <is>
          <t>SMEDJEBACKEN</t>
        </is>
      </c>
      <c r="F298" t="inlineStr">
        <is>
          <t>Bergvik skog väst AB</t>
        </is>
      </c>
      <c r="G298" t="n">
        <v>4.7</v>
      </c>
      <c r="H298" t="n">
        <v>0</v>
      </c>
      <c r="I298" t="n">
        <v>0</v>
      </c>
      <c r="J298" t="n">
        <v>0</v>
      </c>
      <c r="K298" t="n">
        <v>0</v>
      </c>
      <c r="L298" t="n">
        <v>0</v>
      </c>
      <c r="M298" t="n">
        <v>0</v>
      </c>
      <c r="N298" t="n">
        <v>0</v>
      </c>
      <c r="O298" t="n">
        <v>0</v>
      </c>
      <c r="P298" t="n">
        <v>0</v>
      </c>
      <c r="Q298" t="n">
        <v>0</v>
      </c>
      <c r="R298" s="2" t="inlineStr"/>
    </row>
    <row r="299" ht="15" customHeight="1">
      <c r="A299" t="inlineStr">
        <is>
          <t>A 36385-2021</t>
        </is>
      </c>
      <c r="B299" s="1" t="n">
        <v>44390</v>
      </c>
      <c r="C299" s="1" t="n">
        <v>45834</v>
      </c>
      <c r="D299" t="inlineStr">
        <is>
          <t>DALARNAS LÄN</t>
        </is>
      </c>
      <c r="E299" t="inlineStr">
        <is>
          <t>SMEDJEBACKEN</t>
        </is>
      </c>
      <c r="G299" t="n">
        <v>4.2</v>
      </c>
      <c r="H299" t="n">
        <v>0</v>
      </c>
      <c r="I299" t="n">
        <v>0</v>
      </c>
      <c r="J299" t="n">
        <v>0</v>
      </c>
      <c r="K299" t="n">
        <v>0</v>
      </c>
      <c r="L299" t="n">
        <v>0</v>
      </c>
      <c r="M299" t="n">
        <v>0</v>
      </c>
      <c r="N299" t="n">
        <v>0</v>
      </c>
      <c r="O299" t="n">
        <v>0</v>
      </c>
      <c r="P299" t="n">
        <v>0</v>
      </c>
      <c r="Q299" t="n">
        <v>0</v>
      </c>
      <c r="R299" s="2" t="inlineStr"/>
    </row>
    <row r="300" ht="15" customHeight="1">
      <c r="A300" t="inlineStr">
        <is>
          <t>A 36360-2021</t>
        </is>
      </c>
      <c r="B300" s="1" t="n">
        <v>44390</v>
      </c>
      <c r="C300" s="1" t="n">
        <v>45834</v>
      </c>
      <c r="D300" t="inlineStr">
        <is>
          <t>DALARNAS LÄN</t>
        </is>
      </c>
      <c r="E300" t="inlineStr">
        <is>
          <t>SMEDJEBACKEN</t>
        </is>
      </c>
      <c r="G300" t="n">
        <v>0.9</v>
      </c>
      <c r="H300" t="n">
        <v>0</v>
      </c>
      <c r="I300" t="n">
        <v>0</v>
      </c>
      <c r="J300" t="n">
        <v>0</v>
      </c>
      <c r="K300" t="n">
        <v>0</v>
      </c>
      <c r="L300" t="n">
        <v>0</v>
      </c>
      <c r="M300" t="n">
        <v>0</v>
      </c>
      <c r="N300" t="n">
        <v>0</v>
      </c>
      <c r="O300" t="n">
        <v>0</v>
      </c>
      <c r="P300" t="n">
        <v>0</v>
      </c>
      <c r="Q300" t="n">
        <v>0</v>
      </c>
      <c r="R300" s="2" t="inlineStr"/>
    </row>
    <row r="301" ht="15" customHeight="1">
      <c r="A301" t="inlineStr">
        <is>
          <t>A 37851-2021</t>
        </is>
      </c>
      <c r="B301" s="1" t="n">
        <v>44403</v>
      </c>
      <c r="C301" s="1" t="n">
        <v>45834</v>
      </c>
      <c r="D301" t="inlineStr">
        <is>
          <t>DALARNAS LÄN</t>
        </is>
      </c>
      <c r="E301" t="inlineStr">
        <is>
          <t>SMEDJEBACKEN</t>
        </is>
      </c>
      <c r="G301" t="n">
        <v>2.9</v>
      </c>
      <c r="H301" t="n">
        <v>0</v>
      </c>
      <c r="I301" t="n">
        <v>0</v>
      </c>
      <c r="J301" t="n">
        <v>0</v>
      </c>
      <c r="K301" t="n">
        <v>0</v>
      </c>
      <c r="L301" t="n">
        <v>0</v>
      </c>
      <c r="M301" t="n">
        <v>0</v>
      </c>
      <c r="N301" t="n">
        <v>0</v>
      </c>
      <c r="O301" t="n">
        <v>0</v>
      </c>
      <c r="P301" t="n">
        <v>0</v>
      </c>
      <c r="Q301" t="n">
        <v>0</v>
      </c>
      <c r="R301" s="2" t="inlineStr"/>
    </row>
    <row r="302" ht="15" customHeight="1">
      <c r="A302" t="inlineStr">
        <is>
          <t>A 38680-2021</t>
        </is>
      </c>
      <c r="B302" s="1" t="n">
        <v>44410</v>
      </c>
      <c r="C302" s="1" t="n">
        <v>45834</v>
      </c>
      <c r="D302" t="inlineStr">
        <is>
          <t>DALARNAS LÄN</t>
        </is>
      </c>
      <c r="E302" t="inlineStr">
        <is>
          <t>SMEDJEBACKEN</t>
        </is>
      </c>
      <c r="G302" t="n">
        <v>0.6</v>
      </c>
      <c r="H302" t="n">
        <v>0</v>
      </c>
      <c r="I302" t="n">
        <v>0</v>
      </c>
      <c r="J302" t="n">
        <v>0</v>
      </c>
      <c r="K302" t="n">
        <v>0</v>
      </c>
      <c r="L302" t="n">
        <v>0</v>
      </c>
      <c r="M302" t="n">
        <v>0</v>
      </c>
      <c r="N302" t="n">
        <v>0</v>
      </c>
      <c r="O302" t="n">
        <v>0</v>
      </c>
      <c r="P302" t="n">
        <v>0</v>
      </c>
      <c r="Q302" t="n">
        <v>0</v>
      </c>
      <c r="R302" s="2" t="inlineStr"/>
    </row>
    <row r="303" ht="15" customHeight="1">
      <c r="A303" t="inlineStr">
        <is>
          <t>A 38800-2021</t>
        </is>
      </c>
      <c r="B303" s="1" t="n">
        <v>44410</v>
      </c>
      <c r="C303" s="1" t="n">
        <v>45834</v>
      </c>
      <c r="D303" t="inlineStr">
        <is>
          <t>DALARNAS LÄN</t>
        </is>
      </c>
      <c r="E303" t="inlineStr">
        <is>
          <t>SMEDJEBACKEN</t>
        </is>
      </c>
      <c r="G303" t="n">
        <v>1.4</v>
      </c>
      <c r="H303" t="n">
        <v>0</v>
      </c>
      <c r="I303" t="n">
        <v>0</v>
      </c>
      <c r="J303" t="n">
        <v>0</v>
      </c>
      <c r="K303" t="n">
        <v>0</v>
      </c>
      <c r="L303" t="n">
        <v>0</v>
      </c>
      <c r="M303" t="n">
        <v>0</v>
      </c>
      <c r="N303" t="n">
        <v>0</v>
      </c>
      <c r="O303" t="n">
        <v>0</v>
      </c>
      <c r="P303" t="n">
        <v>0</v>
      </c>
      <c r="Q303" t="n">
        <v>0</v>
      </c>
      <c r="R303" s="2" t="inlineStr"/>
    </row>
    <row r="304" ht="15" customHeight="1">
      <c r="A304" t="inlineStr">
        <is>
          <t>A 38797-2021</t>
        </is>
      </c>
      <c r="B304" s="1" t="n">
        <v>44410</v>
      </c>
      <c r="C304" s="1" t="n">
        <v>45834</v>
      </c>
      <c r="D304" t="inlineStr">
        <is>
          <t>DALARNAS LÄN</t>
        </is>
      </c>
      <c r="E304" t="inlineStr">
        <is>
          <t>SMEDJEBACKEN</t>
        </is>
      </c>
      <c r="G304" t="n">
        <v>1.5</v>
      </c>
      <c r="H304" t="n">
        <v>0</v>
      </c>
      <c r="I304" t="n">
        <v>0</v>
      </c>
      <c r="J304" t="n">
        <v>0</v>
      </c>
      <c r="K304" t="n">
        <v>0</v>
      </c>
      <c r="L304" t="n">
        <v>0</v>
      </c>
      <c r="M304" t="n">
        <v>0</v>
      </c>
      <c r="N304" t="n">
        <v>0</v>
      </c>
      <c r="O304" t="n">
        <v>0</v>
      </c>
      <c r="P304" t="n">
        <v>0</v>
      </c>
      <c r="Q304" t="n">
        <v>0</v>
      </c>
      <c r="R304" s="2" t="inlineStr"/>
    </row>
    <row r="305" ht="15" customHeight="1">
      <c r="A305" t="inlineStr">
        <is>
          <t>A 38803-2021</t>
        </is>
      </c>
      <c r="B305" s="1" t="n">
        <v>44410</v>
      </c>
      <c r="C305" s="1" t="n">
        <v>45834</v>
      </c>
      <c r="D305" t="inlineStr">
        <is>
          <t>DALARNAS LÄN</t>
        </is>
      </c>
      <c r="E305" t="inlineStr">
        <is>
          <t>SMEDJEBACKEN</t>
        </is>
      </c>
      <c r="G305" t="n">
        <v>0.8</v>
      </c>
      <c r="H305" t="n">
        <v>0</v>
      </c>
      <c r="I305" t="n">
        <v>0</v>
      </c>
      <c r="J305" t="n">
        <v>0</v>
      </c>
      <c r="K305" t="n">
        <v>0</v>
      </c>
      <c r="L305" t="n">
        <v>0</v>
      </c>
      <c r="M305" t="n">
        <v>0</v>
      </c>
      <c r="N305" t="n">
        <v>0</v>
      </c>
      <c r="O305" t="n">
        <v>0</v>
      </c>
      <c r="P305" t="n">
        <v>0</v>
      </c>
      <c r="Q305" t="n">
        <v>0</v>
      </c>
      <c r="R305" s="2" t="inlineStr"/>
    </row>
    <row r="306" ht="15" customHeight="1">
      <c r="A306" t="inlineStr">
        <is>
          <t>A 39085-2021</t>
        </is>
      </c>
      <c r="B306" s="1" t="n">
        <v>44412</v>
      </c>
      <c r="C306" s="1" t="n">
        <v>45834</v>
      </c>
      <c r="D306" t="inlineStr">
        <is>
          <t>DALARNAS LÄN</t>
        </is>
      </c>
      <c r="E306" t="inlineStr">
        <is>
          <t>SMEDJEBACKEN</t>
        </is>
      </c>
      <c r="G306" t="n">
        <v>5.2</v>
      </c>
      <c r="H306" t="n">
        <v>0</v>
      </c>
      <c r="I306" t="n">
        <v>0</v>
      </c>
      <c r="J306" t="n">
        <v>0</v>
      </c>
      <c r="K306" t="n">
        <v>0</v>
      </c>
      <c r="L306" t="n">
        <v>0</v>
      </c>
      <c r="M306" t="n">
        <v>0</v>
      </c>
      <c r="N306" t="n">
        <v>0</v>
      </c>
      <c r="O306" t="n">
        <v>0</v>
      </c>
      <c r="P306" t="n">
        <v>0</v>
      </c>
      <c r="Q306" t="n">
        <v>0</v>
      </c>
      <c r="R306" s="2" t="inlineStr"/>
    </row>
    <row r="307" ht="15" customHeight="1">
      <c r="A307" t="inlineStr">
        <is>
          <t>A 39713-2021</t>
        </is>
      </c>
      <c r="B307" s="1" t="n">
        <v>44414</v>
      </c>
      <c r="C307" s="1" t="n">
        <v>45834</v>
      </c>
      <c r="D307" t="inlineStr">
        <is>
          <t>DALARNAS LÄN</t>
        </is>
      </c>
      <c r="E307" t="inlineStr">
        <is>
          <t>SMEDJEBACKEN</t>
        </is>
      </c>
      <c r="G307" t="n">
        <v>4.1</v>
      </c>
      <c r="H307" t="n">
        <v>0</v>
      </c>
      <c r="I307" t="n">
        <v>0</v>
      </c>
      <c r="J307" t="n">
        <v>0</v>
      </c>
      <c r="K307" t="n">
        <v>0</v>
      </c>
      <c r="L307" t="n">
        <v>0</v>
      </c>
      <c r="M307" t="n">
        <v>0</v>
      </c>
      <c r="N307" t="n">
        <v>0</v>
      </c>
      <c r="O307" t="n">
        <v>0</v>
      </c>
      <c r="P307" t="n">
        <v>0</v>
      </c>
      <c r="Q307" t="n">
        <v>0</v>
      </c>
      <c r="R307" s="2" t="inlineStr"/>
    </row>
    <row r="308" ht="15" customHeight="1">
      <c r="A308" t="inlineStr">
        <is>
          <t>A 39731-2021</t>
        </is>
      </c>
      <c r="B308" s="1" t="n">
        <v>44414</v>
      </c>
      <c r="C308" s="1" t="n">
        <v>45834</v>
      </c>
      <c r="D308" t="inlineStr">
        <is>
          <t>DALARNAS LÄN</t>
        </is>
      </c>
      <c r="E308" t="inlineStr">
        <is>
          <t>SMEDJEBACKEN</t>
        </is>
      </c>
      <c r="G308" t="n">
        <v>3.2</v>
      </c>
      <c r="H308" t="n">
        <v>0</v>
      </c>
      <c r="I308" t="n">
        <v>0</v>
      </c>
      <c r="J308" t="n">
        <v>0</v>
      </c>
      <c r="K308" t="n">
        <v>0</v>
      </c>
      <c r="L308" t="n">
        <v>0</v>
      </c>
      <c r="M308" t="n">
        <v>0</v>
      </c>
      <c r="N308" t="n">
        <v>0</v>
      </c>
      <c r="O308" t="n">
        <v>0</v>
      </c>
      <c r="P308" t="n">
        <v>0</v>
      </c>
      <c r="Q308" t="n">
        <v>0</v>
      </c>
      <c r="R308" s="2" t="inlineStr"/>
    </row>
    <row r="309" ht="15" customHeight="1">
      <c r="A309" t="inlineStr">
        <is>
          <t>A 39719-2021</t>
        </is>
      </c>
      <c r="B309" s="1" t="n">
        <v>44414</v>
      </c>
      <c r="C309" s="1" t="n">
        <v>45834</v>
      </c>
      <c r="D309" t="inlineStr">
        <is>
          <t>DALARNAS LÄN</t>
        </is>
      </c>
      <c r="E309" t="inlineStr">
        <is>
          <t>SMEDJEBACKEN</t>
        </is>
      </c>
      <c r="G309" t="n">
        <v>2.4</v>
      </c>
      <c r="H309" t="n">
        <v>0</v>
      </c>
      <c r="I309" t="n">
        <v>0</v>
      </c>
      <c r="J309" t="n">
        <v>0</v>
      </c>
      <c r="K309" t="n">
        <v>0</v>
      </c>
      <c r="L309" t="n">
        <v>0</v>
      </c>
      <c r="M309" t="n">
        <v>0</v>
      </c>
      <c r="N309" t="n">
        <v>0</v>
      </c>
      <c r="O309" t="n">
        <v>0</v>
      </c>
      <c r="P309" t="n">
        <v>0</v>
      </c>
      <c r="Q309" t="n">
        <v>0</v>
      </c>
      <c r="R309" s="2" t="inlineStr"/>
    </row>
    <row r="310" ht="15" customHeight="1">
      <c r="A310" t="inlineStr">
        <is>
          <t>A 39734-2021</t>
        </is>
      </c>
      <c r="B310" s="1" t="n">
        <v>44414</v>
      </c>
      <c r="C310" s="1" t="n">
        <v>45834</v>
      </c>
      <c r="D310" t="inlineStr">
        <is>
          <t>DALARNAS LÄN</t>
        </is>
      </c>
      <c r="E310" t="inlineStr">
        <is>
          <t>SMEDJEBACKEN</t>
        </is>
      </c>
      <c r="G310" t="n">
        <v>4.4</v>
      </c>
      <c r="H310" t="n">
        <v>0</v>
      </c>
      <c r="I310" t="n">
        <v>0</v>
      </c>
      <c r="J310" t="n">
        <v>0</v>
      </c>
      <c r="K310" t="n">
        <v>0</v>
      </c>
      <c r="L310" t="n">
        <v>0</v>
      </c>
      <c r="M310" t="n">
        <v>0</v>
      </c>
      <c r="N310" t="n">
        <v>0</v>
      </c>
      <c r="O310" t="n">
        <v>0</v>
      </c>
      <c r="P310" t="n">
        <v>0</v>
      </c>
      <c r="Q310" t="n">
        <v>0</v>
      </c>
      <c r="R310" s="2" t="inlineStr"/>
    </row>
    <row r="311" ht="15" customHeight="1">
      <c r="A311" t="inlineStr">
        <is>
          <t>A 39726-2021</t>
        </is>
      </c>
      <c r="B311" s="1" t="n">
        <v>44414</v>
      </c>
      <c r="C311" s="1" t="n">
        <v>45834</v>
      </c>
      <c r="D311" t="inlineStr">
        <is>
          <t>DALARNAS LÄN</t>
        </is>
      </c>
      <c r="E311" t="inlineStr">
        <is>
          <t>SMEDJEBACKEN</t>
        </is>
      </c>
      <c r="G311" t="n">
        <v>10.6</v>
      </c>
      <c r="H311" t="n">
        <v>0</v>
      </c>
      <c r="I311" t="n">
        <v>0</v>
      </c>
      <c r="J311" t="n">
        <v>0</v>
      </c>
      <c r="K311" t="n">
        <v>0</v>
      </c>
      <c r="L311" t="n">
        <v>0</v>
      </c>
      <c r="M311" t="n">
        <v>0</v>
      </c>
      <c r="N311" t="n">
        <v>0</v>
      </c>
      <c r="O311" t="n">
        <v>0</v>
      </c>
      <c r="P311" t="n">
        <v>0</v>
      </c>
      <c r="Q311" t="n">
        <v>0</v>
      </c>
      <c r="R311" s="2" t="inlineStr"/>
    </row>
    <row r="312" ht="15" customHeight="1">
      <c r="A312" t="inlineStr">
        <is>
          <t>A 39535-2021</t>
        </is>
      </c>
      <c r="B312" s="1" t="n">
        <v>44416</v>
      </c>
      <c r="C312" s="1" t="n">
        <v>45834</v>
      </c>
      <c r="D312" t="inlineStr">
        <is>
          <t>DALARNAS LÄN</t>
        </is>
      </c>
      <c r="E312" t="inlineStr">
        <is>
          <t>SMEDJEBACKEN</t>
        </is>
      </c>
      <c r="G312" t="n">
        <v>2.6</v>
      </c>
      <c r="H312" t="n">
        <v>0</v>
      </c>
      <c r="I312" t="n">
        <v>0</v>
      </c>
      <c r="J312" t="n">
        <v>0</v>
      </c>
      <c r="K312" t="n">
        <v>0</v>
      </c>
      <c r="L312" t="n">
        <v>0</v>
      </c>
      <c r="M312" t="n">
        <v>0</v>
      </c>
      <c r="N312" t="n">
        <v>0</v>
      </c>
      <c r="O312" t="n">
        <v>0</v>
      </c>
      <c r="P312" t="n">
        <v>0</v>
      </c>
      <c r="Q312" t="n">
        <v>0</v>
      </c>
      <c r="R312" s="2" t="inlineStr"/>
    </row>
    <row r="313" ht="15" customHeight="1">
      <c r="A313" t="inlineStr">
        <is>
          <t>A 39536-2021</t>
        </is>
      </c>
      <c r="B313" s="1" t="n">
        <v>44416</v>
      </c>
      <c r="C313" s="1" t="n">
        <v>45834</v>
      </c>
      <c r="D313" t="inlineStr">
        <is>
          <t>DALARNAS LÄN</t>
        </is>
      </c>
      <c r="E313" t="inlineStr">
        <is>
          <t>SMEDJEBACKEN</t>
        </is>
      </c>
      <c r="G313" t="n">
        <v>5.1</v>
      </c>
      <c r="H313" t="n">
        <v>0</v>
      </c>
      <c r="I313" t="n">
        <v>0</v>
      </c>
      <c r="J313" t="n">
        <v>0</v>
      </c>
      <c r="K313" t="n">
        <v>0</v>
      </c>
      <c r="L313" t="n">
        <v>0</v>
      </c>
      <c r="M313" t="n">
        <v>0</v>
      </c>
      <c r="N313" t="n">
        <v>0</v>
      </c>
      <c r="O313" t="n">
        <v>0</v>
      </c>
      <c r="P313" t="n">
        <v>0</v>
      </c>
      <c r="Q313" t="n">
        <v>0</v>
      </c>
      <c r="R313" s="2" t="inlineStr"/>
    </row>
    <row r="314" ht="15" customHeight="1">
      <c r="A314" t="inlineStr">
        <is>
          <t>A 39599-2021</t>
        </is>
      </c>
      <c r="B314" s="1" t="n">
        <v>44417</v>
      </c>
      <c r="C314" s="1" t="n">
        <v>45834</v>
      </c>
      <c r="D314" t="inlineStr">
        <is>
          <t>DALARNAS LÄN</t>
        </is>
      </c>
      <c r="E314" t="inlineStr">
        <is>
          <t>SMEDJEBACKEN</t>
        </is>
      </c>
      <c r="G314" t="n">
        <v>2.4</v>
      </c>
      <c r="H314" t="n">
        <v>0</v>
      </c>
      <c r="I314" t="n">
        <v>0</v>
      </c>
      <c r="J314" t="n">
        <v>0</v>
      </c>
      <c r="K314" t="n">
        <v>0</v>
      </c>
      <c r="L314" t="n">
        <v>0</v>
      </c>
      <c r="M314" t="n">
        <v>0</v>
      </c>
      <c r="N314" t="n">
        <v>0</v>
      </c>
      <c r="O314" t="n">
        <v>0</v>
      </c>
      <c r="P314" t="n">
        <v>0</v>
      </c>
      <c r="Q314" t="n">
        <v>0</v>
      </c>
      <c r="R314" s="2" t="inlineStr"/>
    </row>
    <row r="315" ht="15" customHeight="1">
      <c r="A315" t="inlineStr">
        <is>
          <t>A 39604-2021</t>
        </is>
      </c>
      <c r="B315" s="1" t="n">
        <v>44417</v>
      </c>
      <c r="C315" s="1" t="n">
        <v>45834</v>
      </c>
      <c r="D315" t="inlineStr">
        <is>
          <t>DALARNAS LÄN</t>
        </is>
      </c>
      <c r="E315" t="inlineStr">
        <is>
          <t>SMEDJEBACKEN</t>
        </is>
      </c>
      <c r="G315" t="n">
        <v>1.6</v>
      </c>
      <c r="H315" t="n">
        <v>0</v>
      </c>
      <c r="I315" t="n">
        <v>0</v>
      </c>
      <c r="J315" t="n">
        <v>0</v>
      </c>
      <c r="K315" t="n">
        <v>0</v>
      </c>
      <c r="L315" t="n">
        <v>0</v>
      </c>
      <c r="M315" t="n">
        <v>0</v>
      </c>
      <c r="N315" t="n">
        <v>0</v>
      </c>
      <c r="O315" t="n">
        <v>0</v>
      </c>
      <c r="P315" t="n">
        <v>0</v>
      </c>
      <c r="Q315" t="n">
        <v>0</v>
      </c>
      <c r="R315" s="2" t="inlineStr"/>
    </row>
    <row r="316" ht="15" customHeight="1">
      <c r="A316" t="inlineStr">
        <is>
          <t>A 39816-2021</t>
        </is>
      </c>
      <c r="B316" s="1" t="n">
        <v>44417</v>
      </c>
      <c r="C316" s="1" t="n">
        <v>45834</v>
      </c>
      <c r="D316" t="inlineStr">
        <is>
          <t>DALARNAS LÄN</t>
        </is>
      </c>
      <c r="E316" t="inlineStr">
        <is>
          <t>SMEDJEBACKEN</t>
        </is>
      </c>
      <c r="G316" t="n">
        <v>3.1</v>
      </c>
      <c r="H316" t="n">
        <v>0</v>
      </c>
      <c r="I316" t="n">
        <v>0</v>
      </c>
      <c r="J316" t="n">
        <v>0</v>
      </c>
      <c r="K316" t="n">
        <v>0</v>
      </c>
      <c r="L316" t="n">
        <v>0</v>
      </c>
      <c r="M316" t="n">
        <v>0</v>
      </c>
      <c r="N316" t="n">
        <v>0</v>
      </c>
      <c r="O316" t="n">
        <v>0</v>
      </c>
      <c r="P316" t="n">
        <v>0</v>
      </c>
      <c r="Q316" t="n">
        <v>0</v>
      </c>
      <c r="R316" s="2" t="inlineStr"/>
    </row>
    <row r="317" ht="15" customHeight="1">
      <c r="A317" t="inlineStr">
        <is>
          <t>A 40561-2021</t>
        </is>
      </c>
      <c r="B317" s="1" t="n">
        <v>44420</v>
      </c>
      <c r="C317" s="1" t="n">
        <v>45834</v>
      </c>
      <c r="D317" t="inlineStr">
        <is>
          <t>DALARNAS LÄN</t>
        </is>
      </c>
      <c r="E317" t="inlineStr">
        <is>
          <t>SMEDJEBACKEN</t>
        </is>
      </c>
      <c r="G317" t="n">
        <v>0.5</v>
      </c>
      <c r="H317" t="n">
        <v>0</v>
      </c>
      <c r="I317" t="n">
        <v>0</v>
      </c>
      <c r="J317" t="n">
        <v>0</v>
      </c>
      <c r="K317" t="n">
        <v>0</v>
      </c>
      <c r="L317" t="n">
        <v>0</v>
      </c>
      <c r="M317" t="n">
        <v>0</v>
      </c>
      <c r="N317" t="n">
        <v>0</v>
      </c>
      <c r="O317" t="n">
        <v>0</v>
      </c>
      <c r="P317" t="n">
        <v>0</v>
      </c>
      <c r="Q317" t="n">
        <v>0</v>
      </c>
      <c r="R317" s="2" t="inlineStr"/>
    </row>
    <row r="318" ht="15" customHeight="1">
      <c r="A318" t="inlineStr">
        <is>
          <t>A 40768-2021</t>
        </is>
      </c>
      <c r="B318" s="1" t="n">
        <v>44420</v>
      </c>
      <c r="C318" s="1" t="n">
        <v>45834</v>
      </c>
      <c r="D318" t="inlineStr">
        <is>
          <t>DALARNAS LÄN</t>
        </is>
      </c>
      <c r="E318" t="inlineStr">
        <is>
          <t>SMEDJEBACKEN</t>
        </is>
      </c>
      <c r="G318" t="n">
        <v>0.8</v>
      </c>
      <c r="H318" t="n">
        <v>0</v>
      </c>
      <c r="I318" t="n">
        <v>0</v>
      </c>
      <c r="J318" t="n">
        <v>0</v>
      </c>
      <c r="K318" t="n">
        <v>0</v>
      </c>
      <c r="L318" t="n">
        <v>0</v>
      </c>
      <c r="M318" t="n">
        <v>0</v>
      </c>
      <c r="N318" t="n">
        <v>0</v>
      </c>
      <c r="O318" t="n">
        <v>0</v>
      </c>
      <c r="P318" t="n">
        <v>0</v>
      </c>
      <c r="Q318" t="n">
        <v>0</v>
      </c>
      <c r="R318" s="2" t="inlineStr"/>
    </row>
    <row r="319" ht="15" customHeight="1">
      <c r="A319" t="inlineStr">
        <is>
          <t>A 41303-2021</t>
        </is>
      </c>
      <c r="B319" s="1" t="n">
        <v>44424</v>
      </c>
      <c r="C319" s="1" t="n">
        <v>45834</v>
      </c>
      <c r="D319" t="inlineStr">
        <is>
          <t>DALARNAS LÄN</t>
        </is>
      </c>
      <c r="E319" t="inlineStr">
        <is>
          <t>SMEDJEBACKEN</t>
        </is>
      </c>
      <c r="G319" t="n">
        <v>3.7</v>
      </c>
      <c r="H319" t="n">
        <v>0</v>
      </c>
      <c r="I319" t="n">
        <v>0</v>
      </c>
      <c r="J319" t="n">
        <v>0</v>
      </c>
      <c r="K319" t="n">
        <v>0</v>
      </c>
      <c r="L319" t="n">
        <v>0</v>
      </c>
      <c r="M319" t="n">
        <v>0</v>
      </c>
      <c r="N319" t="n">
        <v>0</v>
      </c>
      <c r="O319" t="n">
        <v>0</v>
      </c>
      <c r="P319" t="n">
        <v>0</v>
      </c>
      <c r="Q319" t="n">
        <v>0</v>
      </c>
      <c r="R319" s="2" t="inlineStr"/>
    </row>
    <row r="320" ht="15" customHeight="1">
      <c r="A320" t="inlineStr">
        <is>
          <t>A 42290-2021</t>
        </is>
      </c>
      <c r="B320" s="1" t="n">
        <v>44426</v>
      </c>
      <c r="C320" s="1" t="n">
        <v>45834</v>
      </c>
      <c r="D320" t="inlineStr">
        <is>
          <t>DALARNAS LÄN</t>
        </is>
      </c>
      <c r="E320" t="inlineStr">
        <is>
          <t>SMEDJEBACKEN</t>
        </is>
      </c>
      <c r="F320" t="inlineStr">
        <is>
          <t>Bergvik skog väst AB</t>
        </is>
      </c>
      <c r="G320" t="n">
        <v>5.5</v>
      </c>
      <c r="H320" t="n">
        <v>0</v>
      </c>
      <c r="I320" t="n">
        <v>0</v>
      </c>
      <c r="J320" t="n">
        <v>0</v>
      </c>
      <c r="K320" t="n">
        <v>0</v>
      </c>
      <c r="L320" t="n">
        <v>0</v>
      </c>
      <c r="M320" t="n">
        <v>0</v>
      </c>
      <c r="N320" t="n">
        <v>0</v>
      </c>
      <c r="O320" t="n">
        <v>0</v>
      </c>
      <c r="P320" t="n">
        <v>0</v>
      </c>
      <c r="Q320" t="n">
        <v>0</v>
      </c>
      <c r="R320" s="2" t="inlineStr"/>
    </row>
    <row r="321" ht="15" customHeight="1">
      <c r="A321" t="inlineStr">
        <is>
          <t>A 42418-2021</t>
        </is>
      </c>
      <c r="B321" s="1" t="n">
        <v>44427</v>
      </c>
      <c r="C321" s="1" t="n">
        <v>45834</v>
      </c>
      <c r="D321" t="inlineStr">
        <is>
          <t>DALARNAS LÄN</t>
        </is>
      </c>
      <c r="E321" t="inlineStr">
        <is>
          <t>SMEDJEBACKEN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43137-2021</t>
        </is>
      </c>
      <c r="B322" s="1" t="n">
        <v>44431</v>
      </c>
      <c r="C322" s="1" t="n">
        <v>45834</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43135-2021</t>
        </is>
      </c>
      <c r="B323" s="1" t="n">
        <v>44431</v>
      </c>
      <c r="C323" s="1" t="n">
        <v>45834</v>
      </c>
      <c r="D323" t="inlineStr">
        <is>
          <t>DALARNAS LÄN</t>
        </is>
      </c>
      <c r="E323" t="inlineStr">
        <is>
          <t>SMEDJEBACKEN</t>
        </is>
      </c>
      <c r="G323" t="n">
        <v>1.3</v>
      </c>
      <c r="H323" t="n">
        <v>0</v>
      </c>
      <c r="I323" t="n">
        <v>0</v>
      </c>
      <c r="J323" t="n">
        <v>0</v>
      </c>
      <c r="K323" t="n">
        <v>0</v>
      </c>
      <c r="L323" t="n">
        <v>0</v>
      </c>
      <c r="M323" t="n">
        <v>0</v>
      </c>
      <c r="N323" t="n">
        <v>0</v>
      </c>
      <c r="O323" t="n">
        <v>0</v>
      </c>
      <c r="P323" t="n">
        <v>0</v>
      </c>
      <c r="Q323" t="n">
        <v>0</v>
      </c>
      <c r="R323" s="2" t="inlineStr"/>
    </row>
    <row r="324" ht="15" customHeight="1">
      <c r="A324" t="inlineStr">
        <is>
          <t>A 43375-2021</t>
        </is>
      </c>
      <c r="B324" s="1" t="n">
        <v>44432</v>
      </c>
      <c r="C324" s="1" t="n">
        <v>45834</v>
      </c>
      <c r="D324" t="inlineStr">
        <is>
          <t>DALARNAS LÄN</t>
        </is>
      </c>
      <c r="E324" t="inlineStr">
        <is>
          <t>SMEDJEBACKEN</t>
        </is>
      </c>
      <c r="G324" t="n">
        <v>1.9</v>
      </c>
      <c r="H324" t="n">
        <v>0</v>
      </c>
      <c r="I324" t="n">
        <v>0</v>
      </c>
      <c r="J324" t="n">
        <v>0</v>
      </c>
      <c r="K324" t="n">
        <v>0</v>
      </c>
      <c r="L324" t="n">
        <v>0</v>
      </c>
      <c r="M324" t="n">
        <v>0</v>
      </c>
      <c r="N324" t="n">
        <v>0</v>
      </c>
      <c r="O324" t="n">
        <v>0</v>
      </c>
      <c r="P324" t="n">
        <v>0</v>
      </c>
      <c r="Q324" t="n">
        <v>0</v>
      </c>
      <c r="R324" s="2" t="inlineStr"/>
    </row>
    <row r="325" ht="15" customHeight="1">
      <c r="A325" t="inlineStr">
        <is>
          <t>A 44126-2021</t>
        </is>
      </c>
      <c r="B325" s="1" t="n">
        <v>44434</v>
      </c>
      <c r="C325" s="1" t="n">
        <v>45834</v>
      </c>
      <c r="D325" t="inlineStr">
        <is>
          <t>DALARNAS LÄN</t>
        </is>
      </c>
      <c r="E325" t="inlineStr">
        <is>
          <t>SMEDJEBACKEN</t>
        </is>
      </c>
      <c r="G325" t="n">
        <v>0.3</v>
      </c>
      <c r="H325" t="n">
        <v>0</v>
      </c>
      <c r="I325" t="n">
        <v>0</v>
      </c>
      <c r="J325" t="n">
        <v>0</v>
      </c>
      <c r="K325" t="n">
        <v>0</v>
      </c>
      <c r="L325" t="n">
        <v>0</v>
      </c>
      <c r="M325" t="n">
        <v>0</v>
      </c>
      <c r="N325" t="n">
        <v>0</v>
      </c>
      <c r="O325" t="n">
        <v>0</v>
      </c>
      <c r="P325" t="n">
        <v>0</v>
      </c>
      <c r="Q325" t="n">
        <v>0</v>
      </c>
      <c r="R325" s="2" t="inlineStr"/>
    </row>
    <row r="326" ht="15" customHeight="1">
      <c r="A326" t="inlineStr">
        <is>
          <t>A 44117-2021</t>
        </is>
      </c>
      <c r="B326" s="1" t="n">
        <v>44434</v>
      </c>
      <c r="C326" s="1" t="n">
        <v>45834</v>
      </c>
      <c r="D326" t="inlineStr">
        <is>
          <t>DALARNAS LÄN</t>
        </is>
      </c>
      <c r="E326" t="inlineStr">
        <is>
          <t>SMEDJEBACKEN</t>
        </is>
      </c>
      <c r="G326" t="n">
        <v>1.2</v>
      </c>
      <c r="H326" t="n">
        <v>0</v>
      </c>
      <c r="I326" t="n">
        <v>0</v>
      </c>
      <c r="J326" t="n">
        <v>0</v>
      </c>
      <c r="K326" t="n">
        <v>0</v>
      </c>
      <c r="L326" t="n">
        <v>0</v>
      </c>
      <c r="M326" t="n">
        <v>0</v>
      </c>
      <c r="N326" t="n">
        <v>0</v>
      </c>
      <c r="O326" t="n">
        <v>0</v>
      </c>
      <c r="P326" t="n">
        <v>0</v>
      </c>
      <c r="Q326" t="n">
        <v>0</v>
      </c>
      <c r="R326" s="2" t="inlineStr"/>
    </row>
    <row r="327" ht="15" customHeight="1">
      <c r="A327" t="inlineStr">
        <is>
          <t>A 44250-2021</t>
        </is>
      </c>
      <c r="B327" s="1" t="n">
        <v>44434</v>
      </c>
      <c r="C327" s="1" t="n">
        <v>45834</v>
      </c>
      <c r="D327" t="inlineStr">
        <is>
          <t>DALARNAS LÄN</t>
        </is>
      </c>
      <c r="E327" t="inlineStr">
        <is>
          <t>SMEDJEBACKEN</t>
        </is>
      </c>
      <c r="G327" t="n">
        <v>0.6</v>
      </c>
      <c r="H327" t="n">
        <v>0</v>
      </c>
      <c r="I327" t="n">
        <v>0</v>
      </c>
      <c r="J327" t="n">
        <v>0</v>
      </c>
      <c r="K327" t="n">
        <v>0</v>
      </c>
      <c r="L327" t="n">
        <v>0</v>
      </c>
      <c r="M327" t="n">
        <v>0</v>
      </c>
      <c r="N327" t="n">
        <v>0</v>
      </c>
      <c r="O327" t="n">
        <v>0</v>
      </c>
      <c r="P327" t="n">
        <v>0</v>
      </c>
      <c r="Q327" t="n">
        <v>0</v>
      </c>
      <c r="R327" s="2" t="inlineStr"/>
    </row>
    <row r="328" ht="15" customHeight="1">
      <c r="A328" t="inlineStr">
        <is>
          <t>A 44141-2021</t>
        </is>
      </c>
      <c r="B328" s="1" t="n">
        <v>44434</v>
      </c>
      <c r="C328" s="1" t="n">
        <v>45834</v>
      </c>
      <c r="D328" t="inlineStr">
        <is>
          <t>DALARNAS LÄN</t>
        </is>
      </c>
      <c r="E328" t="inlineStr">
        <is>
          <t>SMEDJEBACKEN</t>
        </is>
      </c>
      <c r="G328" t="n">
        <v>0.7</v>
      </c>
      <c r="H328" t="n">
        <v>0</v>
      </c>
      <c r="I328" t="n">
        <v>0</v>
      </c>
      <c r="J328" t="n">
        <v>0</v>
      </c>
      <c r="K328" t="n">
        <v>0</v>
      </c>
      <c r="L328" t="n">
        <v>0</v>
      </c>
      <c r="M328" t="n">
        <v>0</v>
      </c>
      <c r="N328" t="n">
        <v>0</v>
      </c>
      <c r="O328" t="n">
        <v>0</v>
      </c>
      <c r="P328" t="n">
        <v>0</v>
      </c>
      <c r="Q328" t="n">
        <v>0</v>
      </c>
      <c r="R328" s="2" t="inlineStr"/>
    </row>
    <row r="329" ht="15" customHeight="1">
      <c r="A329" t="inlineStr">
        <is>
          <t>A 44249-2021</t>
        </is>
      </c>
      <c r="B329" s="1" t="n">
        <v>44434</v>
      </c>
      <c r="C329" s="1" t="n">
        <v>45834</v>
      </c>
      <c r="D329" t="inlineStr">
        <is>
          <t>DALARNAS LÄN</t>
        </is>
      </c>
      <c r="E329" t="inlineStr">
        <is>
          <t>SMEDJEBACKEN</t>
        </is>
      </c>
      <c r="G329" t="n">
        <v>0.9</v>
      </c>
      <c r="H329" t="n">
        <v>0</v>
      </c>
      <c r="I329" t="n">
        <v>0</v>
      </c>
      <c r="J329" t="n">
        <v>0</v>
      </c>
      <c r="K329" t="n">
        <v>0</v>
      </c>
      <c r="L329" t="n">
        <v>0</v>
      </c>
      <c r="M329" t="n">
        <v>0</v>
      </c>
      <c r="N329" t="n">
        <v>0</v>
      </c>
      <c r="O329" t="n">
        <v>0</v>
      </c>
      <c r="P329" t="n">
        <v>0</v>
      </c>
      <c r="Q329" t="n">
        <v>0</v>
      </c>
      <c r="R329" s="2" t="inlineStr"/>
    </row>
    <row r="330" ht="15" customHeight="1">
      <c r="A330" t="inlineStr">
        <is>
          <t>A 45382-2021</t>
        </is>
      </c>
      <c r="B330" s="1" t="n">
        <v>44440</v>
      </c>
      <c r="C330" s="1" t="n">
        <v>45834</v>
      </c>
      <c r="D330" t="inlineStr">
        <is>
          <t>DALARNAS LÄN</t>
        </is>
      </c>
      <c r="E330" t="inlineStr">
        <is>
          <t>SMEDJEBACKEN</t>
        </is>
      </c>
      <c r="F330" t="inlineStr">
        <is>
          <t>Kyrkan</t>
        </is>
      </c>
      <c r="G330" t="n">
        <v>1.1</v>
      </c>
      <c r="H330" t="n">
        <v>0</v>
      </c>
      <c r="I330" t="n">
        <v>0</v>
      </c>
      <c r="J330" t="n">
        <v>0</v>
      </c>
      <c r="K330" t="n">
        <v>0</v>
      </c>
      <c r="L330" t="n">
        <v>0</v>
      </c>
      <c r="M330" t="n">
        <v>0</v>
      </c>
      <c r="N330" t="n">
        <v>0</v>
      </c>
      <c r="O330" t="n">
        <v>0</v>
      </c>
      <c r="P330" t="n">
        <v>0</v>
      </c>
      <c r="Q330" t="n">
        <v>0</v>
      </c>
      <c r="R330" s="2" t="inlineStr"/>
    </row>
    <row r="331" ht="15" customHeight="1">
      <c r="A331" t="inlineStr">
        <is>
          <t>A 45933-2021</t>
        </is>
      </c>
      <c r="B331" s="1" t="n">
        <v>44441</v>
      </c>
      <c r="C331" s="1" t="n">
        <v>45834</v>
      </c>
      <c r="D331" t="inlineStr">
        <is>
          <t>DALARNAS LÄN</t>
        </is>
      </c>
      <c r="E331" t="inlineStr">
        <is>
          <t>SMEDJEBACKEN</t>
        </is>
      </c>
      <c r="G331" t="n">
        <v>3.6</v>
      </c>
      <c r="H331" t="n">
        <v>0</v>
      </c>
      <c r="I331" t="n">
        <v>0</v>
      </c>
      <c r="J331" t="n">
        <v>0</v>
      </c>
      <c r="K331" t="n">
        <v>0</v>
      </c>
      <c r="L331" t="n">
        <v>0</v>
      </c>
      <c r="M331" t="n">
        <v>0</v>
      </c>
      <c r="N331" t="n">
        <v>0</v>
      </c>
      <c r="O331" t="n">
        <v>0</v>
      </c>
      <c r="P331" t="n">
        <v>0</v>
      </c>
      <c r="Q331" t="n">
        <v>0</v>
      </c>
      <c r="R331" s="2" t="inlineStr"/>
    </row>
    <row r="332" ht="15" customHeight="1">
      <c r="A332" t="inlineStr">
        <is>
          <t>A 46130-2021</t>
        </is>
      </c>
      <c r="B332" s="1" t="n">
        <v>44442</v>
      </c>
      <c r="C332" s="1" t="n">
        <v>45834</v>
      </c>
      <c r="D332" t="inlineStr">
        <is>
          <t>DALARNAS LÄN</t>
        </is>
      </c>
      <c r="E332" t="inlineStr">
        <is>
          <t>SMEDJEBACKEN</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46138-2021</t>
        </is>
      </c>
      <c r="B333" s="1" t="n">
        <v>44442</v>
      </c>
      <c r="C333" s="1" t="n">
        <v>45834</v>
      </c>
      <c r="D333" t="inlineStr">
        <is>
          <t>DALARNAS LÄN</t>
        </is>
      </c>
      <c r="E333" t="inlineStr">
        <is>
          <t>SMEDJEBACKEN</t>
        </is>
      </c>
      <c r="F333" t="inlineStr">
        <is>
          <t>Sveaskog</t>
        </is>
      </c>
      <c r="G333" t="n">
        <v>2.7</v>
      </c>
      <c r="H333" t="n">
        <v>0</v>
      </c>
      <c r="I333" t="n">
        <v>0</v>
      </c>
      <c r="J333" t="n">
        <v>0</v>
      </c>
      <c r="K333" t="n">
        <v>0</v>
      </c>
      <c r="L333" t="n">
        <v>0</v>
      </c>
      <c r="M333" t="n">
        <v>0</v>
      </c>
      <c r="N333" t="n">
        <v>0</v>
      </c>
      <c r="O333" t="n">
        <v>0</v>
      </c>
      <c r="P333" t="n">
        <v>0</v>
      </c>
      <c r="Q333" t="n">
        <v>0</v>
      </c>
      <c r="R333" s="2" t="inlineStr"/>
    </row>
    <row r="334" ht="15" customHeight="1">
      <c r="A334" t="inlineStr">
        <is>
          <t>A 46185-2021</t>
        </is>
      </c>
      <c r="B334" s="1" t="n">
        <v>44442</v>
      </c>
      <c r="C334" s="1" t="n">
        <v>45834</v>
      </c>
      <c r="D334" t="inlineStr">
        <is>
          <t>DALARNAS LÄN</t>
        </is>
      </c>
      <c r="E334" t="inlineStr">
        <is>
          <t>SMEDJEBACKEN</t>
        </is>
      </c>
      <c r="F334" t="inlineStr">
        <is>
          <t>Sveaskog</t>
        </is>
      </c>
      <c r="G334" t="n">
        <v>5.2</v>
      </c>
      <c r="H334" t="n">
        <v>0</v>
      </c>
      <c r="I334" t="n">
        <v>0</v>
      </c>
      <c r="J334" t="n">
        <v>0</v>
      </c>
      <c r="K334" t="n">
        <v>0</v>
      </c>
      <c r="L334" t="n">
        <v>0</v>
      </c>
      <c r="M334" t="n">
        <v>0</v>
      </c>
      <c r="N334" t="n">
        <v>0</v>
      </c>
      <c r="O334" t="n">
        <v>0</v>
      </c>
      <c r="P334" t="n">
        <v>0</v>
      </c>
      <c r="Q334" t="n">
        <v>0</v>
      </c>
      <c r="R334" s="2" t="inlineStr"/>
    </row>
    <row r="335" ht="15" customHeight="1">
      <c r="A335" t="inlineStr">
        <is>
          <t>A 46125-2021</t>
        </is>
      </c>
      <c r="B335" s="1" t="n">
        <v>44442</v>
      </c>
      <c r="C335" s="1" t="n">
        <v>45834</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46137-2021</t>
        </is>
      </c>
      <c r="B336" s="1" t="n">
        <v>44442</v>
      </c>
      <c r="C336" s="1" t="n">
        <v>45834</v>
      </c>
      <c r="D336" t="inlineStr">
        <is>
          <t>DALARNAS LÄN</t>
        </is>
      </c>
      <c r="E336" t="inlineStr">
        <is>
          <t>SMEDJEBACKEN</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46184-2021</t>
        </is>
      </c>
      <c r="B337" s="1" t="n">
        <v>44442</v>
      </c>
      <c r="C337" s="1" t="n">
        <v>45834</v>
      </c>
      <c r="D337" t="inlineStr">
        <is>
          <t>DALARNAS LÄN</t>
        </is>
      </c>
      <c r="E337" t="inlineStr">
        <is>
          <t>SMEDJEBACKEN</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46116-2021</t>
        </is>
      </c>
      <c r="B338" s="1" t="n">
        <v>44442</v>
      </c>
      <c r="C338" s="1" t="n">
        <v>45834</v>
      </c>
      <c r="D338" t="inlineStr">
        <is>
          <t>DALARNAS LÄN</t>
        </is>
      </c>
      <c r="E338" t="inlineStr">
        <is>
          <t>SMEDJEBACKEN</t>
        </is>
      </c>
      <c r="F338" t="inlineStr">
        <is>
          <t>Sveaskog</t>
        </is>
      </c>
      <c r="G338" t="n">
        <v>11.3</v>
      </c>
      <c r="H338" t="n">
        <v>0</v>
      </c>
      <c r="I338" t="n">
        <v>0</v>
      </c>
      <c r="J338" t="n">
        <v>0</v>
      </c>
      <c r="K338" t="n">
        <v>0</v>
      </c>
      <c r="L338" t="n">
        <v>0</v>
      </c>
      <c r="M338" t="n">
        <v>0</v>
      </c>
      <c r="N338" t="n">
        <v>0</v>
      </c>
      <c r="O338" t="n">
        <v>0</v>
      </c>
      <c r="P338" t="n">
        <v>0</v>
      </c>
      <c r="Q338" t="n">
        <v>0</v>
      </c>
      <c r="R338" s="2" t="inlineStr"/>
    </row>
    <row r="339" ht="15" customHeight="1">
      <c r="A339" t="inlineStr">
        <is>
          <t>A 46132-2021</t>
        </is>
      </c>
      <c r="B339" s="1" t="n">
        <v>44442</v>
      </c>
      <c r="C339" s="1" t="n">
        <v>45834</v>
      </c>
      <c r="D339" t="inlineStr">
        <is>
          <t>DALARNAS LÄN</t>
        </is>
      </c>
      <c r="E339" t="inlineStr">
        <is>
          <t>SMEDJEBACKEN</t>
        </is>
      </c>
      <c r="F339" t="inlineStr">
        <is>
          <t>Sveaskog</t>
        </is>
      </c>
      <c r="G339" t="n">
        <v>5.7</v>
      </c>
      <c r="H339" t="n">
        <v>0</v>
      </c>
      <c r="I339" t="n">
        <v>0</v>
      </c>
      <c r="J339" t="n">
        <v>0</v>
      </c>
      <c r="K339" t="n">
        <v>0</v>
      </c>
      <c r="L339" t="n">
        <v>0</v>
      </c>
      <c r="M339" t="n">
        <v>0</v>
      </c>
      <c r="N339" t="n">
        <v>0</v>
      </c>
      <c r="O339" t="n">
        <v>0</v>
      </c>
      <c r="P339" t="n">
        <v>0</v>
      </c>
      <c r="Q339" t="n">
        <v>0</v>
      </c>
      <c r="R339" s="2" t="inlineStr"/>
    </row>
    <row r="340" ht="15" customHeight="1">
      <c r="A340" t="inlineStr">
        <is>
          <t>A 46144-2021</t>
        </is>
      </c>
      <c r="B340" s="1" t="n">
        <v>44442</v>
      </c>
      <c r="C340" s="1" t="n">
        <v>45834</v>
      </c>
      <c r="D340" t="inlineStr">
        <is>
          <t>DALARNAS LÄN</t>
        </is>
      </c>
      <c r="E340" t="inlineStr">
        <is>
          <t>SMEDJEBACKEN</t>
        </is>
      </c>
      <c r="F340" t="inlineStr">
        <is>
          <t>Sveaskog</t>
        </is>
      </c>
      <c r="G340" t="n">
        <v>3.4</v>
      </c>
      <c r="H340" t="n">
        <v>0</v>
      </c>
      <c r="I340" t="n">
        <v>0</v>
      </c>
      <c r="J340" t="n">
        <v>0</v>
      </c>
      <c r="K340" t="n">
        <v>0</v>
      </c>
      <c r="L340" t="n">
        <v>0</v>
      </c>
      <c r="M340" t="n">
        <v>0</v>
      </c>
      <c r="N340" t="n">
        <v>0</v>
      </c>
      <c r="O340" t="n">
        <v>0</v>
      </c>
      <c r="P340" t="n">
        <v>0</v>
      </c>
      <c r="Q340" t="n">
        <v>0</v>
      </c>
      <c r="R340" s="2" t="inlineStr"/>
    </row>
    <row r="341" ht="15" customHeight="1">
      <c r="A341" t="inlineStr">
        <is>
          <t>A 46531-2021</t>
        </is>
      </c>
      <c r="B341" s="1" t="n">
        <v>44445</v>
      </c>
      <c r="C341" s="1" t="n">
        <v>45834</v>
      </c>
      <c r="D341" t="inlineStr">
        <is>
          <t>DALARNAS LÄN</t>
        </is>
      </c>
      <c r="E341" t="inlineStr">
        <is>
          <t>SMEDJEBACKEN</t>
        </is>
      </c>
      <c r="F341" t="inlineStr">
        <is>
          <t>Sveaskog</t>
        </is>
      </c>
      <c r="G341" t="n">
        <v>3.9</v>
      </c>
      <c r="H341" t="n">
        <v>0</v>
      </c>
      <c r="I341" t="n">
        <v>0</v>
      </c>
      <c r="J341" t="n">
        <v>0</v>
      </c>
      <c r="K341" t="n">
        <v>0</v>
      </c>
      <c r="L341" t="n">
        <v>0</v>
      </c>
      <c r="M341" t="n">
        <v>0</v>
      </c>
      <c r="N341" t="n">
        <v>0</v>
      </c>
      <c r="O341" t="n">
        <v>0</v>
      </c>
      <c r="P341" t="n">
        <v>0</v>
      </c>
      <c r="Q341" t="n">
        <v>0</v>
      </c>
      <c r="R341" s="2" t="inlineStr"/>
    </row>
    <row r="342" ht="15" customHeight="1">
      <c r="A342" t="inlineStr">
        <is>
          <t>A 48156-2021</t>
        </is>
      </c>
      <c r="B342" s="1" t="n">
        <v>44449</v>
      </c>
      <c r="C342" s="1" t="n">
        <v>45834</v>
      </c>
      <c r="D342" t="inlineStr">
        <is>
          <t>DALARNAS LÄN</t>
        </is>
      </c>
      <c r="E342" t="inlineStr">
        <is>
          <t>SMEDJEBACKEN</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48158-2021</t>
        </is>
      </c>
      <c r="B343" s="1" t="n">
        <v>44449</v>
      </c>
      <c r="C343" s="1" t="n">
        <v>45834</v>
      </c>
      <c r="D343" t="inlineStr">
        <is>
          <t>DALARNAS LÄN</t>
        </is>
      </c>
      <c r="E343" t="inlineStr">
        <is>
          <t>SMEDJEBACKEN</t>
        </is>
      </c>
      <c r="F343" t="inlineStr">
        <is>
          <t>Bergvik skog väst AB</t>
        </is>
      </c>
      <c r="G343" t="n">
        <v>12</v>
      </c>
      <c r="H343" t="n">
        <v>0</v>
      </c>
      <c r="I343" t="n">
        <v>0</v>
      </c>
      <c r="J343" t="n">
        <v>0</v>
      </c>
      <c r="K343" t="n">
        <v>0</v>
      </c>
      <c r="L343" t="n">
        <v>0</v>
      </c>
      <c r="M343" t="n">
        <v>0</v>
      </c>
      <c r="N343" t="n">
        <v>0</v>
      </c>
      <c r="O343" t="n">
        <v>0</v>
      </c>
      <c r="P343" t="n">
        <v>0</v>
      </c>
      <c r="Q343" t="n">
        <v>0</v>
      </c>
      <c r="R343" s="2" t="inlineStr"/>
    </row>
    <row r="344" ht="15" customHeight="1">
      <c r="A344" t="inlineStr">
        <is>
          <t>A 49097-2021</t>
        </is>
      </c>
      <c r="B344" s="1" t="n">
        <v>44453</v>
      </c>
      <c r="C344" s="1" t="n">
        <v>45834</v>
      </c>
      <c r="D344" t="inlineStr">
        <is>
          <t>DALARNAS LÄN</t>
        </is>
      </c>
      <c r="E344" t="inlineStr">
        <is>
          <t>SMEDJEBACKEN</t>
        </is>
      </c>
      <c r="G344" t="n">
        <v>1.4</v>
      </c>
      <c r="H344" t="n">
        <v>0</v>
      </c>
      <c r="I344" t="n">
        <v>0</v>
      </c>
      <c r="J344" t="n">
        <v>0</v>
      </c>
      <c r="K344" t="n">
        <v>0</v>
      </c>
      <c r="L344" t="n">
        <v>0</v>
      </c>
      <c r="M344" t="n">
        <v>0</v>
      </c>
      <c r="N344" t="n">
        <v>0</v>
      </c>
      <c r="O344" t="n">
        <v>0</v>
      </c>
      <c r="P344" t="n">
        <v>0</v>
      </c>
      <c r="Q344" t="n">
        <v>0</v>
      </c>
      <c r="R344" s="2" t="inlineStr"/>
    </row>
    <row r="345" ht="15" customHeight="1">
      <c r="A345" t="inlineStr">
        <is>
          <t>A 49828-2021</t>
        </is>
      </c>
      <c r="B345" s="1" t="n">
        <v>44455</v>
      </c>
      <c r="C345" s="1" t="n">
        <v>45834</v>
      </c>
      <c r="D345" t="inlineStr">
        <is>
          <t>DALARNAS LÄN</t>
        </is>
      </c>
      <c r="E345" t="inlineStr">
        <is>
          <t>SMEDJEBACKEN</t>
        </is>
      </c>
      <c r="F345" t="inlineStr">
        <is>
          <t>Sveaskog</t>
        </is>
      </c>
      <c r="G345" t="n">
        <v>6.9</v>
      </c>
      <c r="H345" t="n">
        <v>0</v>
      </c>
      <c r="I345" t="n">
        <v>0</v>
      </c>
      <c r="J345" t="n">
        <v>0</v>
      </c>
      <c r="K345" t="n">
        <v>0</v>
      </c>
      <c r="L345" t="n">
        <v>0</v>
      </c>
      <c r="M345" t="n">
        <v>0</v>
      </c>
      <c r="N345" t="n">
        <v>0</v>
      </c>
      <c r="O345" t="n">
        <v>0</v>
      </c>
      <c r="P345" t="n">
        <v>0</v>
      </c>
      <c r="Q345" t="n">
        <v>0</v>
      </c>
      <c r="R345" s="2" t="inlineStr"/>
    </row>
    <row r="346" ht="15" customHeight="1">
      <c r="A346" t="inlineStr">
        <is>
          <t>A 51422-2021</t>
        </is>
      </c>
      <c r="B346" s="1" t="n">
        <v>44461</v>
      </c>
      <c r="C346" s="1" t="n">
        <v>45834</v>
      </c>
      <c r="D346" t="inlineStr">
        <is>
          <t>DALARNAS LÄN</t>
        </is>
      </c>
      <c r="E346" t="inlineStr">
        <is>
          <t>SMEDJEBACKEN</t>
        </is>
      </c>
      <c r="G346" t="n">
        <v>4.3</v>
      </c>
      <c r="H346" t="n">
        <v>0</v>
      </c>
      <c r="I346" t="n">
        <v>0</v>
      </c>
      <c r="J346" t="n">
        <v>0</v>
      </c>
      <c r="K346" t="n">
        <v>0</v>
      </c>
      <c r="L346" t="n">
        <v>0</v>
      </c>
      <c r="M346" t="n">
        <v>0</v>
      </c>
      <c r="N346" t="n">
        <v>0</v>
      </c>
      <c r="O346" t="n">
        <v>0</v>
      </c>
      <c r="P346" t="n">
        <v>0</v>
      </c>
      <c r="Q346" t="n">
        <v>0</v>
      </c>
      <c r="R346" s="2" t="inlineStr"/>
    </row>
    <row r="347" ht="15" customHeight="1">
      <c r="A347" t="inlineStr">
        <is>
          <t>A 51731-2021</t>
        </is>
      </c>
      <c r="B347" s="1" t="n">
        <v>44462</v>
      </c>
      <c r="C347" s="1" t="n">
        <v>45834</v>
      </c>
      <c r="D347" t="inlineStr">
        <is>
          <t>DALARNAS LÄN</t>
        </is>
      </c>
      <c r="E347" t="inlineStr">
        <is>
          <t>SMEDJEBACKEN</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53013-2021</t>
        </is>
      </c>
      <c r="B348" s="1" t="n">
        <v>44466</v>
      </c>
      <c r="C348" s="1" t="n">
        <v>45834</v>
      </c>
      <c r="D348" t="inlineStr">
        <is>
          <t>DALARNAS LÄN</t>
        </is>
      </c>
      <c r="E348" t="inlineStr">
        <is>
          <t>SMEDJEBACKEN</t>
        </is>
      </c>
      <c r="F348" t="inlineStr">
        <is>
          <t>Bergvik skog väst AB</t>
        </is>
      </c>
      <c r="G348" t="n">
        <v>1.5</v>
      </c>
      <c r="H348" t="n">
        <v>0</v>
      </c>
      <c r="I348" t="n">
        <v>0</v>
      </c>
      <c r="J348" t="n">
        <v>0</v>
      </c>
      <c r="K348" t="n">
        <v>0</v>
      </c>
      <c r="L348" t="n">
        <v>0</v>
      </c>
      <c r="M348" t="n">
        <v>0</v>
      </c>
      <c r="N348" t="n">
        <v>0</v>
      </c>
      <c r="O348" t="n">
        <v>0</v>
      </c>
      <c r="P348" t="n">
        <v>0</v>
      </c>
      <c r="Q348" t="n">
        <v>0</v>
      </c>
      <c r="R348" s="2" t="inlineStr"/>
    </row>
    <row r="349" ht="15" customHeight="1">
      <c r="A349" t="inlineStr">
        <is>
          <t>A 52958-2021</t>
        </is>
      </c>
      <c r="B349" s="1" t="n">
        <v>44467</v>
      </c>
      <c r="C349" s="1" t="n">
        <v>45834</v>
      </c>
      <c r="D349" t="inlineStr">
        <is>
          <t>DALARNAS LÄN</t>
        </is>
      </c>
      <c r="E349" t="inlineStr">
        <is>
          <t>SMEDJEBACKEN</t>
        </is>
      </c>
      <c r="F349" t="inlineStr">
        <is>
          <t>Övriga Aktiebolag</t>
        </is>
      </c>
      <c r="G349" t="n">
        <v>2.5</v>
      </c>
      <c r="H349" t="n">
        <v>0</v>
      </c>
      <c r="I349" t="n">
        <v>0</v>
      </c>
      <c r="J349" t="n">
        <v>0</v>
      </c>
      <c r="K349" t="n">
        <v>0</v>
      </c>
      <c r="L349" t="n">
        <v>0</v>
      </c>
      <c r="M349" t="n">
        <v>0</v>
      </c>
      <c r="N349" t="n">
        <v>0</v>
      </c>
      <c r="O349" t="n">
        <v>0</v>
      </c>
      <c r="P349" t="n">
        <v>0</v>
      </c>
      <c r="Q349" t="n">
        <v>0</v>
      </c>
      <c r="R349" s="2" t="inlineStr"/>
    </row>
    <row r="350" ht="15" customHeight="1">
      <c r="A350" t="inlineStr">
        <is>
          <t>A 53583-2021</t>
        </is>
      </c>
      <c r="B350" s="1" t="n">
        <v>44469</v>
      </c>
      <c r="C350" s="1" t="n">
        <v>45834</v>
      </c>
      <c r="D350" t="inlineStr">
        <is>
          <t>DALARNAS LÄN</t>
        </is>
      </c>
      <c r="E350" t="inlineStr">
        <is>
          <t>SMEDJEBACKEN</t>
        </is>
      </c>
      <c r="G350" t="n">
        <v>1.1</v>
      </c>
      <c r="H350" t="n">
        <v>0</v>
      </c>
      <c r="I350" t="n">
        <v>0</v>
      </c>
      <c r="J350" t="n">
        <v>0</v>
      </c>
      <c r="K350" t="n">
        <v>0</v>
      </c>
      <c r="L350" t="n">
        <v>0</v>
      </c>
      <c r="M350" t="n">
        <v>0</v>
      </c>
      <c r="N350" t="n">
        <v>0</v>
      </c>
      <c r="O350" t="n">
        <v>0</v>
      </c>
      <c r="P350" t="n">
        <v>0</v>
      </c>
      <c r="Q350" t="n">
        <v>0</v>
      </c>
      <c r="R350" s="2" t="inlineStr"/>
    </row>
    <row r="351" ht="15" customHeight="1">
      <c r="A351" t="inlineStr">
        <is>
          <t>A 54382-2021</t>
        </is>
      </c>
      <c r="B351" s="1" t="n">
        <v>44473</v>
      </c>
      <c r="C351" s="1" t="n">
        <v>45834</v>
      </c>
      <c r="D351" t="inlineStr">
        <is>
          <t>DALARNAS LÄN</t>
        </is>
      </c>
      <c r="E351" t="inlineStr">
        <is>
          <t>SMEDJEBACKEN</t>
        </is>
      </c>
      <c r="G351" t="n">
        <v>0.5</v>
      </c>
      <c r="H351" t="n">
        <v>0</v>
      </c>
      <c r="I351" t="n">
        <v>0</v>
      </c>
      <c r="J351" t="n">
        <v>0</v>
      </c>
      <c r="K351" t="n">
        <v>0</v>
      </c>
      <c r="L351" t="n">
        <v>0</v>
      </c>
      <c r="M351" t="n">
        <v>0</v>
      </c>
      <c r="N351" t="n">
        <v>0</v>
      </c>
      <c r="O351" t="n">
        <v>0</v>
      </c>
      <c r="P351" t="n">
        <v>0</v>
      </c>
      <c r="Q351" t="n">
        <v>0</v>
      </c>
      <c r="R351" s="2" t="inlineStr"/>
    </row>
    <row r="352" ht="15" customHeight="1">
      <c r="A352" t="inlineStr">
        <is>
          <t>A 54971-2021</t>
        </is>
      </c>
      <c r="B352" s="1" t="n">
        <v>44474</v>
      </c>
      <c r="C352" s="1" t="n">
        <v>45834</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55466-2021</t>
        </is>
      </c>
      <c r="B353" s="1" t="n">
        <v>44475</v>
      </c>
      <c r="C353" s="1" t="n">
        <v>45834</v>
      </c>
      <c r="D353" t="inlineStr">
        <is>
          <t>DALARNAS LÄN</t>
        </is>
      </c>
      <c r="E353" t="inlineStr">
        <is>
          <t>SMEDJEBACKEN</t>
        </is>
      </c>
      <c r="G353" t="n">
        <v>2</v>
      </c>
      <c r="H353" t="n">
        <v>0</v>
      </c>
      <c r="I353" t="n">
        <v>0</v>
      </c>
      <c r="J353" t="n">
        <v>0</v>
      </c>
      <c r="K353" t="n">
        <v>0</v>
      </c>
      <c r="L353" t="n">
        <v>0</v>
      </c>
      <c r="M353" t="n">
        <v>0</v>
      </c>
      <c r="N353" t="n">
        <v>0</v>
      </c>
      <c r="O353" t="n">
        <v>0</v>
      </c>
      <c r="P353" t="n">
        <v>0</v>
      </c>
      <c r="Q353" t="n">
        <v>0</v>
      </c>
      <c r="R353" s="2" t="inlineStr"/>
    </row>
    <row r="354" ht="15" customHeight="1">
      <c r="A354" t="inlineStr">
        <is>
          <t>A 55362-2021</t>
        </is>
      </c>
      <c r="B354" s="1" t="n">
        <v>44475</v>
      </c>
      <c r="C354" s="1" t="n">
        <v>45834</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55626-2021</t>
        </is>
      </c>
      <c r="B355" s="1" t="n">
        <v>44475</v>
      </c>
      <c r="C355" s="1" t="n">
        <v>45834</v>
      </c>
      <c r="D355" t="inlineStr">
        <is>
          <t>DALARNAS LÄN</t>
        </is>
      </c>
      <c r="E355" t="inlineStr">
        <is>
          <t>SMEDJEBACKEN</t>
        </is>
      </c>
      <c r="F355" t="inlineStr">
        <is>
          <t>Bergvik skog väst AB</t>
        </is>
      </c>
      <c r="G355" t="n">
        <v>5.1</v>
      </c>
      <c r="H355" t="n">
        <v>0</v>
      </c>
      <c r="I355" t="n">
        <v>0</v>
      </c>
      <c r="J355" t="n">
        <v>0</v>
      </c>
      <c r="K355" t="n">
        <v>0</v>
      </c>
      <c r="L355" t="n">
        <v>0</v>
      </c>
      <c r="M355" t="n">
        <v>0</v>
      </c>
      <c r="N355" t="n">
        <v>0</v>
      </c>
      <c r="O355" t="n">
        <v>0</v>
      </c>
      <c r="P355" t="n">
        <v>0</v>
      </c>
      <c r="Q355" t="n">
        <v>0</v>
      </c>
      <c r="R355" s="2" t="inlineStr"/>
    </row>
    <row r="356" ht="15" customHeight="1">
      <c r="A356" t="inlineStr">
        <is>
          <t>A 55619-2021</t>
        </is>
      </c>
      <c r="B356" s="1" t="n">
        <v>44475</v>
      </c>
      <c r="C356" s="1" t="n">
        <v>45834</v>
      </c>
      <c r="D356" t="inlineStr">
        <is>
          <t>DALARNAS LÄN</t>
        </is>
      </c>
      <c r="E356" t="inlineStr">
        <is>
          <t>SMEDJEBACKEN</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55650-2021</t>
        </is>
      </c>
      <c r="B357" s="1" t="n">
        <v>44475</v>
      </c>
      <c r="C357" s="1" t="n">
        <v>45834</v>
      </c>
      <c r="D357" t="inlineStr">
        <is>
          <t>DALARNAS LÄN</t>
        </is>
      </c>
      <c r="E357" t="inlineStr">
        <is>
          <t>SMEDJEBACKEN</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55851-2021</t>
        </is>
      </c>
      <c r="B358" s="1" t="n">
        <v>44476</v>
      </c>
      <c r="C358" s="1" t="n">
        <v>45834</v>
      </c>
      <c r="D358" t="inlineStr">
        <is>
          <t>DALARNAS LÄN</t>
        </is>
      </c>
      <c r="E358" t="inlineStr">
        <is>
          <t>SMEDJEBACKEN</t>
        </is>
      </c>
      <c r="F358" t="inlineStr">
        <is>
          <t>Övriga Aktiebolag</t>
        </is>
      </c>
      <c r="G358" t="n">
        <v>2.6</v>
      </c>
      <c r="H358" t="n">
        <v>0</v>
      </c>
      <c r="I358" t="n">
        <v>0</v>
      </c>
      <c r="J358" t="n">
        <v>0</v>
      </c>
      <c r="K358" t="n">
        <v>0</v>
      </c>
      <c r="L358" t="n">
        <v>0</v>
      </c>
      <c r="M358" t="n">
        <v>0</v>
      </c>
      <c r="N358" t="n">
        <v>0</v>
      </c>
      <c r="O358" t="n">
        <v>0</v>
      </c>
      <c r="P358" t="n">
        <v>0</v>
      </c>
      <c r="Q358" t="n">
        <v>0</v>
      </c>
      <c r="R358" s="2" t="inlineStr"/>
    </row>
    <row r="359" ht="15" customHeight="1">
      <c r="A359" t="inlineStr">
        <is>
          <t>A 56012-2021</t>
        </is>
      </c>
      <c r="B359" s="1" t="n">
        <v>44477</v>
      </c>
      <c r="C359" s="1" t="n">
        <v>45834</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56305-2021</t>
        </is>
      </c>
      <c r="B360" s="1" t="n">
        <v>44477</v>
      </c>
      <c r="C360" s="1" t="n">
        <v>45834</v>
      </c>
      <c r="D360" t="inlineStr">
        <is>
          <t>DALARNAS LÄN</t>
        </is>
      </c>
      <c r="E360" t="inlineStr">
        <is>
          <t>SMEDJEBACKEN</t>
        </is>
      </c>
      <c r="F360" t="inlineStr">
        <is>
          <t>Bergvik skog väst AB</t>
        </is>
      </c>
      <c r="G360" t="n">
        <v>14.2</v>
      </c>
      <c r="H360" t="n">
        <v>0</v>
      </c>
      <c r="I360" t="n">
        <v>0</v>
      </c>
      <c r="J360" t="n">
        <v>0</v>
      </c>
      <c r="K360" t="n">
        <v>0</v>
      </c>
      <c r="L360" t="n">
        <v>0</v>
      </c>
      <c r="M360" t="n">
        <v>0</v>
      </c>
      <c r="N360" t="n">
        <v>0</v>
      </c>
      <c r="O360" t="n">
        <v>0</v>
      </c>
      <c r="P360" t="n">
        <v>0</v>
      </c>
      <c r="Q360" t="n">
        <v>0</v>
      </c>
      <c r="R360" s="2" t="inlineStr"/>
    </row>
    <row r="361" ht="15" customHeight="1">
      <c r="A361" t="inlineStr">
        <is>
          <t>A 57260-2021</t>
        </is>
      </c>
      <c r="B361" s="1" t="n">
        <v>44482</v>
      </c>
      <c r="C361" s="1" t="n">
        <v>45834</v>
      </c>
      <c r="D361" t="inlineStr">
        <is>
          <t>DALARNAS LÄN</t>
        </is>
      </c>
      <c r="E361" t="inlineStr">
        <is>
          <t>SMEDJEBACKEN</t>
        </is>
      </c>
      <c r="F361" t="inlineStr">
        <is>
          <t>Bergvik skog väst AB</t>
        </is>
      </c>
      <c r="G361" t="n">
        <v>3.1</v>
      </c>
      <c r="H361" t="n">
        <v>0</v>
      </c>
      <c r="I361" t="n">
        <v>0</v>
      </c>
      <c r="J361" t="n">
        <v>0</v>
      </c>
      <c r="K361" t="n">
        <v>0</v>
      </c>
      <c r="L361" t="n">
        <v>0</v>
      </c>
      <c r="M361" t="n">
        <v>0</v>
      </c>
      <c r="N361" t="n">
        <v>0</v>
      </c>
      <c r="O361" t="n">
        <v>0</v>
      </c>
      <c r="P361" t="n">
        <v>0</v>
      </c>
      <c r="Q361" t="n">
        <v>0</v>
      </c>
      <c r="R361" s="2" t="inlineStr"/>
    </row>
    <row r="362" ht="15" customHeight="1">
      <c r="A362" t="inlineStr">
        <is>
          <t>A 57269-2021</t>
        </is>
      </c>
      <c r="B362" s="1" t="n">
        <v>44482</v>
      </c>
      <c r="C362" s="1" t="n">
        <v>45834</v>
      </c>
      <c r="D362" t="inlineStr">
        <is>
          <t>DALARNAS LÄN</t>
        </is>
      </c>
      <c r="E362" t="inlineStr">
        <is>
          <t>SMEDJEBACKEN</t>
        </is>
      </c>
      <c r="F362" t="inlineStr">
        <is>
          <t>Bergvik skog väst AB</t>
        </is>
      </c>
      <c r="G362" t="n">
        <v>1.8</v>
      </c>
      <c r="H362" t="n">
        <v>0</v>
      </c>
      <c r="I362" t="n">
        <v>0</v>
      </c>
      <c r="J362" t="n">
        <v>0</v>
      </c>
      <c r="K362" t="n">
        <v>0</v>
      </c>
      <c r="L362" t="n">
        <v>0</v>
      </c>
      <c r="M362" t="n">
        <v>0</v>
      </c>
      <c r="N362" t="n">
        <v>0</v>
      </c>
      <c r="O362" t="n">
        <v>0</v>
      </c>
      <c r="P362" t="n">
        <v>0</v>
      </c>
      <c r="Q362" t="n">
        <v>0</v>
      </c>
      <c r="R362" s="2" t="inlineStr"/>
    </row>
    <row r="363" ht="15" customHeight="1">
      <c r="A363" t="inlineStr">
        <is>
          <t>A 60086-2021</t>
        </is>
      </c>
      <c r="B363" s="1" t="n">
        <v>44494</v>
      </c>
      <c r="C363" s="1" t="n">
        <v>45834</v>
      </c>
      <c r="D363" t="inlineStr">
        <is>
          <t>DALARNAS LÄN</t>
        </is>
      </c>
      <c r="E363" t="inlineStr">
        <is>
          <t>SMEDJEBACKEN</t>
        </is>
      </c>
      <c r="F363" t="inlineStr">
        <is>
          <t>Bergvik skog väst AB</t>
        </is>
      </c>
      <c r="G363" t="n">
        <v>2.3</v>
      </c>
      <c r="H363" t="n">
        <v>0</v>
      </c>
      <c r="I363" t="n">
        <v>0</v>
      </c>
      <c r="J363" t="n">
        <v>0</v>
      </c>
      <c r="K363" t="n">
        <v>0</v>
      </c>
      <c r="L363" t="n">
        <v>0</v>
      </c>
      <c r="M363" t="n">
        <v>0</v>
      </c>
      <c r="N363" t="n">
        <v>0</v>
      </c>
      <c r="O363" t="n">
        <v>0</v>
      </c>
      <c r="P363" t="n">
        <v>0</v>
      </c>
      <c r="Q363" t="n">
        <v>0</v>
      </c>
      <c r="R363" s="2" t="inlineStr"/>
    </row>
    <row r="364" ht="15" customHeight="1">
      <c r="A364" t="inlineStr">
        <is>
          <t>A 60414-2021</t>
        </is>
      </c>
      <c r="B364" s="1" t="n">
        <v>44496</v>
      </c>
      <c r="C364" s="1" t="n">
        <v>45834</v>
      </c>
      <c r="D364" t="inlineStr">
        <is>
          <t>DALARNAS LÄN</t>
        </is>
      </c>
      <c r="E364" t="inlineStr">
        <is>
          <t>SMEDJEBACKEN</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60451-2021</t>
        </is>
      </c>
      <c r="B365" s="1" t="n">
        <v>44496</v>
      </c>
      <c r="C365" s="1" t="n">
        <v>45834</v>
      </c>
      <c r="D365" t="inlineStr">
        <is>
          <t>DALARNAS LÄN</t>
        </is>
      </c>
      <c r="E365" t="inlineStr">
        <is>
          <t>SMEDJEBACKEN</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60697-2021</t>
        </is>
      </c>
      <c r="B366" s="1" t="n">
        <v>44496</v>
      </c>
      <c r="C366" s="1" t="n">
        <v>45834</v>
      </c>
      <c r="D366" t="inlineStr">
        <is>
          <t>DALARNAS LÄN</t>
        </is>
      </c>
      <c r="E366" t="inlineStr">
        <is>
          <t>SMEDJEBACKEN</t>
        </is>
      </c>
      <c r="G366" t="n">
        <v>0.6</v>
      </c>
      <c r="H366" t="n">
        <v>0</v>
      </c>
      <c r="I366" t="n">
        <v>0</v>
      </c>
      <c r="J366" t="n">
        <v>0</v>
      </c>
      <c r="K366" t="n">
        <v>0</v>
      </c>
      <c r="L366" t="n">
        <v>0</v>
      </c>
      <c r="M366" t="n">
        <v>0</v>
      </c>
      <c r="N366" t="n">
        <v>0</v>
      </c>
      <c r="O366" t="n">
        <v>0</v>
      </c>
      <c r="P366" t="n">
        <v>0</v>
      </c>
      <c r="Q366" t="n">
        <v>0</v>
      </c>
      <c r="R366" s="2" t="inlineStr"/>
    </row>
    <row r="367" ht="15" customHeight="1">
      <c r="A367" t="inlineStr">
        <is>
          <t>A 60421-2021</t>
        </is>
      </c>
      <c r="B367" s="1" t="n">
        <v>44496</v>
      </c>
      <c r="C367" s="1" t="n">
        <v>45834</v>
      </c>
      <c r="D367" t="inlineStr">
        <is>
          <t>DALARNAS LÄN</t>
        </is>
      </c>
      <c r="E367" t="inlineStr">
        <is>
          <t>SMEDJEBACKEN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60905-2021</t>
        </is>
      </c>
      <c r="B368" s="1" t="n">
        <v>44496</v>
      </c>
      <c r="C368" s="1" t="n">
        <v>45834</v>
      </c>
      <c r="D368" t="inlineStr">
        <is>
          <t>DALARNAS LÄN</t>
        </is>
      </c>
      <c r="E368" t="inlineStr">
        <is>
          <t>SMEDJEBACKEN</t>
        </is>
      </c>
      <c r="G368" t="n">
        <v>2.3</v>
      </c>
      <c r="H368" t="n">
        <v>0</v>
      </c>
      <c r="I368" t="n">
        <v>0</v>
      </c>
      <c r="J368" t="n">
        <v>0</v>
      </c>
      <c r="K368" t="n">
        <v>0</v>
      </c>
      <c r="L368" t="n">
        <v>0</v>
      </c>
      <c r="M368" t="n">
        <v>0</v>
      </c>
      <c r="N368" t="n">
        <v>0</v>
      </c>
      <c r="O368" t="n">
        <v>0</v>
      </c>
      <c r="P368" t="n">
        <v>0</v>
      </c>
      <c r="Q368" t="n">
        <v>0</v>
      </c>
      <c r="R368" s="2" t="inlineStr"/>
    </row>
    <row r="369" ht="15" customHeight="1">
      <c r="A369" t="inlineStr">
        <is>
          <t>A 60886-2021</t>
        </is>
      </c>
      <c r="B369" s="1" t="n">
        <v>44496</v>
      </c>
      <c r="C369" s="1" t="n">
        <v>45834</v>
      </c>
      <c r="D369" t="inlineStr">
        <is>
          <t>DALARNAS LÄN</t>
        </is>
      </c>
      <c r="E369" t="inlineStr">
        <is>
          <t>SMEDJEBACKEN</t>
        </is>
      </c>
      <c r="G369" t="n">
        <v>7</v>
      </c>
      <c r="H369" t="n">
        <v>0</v>
      </c>
      <c r="I369" t="n">
        <v>0</v>
      </c>
      <c r="J369" t="n">
        <v>0</v>
      </c>
      <c r="K369" t="n">
        <v>0</v>
      </c>
      <c r="L369" t="n">
        <v>0</v>
      </c>
      <c r="M369" t="n">
        <v>0</v>
      </c>
      <c r="N369" t="n">
        <v>0</v>
      </c>
      <c r="O369" t="n">
        <v>0</v>
      </c>
      <c r="P369" t="n">
        <v>0</v>
      </c>
      <c r="Q369" t="n">
        <v>0</v>
      </c>
      <c r="R369" s="2" t="inlineStr"/>
    </row>
    <row r="370" ht="15" customHeight="1">
      <c r="A370" t="inlineStr">
        <is>
          <t>A 60910-2021</t>
        </is>
      </c>
      <c r="B370" s="1" t="n">
        <v>44496</v>
      </c>
      <c r="C370" s="1" t="n">
        <v>45834</v>
      </c>
      <c r="D370" t="inlineStr">
        <is>
          <t>DALARNAS LÄN</t>
        </is>
      </c>
      <c r="E370" t="inlineStr">
        <is>
          <t>SMEDJEBACKEN</t>
        </is>
      </c>
      <c r="G370" t="n">
        <v>0.5</v>
      </c>
      <c r="H370" t="n">
        <v>0</v>
      </c>
      <c r="I370" t="n">
        <v>0</v>
      </c>
      <c r="J370" t="n">
        <v>0</v>
      </c>
      <c r="K370" t="n">
        <v>0</v>
      </c>
      <c r="L370" t="n">
        <v>0</v>
      </c>
      <c r="M370" t="n">
        <v>0</v>
      </c>
      <c r="N370" t="n">
        <v>0</v>
      </c>
      <c r="O370" t="n">
        <v>0</v>
      </c>
      <c r="P370" t="n">
        <v>0</v>
      </c>
      <c r="Q370" t="n">
        <v>0</v>
      </c>
      <c r="R370" s="2" t="inlineStr"/>
    </row>
    <row r="371" ht="15" customHeight="1">
      <c r="A371" t="inlineStr">
        <is>
          <t>A 60927-2021</t>
        </is>
      </c>
      <c r="B371" s="1" t="n">
        <v>44496</v>
      </c>
      <c r="C371" s="1" t="n">
        <v>45834</v>
      </c>
      <c r="D371" t="inlineStr">
        <is>
          <t>DALARNAS LÄN</t>
        </is>
      </c>
      <c r="E371" t="inlineStr">
        <is>
          <t>SMEDJEBACKEN</t>
        </is>
      </c>
      <c r="G371" t="n">
        <v>1.3</v>
      </c>
      <c r="H371" t="n">
        <v>0</v>
      </c>
      <c r="I371" t="n">
        <v>0</v>
      </c>
      <c r="J371" t="n">
        <v>0</v>
      </c>
      <c r="K371" t="n">
        <v>0</v>
      </c>
      <c r="L371" t="n">
        <v>0</v>
      </c>
      <c r="M371" t="n">
        <v>0</v>
      </c>
      <c r="N371" t="n">
        <v>0</v>
      </c>
      <c r="O371" t="n">
        <v>0</v>
      </c>
      <c r="P371" t="n">
        <v>0</v>
      </c>
      <c r="Q371" t="n">
        <v>0</v>
      </c>
      <c r="R371" s="2" t="inlineStr"/>
    </row>
    <row r="372" ht="15" customHeight="1">
      <c r="A372" t="inlineStr">
        <is>
          <t>A 60922-2021</t>
        </is>
      </c>
      <c r="B372" s="1" t="n">
        <v>44496</v>
      </c>
      <c r="C372" s="1" t="n">
        <v>45834</v>
      </c>
      <c r="D372" t="inlineStr">
        <is>
          <t>DALARNAS LÄN</t>
        </is>
      </c>
      <c r="E372" t="inlineStr">
        <is>
          <t>SMEDJEBACKEN</t>
        </is>
      </c>
      <c r="G372" t="n">
        <v>3.6</v>
      </c>
      <c r="H372" t="n">
        <v>0</v>
      </c>
      <c r="I372" t="n">
        <v>0</v>
      </c>
      <c r="J372" t="n">
        <v>0</v>
      </c>
      <c r="K372" t="n">
        <v>0</v>
      </c>
      <c r="L372" t="n">
        <v>0</v>
      </c>
      <c r="M372" t="n">
        <v>0</v>
      </c>
      <c r="N372" t="n">
        <v>0</v>
      </c>
      <c r="O372" t="n">
        <v>0</v>
      </c>
      <c r="P372" t="n">
        <v>0</v>
      </c>
      <c r="Q372" t="n">
        <v>0</v>
      </c>
      <c r="R372" s="2" t="inlineStr"/>
    </row>
    <row r="373" ht="15" customHeight="1">
      <c r="A373" t="inlineStr">
        <is>
          <t>A 60912-2021</t>
        </is>
      </c>
      <c r="B373" s="1" t="n">
        <v>44496</v>
      </c>
      <c r="C373" s="1" t="n">
        <v>45834</v>
      </c>
      <c r="D373" t="inlineStr">
        <is>
          <t>DALARNAS LÄN</t>
        </is>
      </c>
      <c r="E373" t="inlineStr">
        <is>
          <t>SMEDJEBACKEN</t>
        </is>
      </c>
      <c r="G373" t="n">
        <v>3</v>
      </c>
      <c r="H373" t="n">
        <v>0</v>
      </c>
      <c r="I373" t="n">
        <v>0</v>
      </c>
      <c r="J373" t="n">
        <v>0</v>
      </c>
      <c r="K373" t="n">
        <v>0</v>
      </c>
      <c r="L373" t="n">
        <v>0</v>
      </c>
      <c r="M373" t="n">
        <v>0</v>
      </c>
      <c r="N373" t="n">
        <v>0</v>
      </c>
      <c r="O373" t="n">
        <v>0</v>
      </c>
      <c r="P373" t="n">
        <v>0</v>
      </c>
      <c r="Q373" t="n">
        <v>0</v>
      </c>
      <c r="R373" s="2" t="inlineStr"/>
    </row>
    <row r="374" ht="15" customHeight="1">
      <c r="A374" t="inlineStr">
        <is>
          <t>A 62380-2021</t>
        </is>
      </c>
      <c r="B374" s="1" t="n">
        <v>44503</v>
      </c>
      <c r="C374" s="1" t="n">
        <v>45834</v>
      </c>
      <c r="D374" t="inlineStr">
        <is>
          <t>DALARNAS LÄN</t>
        </is>
      </c>
      <c r="E374" t="inlineStr">
        <is>
          <t>SMEDJEBACKEN</t>
        </is>
      </c>
      <c r="G374" t="n">
        <v>10.4</v>
      </c>
      <c r="H374" t="n">
        <v>0</v>
      </c>
      <c r="I374" t="n">
        <v>0</v>
      </c>
      <c r="J374" t="n">
        <v>0</v>
      </c>
      <c r="K374" t="n">
        <v>0</v>
      </c>
      <c r="L374" t="n">
        <v>0</v>
      </c>
      <c r="M374" t="n">
        <v>0</v>
      </c>
      <c r="N374" t="n">
        <v>0</v>
      </c>
      <c r="O374" t="n">
        <v>0</v>
      </c>
      <c r="P374" t="n">
        <v>0</v>
      </c>
      <c r="Q374" t="n">
        <v>0</v>
      </c>
      <c r="R374" s="2" t="inlineStr"/>
    </row>
    <row r="375" ht="15" customHeight="1">
      <c r="A375" t="inlineStr">
        <is>
          <t>A 63510-2021</t>
        </is>
      </c>
      <c r="B375" s="1" t="n">
        <v>44508</v>
      </c>
      <c r="C375" s="1" t="n">
        <v>45834</v>
      </c>
      <c r="D375" t="inlineStr">
        <is>
          <t>DALARNAS LÄN</t>
        </is>
      </c>
      <c r="E375" t="inlineStr">
        <is>
          <t>SMEDJEBACKEN</t>
        </is>
      </c>
      <c r="F375" t="inlineStr">
        <is>
          <t>Sveaskog</t>
        </is>
      </c>
      <c r="G375" t="n">
        <v>3.4</v>
      </c>
      <c r="H375" t="n">
        <v>0</v>
      </c>
      <c r="I375" t="n">
        <v>0</v>
      </c>
      <c r="J375" t="n">
        <v>0</v>
      </c>
      <c r="K375" t="n">
        <v>0</v>
      </c>
      <c r="L375" t="n">
        <v>0</v>
      </c>
      <c r="M375" t="n">
        <v>0</v>
      </c>
      <c r="N375" t="n">
        <v>0</v>
      </c>
      <c r="O375" t="n">
        <v>0</v>
      </c>
      <c r="P375" t="n">
        <v>0</v>
      </c>
      <c r="Q375" t="n">
        <v>0</v>
      </c>
      <c r="R375" s="2" t="inlineStr"/>
    </row>
    <row r="376" ht="15" customHeight="1">
      <c r="A376" t="inlineStr">
        <is>
          <t>A 63511-2021</t>
        </is>
      </c>
      <c r="B376" s="1" t="n">
        <v>44508</v>
      </c>
      <c r="C376" s="1" t="n">
        <v>45834</v>
      </c>
      <c r="D376" t="inlineStr">
        <is>
          <t>DALARNAS LÄN</t>
        </is>
      </c>
      <c r="E376" t="inlineStr">
        <is>
          <t>SMEDJEBACKEN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63693-2021</t>
        </is>
      </c>
      <c r="B377" s="1" t="n">
        <v>44509</v>
      </c>
      <c r="C377" s="1" t="n">
        <v>45834</v>
      </c>
      <c r="D377" t="inlineStr">
        <is>
          <t>DALARNAS LÄN</t>
        </is>
      </c>
      <c r="E377" t="inlineStr">
        <is>
          <t>SMEDJEBACKEN</t>
        </is>
      </c>
      <c r="G377" t="n">
        <v>1.6</v>
      </c>
      <c r="H377" t="n">
        <v>0</v>
      </c>
      <c r="I377" t="n">
        <v>0</v>
      </c>
      <c r="J377" t="n">
        <v>0</v>
      </c>
      <c r="K377" t="n">
        <v>0</v>
      </c>
      <c r="L377" t="n">
        <v>0</v>
      </c>
      <c r="M377" t="n">
        <v>0</v>
      </c>
      <c r="N377" t="n">
        <v>0</v>
      </c>
      <c r="O377" t="n">
        <v>0</v>
      </c>
      <c r="P377" t="n">
        <v>0</v>
      </c>
      <c r="Q377" t="n">
        <v>0</v>
      </c>
      <c r="R377" s="2" t="inlineStr"/>
    </row>
    <row r="378" ht="15" customHeight="1">
      <c r="A378" t="inlineStr">
        <is>
          <t>A 63691-2021</t>
        </is>
      </c>
      <c r="B378" s="1" t="n">
        <v>44509</v>
      </c>
      <c r="C378" s="1" t="n">
        <v>45834</v>
      </c>
      <c r="D378" t="inlineStr">
        <is>
          <t>DALARNAS LÄN</t>
        </is>
      </c>
      <c r="E378" t="inlineStr">
        <is>
          <t>SMEDJEBACKEN</t>
        </is>
      </c>
      <c r="G378" t="n">
        <v>1.8</v>
      </c>
      <c r="H378" t="n">
        <v>0</v>
      </c>
      <c r="I378" t="n">
        <v>0</v>
      </c>
      <c r="J378" t="n">
        <v>0</v>
      </c>
      <c r="K378" t="n">
        <v>0</v>
      </c>
      <c r="L378" t="n">
        <v>0</v>
      </c>
      <c r="M378" t="n">
        <v>0</v>
      </c>
      <c r="N378" t="n">
        <v>0</v>
      </c>
      <c r="O378" t="n">
        <v>0</v>
      </c>
      <c r="P378" t="n">
        <v>0</v>
      </c>
      <c r="Q378" t="n">
        <v>0</v>
      </c>
      <c r="R378" s="2" t="inlineStr"/>
    </row>
    <row r="379" ht="15" customHeight="1">
      <c r="A379" t="inlineStr">
        <is>
          <t>A 65249-2021</t>
        </is>
      </c>
      <c r="B379" s="1" t="n">
        <v>44515</v>
      </c>
      <c r="C379" s="1" t="n">
        <v>45834</v>
      </c>
      <c r="D379" t="inlineStr">
        <is>
          <t>DALARNAS LÄN</t>
        </is>
      </c>
      <c r="E379" t="inlineStr">
        <is>
          <t>SMEDJEBACKEN</t>
        </is>
      </c>
      <c r="G379" t="n">
        <v>0.9</v>
      </c>
      <c r="H379" t="n">
        <v>0</v>
      </c>
      <c r="I379" t="n">
        <v>0</v>
      </c>
      <c r="J379" t="n">
        <v>0</v>
      </c>
      <c r="K379" t="n">
        <v>0</v>
      </c>
      <c r="L379" t="n">
        <v>0</v>
      </c>
      <c r="M379" t="n">
        <v>0</v>
      </c>
      <c r="N379" t="n">
        <v>0</v>
      </c>
      <c r="O379" t="n">
        <v>0</v>
      </c>
      <c r="P379" t="n">
        <v>0</v>
      </c>
      <c r="Q379" t="n">
        <v>0</v>
      </c>
      <c r="R379" s="2" t="inlineStr"/>
    </row>
    <row r="380" ht="15" customHeight="1">
      <c r="A380" t="inlineStr">
        <is>
          <t>A 67977-2021</t>
        </is>
      </c>
      <c r="B380" s="1" t="n">
        <v>44525</v>
      </c>
      <c r="C380" s="1" t="n">
        <v>45834</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68913-2021</t>
        </is>
      </c>
      <c r="B381" s="1" t="n">
        <v>44530</v>
      </c>
      <c r="C381" s="1" t="n">
        <v>45834</v>
      </c>
      <c r="D381" t="inlineStr">
        <is>
          <t>DALARNAS LÄN</t>
        </is>
      </c>
      <c r="E381" t="inlineStr">
        <is>
          <t>SMEDJEBACKEN</t>
        </is>
      </c>
      <c r="G381" t="n">
        <v>0.7</v>
      </c>
      <c r="H381" t="n">
        <v>0</v>
      </c>
      <c r="I381" t="n">
        <v>0</v>
      </c>
      <c r="J381" t="n">
        <v>0</v>
      </c>
      <c r="K381" t="n">
        <v>0</v>
      </c>
      <c r="L381" t="n">
        <v>0</v>
      </c>
      <c r="M381" t="n">
        <v>0</v>
      </c>
      <c r="N381" t="n">
        <v>0</v>
      </c>
      <c r="O381" t="n">
        <v>0</v>
      </c>
      <c r="P381" t="n">
        <v>0</v>
      </c>
      <c r="Q381" t="n">
        <v>0</v>
      </c>
      <c r="R381" s="2" t="inlineStr"/>
    </row>
    <row r="382" ht="15" customHeight="1">
      <c r="A382" t="inlineStr">
        <is>
          <t>A 69033-2021</t>
        </is>
      </c>
      <c r="B382" s="1" t="n">
        <v>44530</v>
      </c>
      <c r="C382" s="1" t="n">
        <v>45834</v>
      </c>
      <c r="D382" t="inlineStr">
        <is>
          <t>DALARNAS LÄN</t>
        </is>
      </c>
      <c r="E382" t="inlineStr">
        <is>
          <t>SMEDJEBACKEN</t>
        </is>
      </c>
      <c r="F382" t="inlineStr">
        <is>
          <t>Sveaskog</t>
        </is>
      </c>
      <c r="G382" t="n">
        <v>5.9</v>
      </c>
      <c r="H382" t="n">
        <v>0</v>
      </c>
      <c r="I382" t="n">
        <v>0</v>
      </c>
      <c r="J382" t="n">
        <v>0</v>
      </c>
      <c r="K382" t="n">
        <v>0</v>
      </c>
      <c r="L382" t="n">
        <v>0</v>
      </c>
      <c r="M382" t="n">
        <v>0</v>
      </c>
      <c r="N382" t="n">
        <v>0</v>
      </c>
      <c r="O382" t="n">
        <v>0</v>
      </c>
      <c r="P382" t="n">
        <v>0</v>
      </c>
      <c r="Q382" t="n">
        <v>0</v>
      </c>
      <c r="R382" s="2" t="inlineStr"/>
    </row>
    <row r="383" ht="15" customHeight="1">
      <c r="A383" t="inlineStr">
        <is>
          <t>A 69042-2021</t>
        </is>
      </c>
      <c r="B383" s="1" t="n">
        <v>44530</v>
      </c>
      <c r="C383" s="1" t="n">
        <v>45834</v>
      </c>
      <c r="D383" t="inlineStr">
        <is>
          <t>DALARNAS LÄN</t>
        </is>
      </c>
      <c r="E383" t="inlineStr">
        <is>
          <t>SMEDJEBACKEN</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69084-2021</t>
        </is>
      </c>
      <c r="B384" s="1" t="n">
        <v>44530</v>
      </c>
      <c r="C384" s="1" t="n">
        <v>45834</v>
      </c>
      <c r="D384" t="inlineStr">
        <is>
          <t>DALARNAS LÄN</t>
        </is>
      </c>
      <c r="E384" t="inlineStr">
        <is>
          <t>SMEDJEBACKEN</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69335-2021</t>
        </is>
      </c>
      <c r="B385" s="1" t="n">
        <v>44531</v>
      </c>
      <c r="C385" s="1" t="n">
        <v>45834</v>
      </c>
      <c r="D385" t="inlineStr">
        <is>
          <t>DALARNAS LÄN</t>
        </is>
      </c>
      <c r="E385" t="inlineStr">
        <is>
          <t>SMEDJEBACKEN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69334-2021</t>
        </is>
      </c>
      <c r="B386" s="1" t="n">
        <v>44531</v>
      </c>
      <c r="C386" s="1" t="n">
        <v>45834</v>
      </c>
      <c r="D386" t="inlineStr">
        <is>
          <t>DALARNAS LÄN</t>
        </is>
      </c>
      <c r="E386" t="inlineStr">
        <is>
          <t>SMEDJEBACKEN</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69512-2021</t>
        </is>
      </c>
      <c r="B387" s="1" t="n">
        <v>44531</v>
      </c>
      <c r="C387" s="1" t="n">
        <v>45834</v>
      </c>
      <c r="D387" t="inlineStr">
        <is>
          <t>DALARNAS LÄN</t>
        </is>
      </c>
      <c r="E387" t="inlineStr">
        <is>
          <t>SMEDJEBACKEN</t>
        </is>
      </c>
      <c r="G387" t="n">
        <v>3.1</v>
      </c>
      <c r="H387" t="n">
        <v>0</v>
      </c>
      <c r="I387" t="n">
        <v>0</v>
      </c>
      <c r="J387" t="n">
        <v>0</v>
      </c>
      <c r="K387" t="n">
        <v>0</v>
      </c>
      <c r="L387" t="n">
        <v>0</v>
      </c>
      <c r="M387" t="n">
        <v>0</v>
      </c>
      <c r="N387" t="n">
        <v>0</v>
      </c>
      <c r="O387" t="n">
        <v>0</v>
      </c>
      <c r="P387" t="n">
        <v>0</v>
      </c>
      <c r="Q387" t="n">
        <v>0</v>
      </c>
      <c r="R387" s="2" t="inlineStr"/>
    </row>
    <row r="388" ht="15" customHeight="1">
      <c r="A388" t="inlineStr">
        <is>
          <t>A 69540-2021</t>
        </is>
      </c>
      <c r="B388" s="1" t="n">
        <v>44531</v>
      </c>
      <c r="C388" s="1" t="n">
        <v>45834</v>
      </c>
      <c r="D388" t="inlineStr">
        <is>
          <t>DALARNAS LÄN</t>
        </is>
      </c>
      <c r="E388" t="inlineStr">
        <is>
          <t>SMEDJEBACKEN</t>
        </is>
      </c>
      <c r="G388" t="n">
        <v>6.3</v>
      </c>
      <c r="H388" t="n">
        <v>0</v>
      </c>
      <c r="I388" t="n">
        <v>0</v>
      </c>
      <c r="J388" t="n">
        <v>0</v>
      </c>
      <c r="K388" t="n">
        <v>0</v>
      </c>
      <c r="L388" t="n">
        <v>0</v>
      </c>
      <c r="M388" t="n">
        <v>0</v>
      </c>
      <c r="N388" t="n">
        <v>0</v>
      </c>
      <c r="O388" t="n">
        <v>0</v>
      </c>
      <c r="P388" t="n">
        <v>0</v>
      </c>
      <c r="Q388" t="n">
        <v>0</v>
      </c>
      <c r="R388" s="2" t="inlineStr"/>
    </row>
    <row r="389" ht="15" customHeight="1">
      <c r="A389" t="inlineStr">
        <is>
          <t>A 70780-2021</t>
        </is>
      </c>
      <c r="B389" s="1" t="n">
        <v>44537</v>
      </c>
      <c r="C389" s="1" t="n">
        <v>45834</v>
      </c>
      <c r="D389" t="inlineStr">
        <is>
          <t>DALARNAS LÄN</t>
        </is>
      </c>
      <c r="E389" t="inlineStr">
        <is>
          <t>SMEDJEBACKEN</t>
        </is>
      </c>
      <c r="G389" t="n">
        <v>3.2</v>
      </c>
      <c r="H389" t="n">
        <v>0</v>
      </c>
      <c r="I389" t="n">
        <v>0</v>
      </c>
      <c r="J389" t="n">
        <v>0</v>
      </c>
      <c r="K389" t="n">
        <v>0</v>
      </c>
      <c r="L389" t="n">
        <v>0</v>
      </c>
      <c r="M389" t="n">
        <v>0</v>
      </c>
      <c r="N389" t="n">
        <v>0</v>
      </c>
      <c r="O389" t="n">
        <v>0</v>
      </c>
      <c r="P389" t="n">
        <v>0</v>
      </c>
      <c r="Q389" t="n">
        <v>0</v>
      </c>
      <c r="R389" s="2" t="inlineStr"/>
    </row>
    <row r="390" ht="15" customHeight="1">
      <c r="A390" t="inlineStr">
        <is>
          <t>A 70937-2021</t>
        </is>
      </c>
      <c r="B390" s="1" t="n">
        <v>44537</v>
      </c>
      <c r="C390" s="1" t="n">
        <v>45834</v>
      </c>
      <c r="D390" t="inlineStr">
        <is>
          <t>DALARNAS LÄN</t>
        </is>
      </c>
      <c r="E390" t="inlineStr">
        <is>
          <t>SMEDJEBACKEN</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71337-2021</t>
        </is>
      </c>
      <c r="B391" s="1" t="n">
        <v>44539</v>
      </c>
      <c r="C391" s="1" t="n">
        <v>45834</v>
      </c>
      <c r="D391" t="inlineStr">
        <is>
          <t>DALARNAS LÄN</t>
        </is>
      </c>
      <c r="E391" t="inlineStr">
        <is>
          <t>SMEDJEBACKEN</t>
        </is>
      </c>
      <c r="F391" t="inlineStr">
        <is>
          <t>Kyrkan</t>
        </is>
      </c>
      <c r="G391" t="n">
        <v>1.2</v>
      </c>
      <c r="H391" t="n">
        <v>0</v>
      </c>
      <c r="I391" t="n">
        <v>0</v>
      </c>
      <c r="J391" t="n">
        <v>0</v>
      </c>
      <c r="K391" t="n">
        <v>0</v>
      </c>
      <c r="L391" t="n">
        <v>0</v>
      </c>
      <c r="M391" t="n">
        <v>0</v>
      </c>
      <c r="N391" t="n">
        <v>0</v>
      </c>
      <c r="O391" t="n">
        <v>0</v>
      </c>
      <c r="P391" t="n">
        <v>0</v>
      </c>
      <c r="Q391" t="n">
        <v>0</v>
      </c>
      <c r="R391" s="2" t="inlineStr"/>
    </row>
    <row r="392" ht="15" customHeight="1">
      <c r="A392" t="inlineStr">
        <is>
          <t>A 72384-2021</t>
        </is>
      </c>
      <c r="B392" s="1" t="n">
        <v>44545</v>
      </c>
      <c r="C392" s="1" t="n">
        <v>45834</v>
      </c>
      <c r="D392" t="inlineStr">
        <is>
          <t>DALARNAS LÄN</t>
        </is>
      </c>
      <c r="E392" t="inlineStr">
        <is>
          <t>SMEDJEBACKEN</t>
        </is>
      </c>
      <c r="G392" t="n">
        <v>13</v>
      </c>
      <c r="H392" t="n">
        <v>0</v>
      </c>
      <c r="I392" t="n">
        <v>0</v>
      </c>
      <c r="J392" t="n">
        <v>0</v>
      </c>
      <c r="K392" t="n">
        <v>0</v>
      </c>
      <c r="L392" t="n">
        <v>0</v>
      </c>
      <c r="M392" t="n">
        <v>0</v>
      </c>
      <c r="N392" t="n">
        <v>0</v>
      </c>
      <c r="O392" t="n">
        <v>0</v>
      </c>
      <c r="P392" t="n">
        <v>0</v>
      </c>
      <c r="Q392" t="n">
        <v>0</v>
      </c>
      <c r="R392" s="2" t="inlineStr"/>
    </row>
    <row r="393" ht="15" customHeight="1">
      <c r="A393" t="inlineStr">
        <is>
          <t>A 15-2022</t>
        </is>
      </c>
      <c r="B393" s="1" t="n">
        <v>44563</v>
      </c>
      <c r="C393" s="1" t="n">
        <v>45834</v>
      </c>
      <c r="D393" t="inlineStr">
        <is>
          <t>DALARNAS LÄN</t>
        </is>
      </c>
      <c r="E393" t="inlineStr">
        <is>
          <t>SMEDJEBACKEN</t>
        </is>
      </c>
      <c r="G393" t="n">
        <v>0.9</v>
      </c>
      <c r="H393" t="n">
        <v>0</v>
      </c>
      <c r="I393" t="n">
        <v>0</v>
      </c>
      <c r="J393" t="n">
        <v>0</v>
      </c>
      <c r="K393" t="n">
        <v>0</v>
      </c>
      <c r="L393" t="n">
        <v>0</v>
      </c>
      <c r="M393" t="n">
        <v>0</v>
      </c>
      <c r="N393" t="n">
        <v>0</v>
      </c>
      <c r="O393" t="n">
        <v>0</v>
      </c>
      <c r="P393" t="n">
        <v>0</v>
      </c>
      <c r="Q393" t="n">
        <v>0</v>
      </c>
      <c r="R393" s="2" t="inlineStr"/>
    </row>
    <row r="394" ht="15" customHeight="1">
      <c r="A394" t="inlineStr">
        <is>
          <t>A 16-2022</t>
        </is>
      </c>
      <c r="B394" s="1" t="n">
        <v>44563</v>
      </c>
      <c r="C394" s="1" t="n">
        <v>45834</v>
      </c>
      <c r="D394" t="inlineStr">
        <is>
          <t>DALARNAS LÄN</t>
        </is>
      </c>
      <c r="E394" t="inlineStr">
        <is>
          <t>SMEDJEBACKEN</t>
        </is>
      </c>
      <c r="G394" t="n">
        <v>2.9</v>
      </c>
      <c r="H394" t="n">
        <v>0</v>
      </c>
      <c r="I394" t="n">
        <v>0</v>
      </c>
      <c r="J394" t="n">
        <v>0</v>
      </c>
      <c r="K394" t="n">
        <v>0</v>
      </c>
      <c r="L394" t="n">
        <v>0</v>
      </c>
      <c r="M394" t="n">
        <v>0</v>
      </c>
      <c r="N394" t="n">
        <v>0</v>
      </c>
      <c r="O394" t="n">
        <v>0</v>
      </c>
      <c r="P394" t="n">
        <v>0</v>
      </c>
      <c r="Q394" t="n">
        <v>0</v>
      </c>
      <c r="R394" s="2" t="inlineStr"/>
    </row>
    <row r="395" ht="15" customHeight="1">
      <c r="A395" t="inlineStr">
        <is>
          <t>A 14-2022</t>
        </is>
      </c>
      <c r="B395" s="1" t="n">
        <v>44563</v>
      </c>
      <c r="C395" s="1" t="n">
        <v>45834</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337-2022</t>
        </is>
      </c>
      <c r="B396" s="1" t="n">
        <v>44565</v>
      </c>
      <c r="C396" s="1" t="n">
        <v>45834</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542-2022</t>
        </is>
      </c>
      <c r="B397" s="1" t="n">
        <v>44566</v>
      </c>
      <c r="C397" s="1" t="n">
        <v>45834</v>
      </c>
      <c r="D397" t="inlineStr">
        <is>
          <t>DALARNAS LÄN</t>
        </is>
      </c>
      <c r="E397" t="inlineStr">
        <is>
          <t>SMEDJEBACKEN</t>
        </is>
      </c>
      <c r="F397" t="inlineStr">
        <is>
          <t>Kyrkan</t>
        </is>
      </c>
      <c r="G397" t="n">
        <v>2.7</v>
      </c>
      <c r="H397" t="n">
        <v>0</v>
      </c>
      <c r="I397" t="n">
        <v>0</v>
      </c>
      <c r="J397" t="n">
        <v>0</v>
      </c>
      <c r="K397" t="n">
        <v>0</v>
      </c>
      <c r="L397" t="n">
        <v>0</v>
      </c>
      <c r="M397" t="n">
        <v>0</v>
      </c>
      <c r="N397" t="n">
        <v>0</v>
      </c>
      <c r="O397" t="n">
        <v>0</v>
      </c>
      <c r="P397" t="n">
        <v>0</v>
      </c>
      <c r="Q397" t="n">
        <v>0</v>
      </c>
      <c r="R397" s="2" t="inlineStr"/>
    </row>
    <row r="398" ht="15" customHeight="1">
      <c r="A398" t="inlineStr">
        <is>
          <t>A 540-2022</t>
        </is>
      </c>
      <c r="B398" s="1" t="n">
        <v>44566</v>
      </c>
      <c r="C398" s="1" t="n">
        <v>45834</v>
      </c>
      <c r="D398" t="inlineStr">
        <is>
          <t>DALARNAS LÄN</t>
        </is>
      </c>
      <c r="E398" t="inlineStr">
        <is>
          <t>SMEDJEBACKEN</t>
        </is>
      </c>
      <c r="F398" t="inlineStr">
        <is>
          <t>Kyrkan</t>
        </is>
      </c>
      <c r="G398" t="n">
        <v>3</v>
      </c>
      <c r="H398" t="n">
        <v>0</v>
      </c>
      <c r="I398" t="n">
        <v>0</v>
      </c>
      <c r="J398" t="n">
        <v>0</v>
      </c>
      <c r="K398" t="n">
        <v>0</v>
      </c>
      <c r="L398" t="n">
        <v>0</v>
      </c>
      <c r="M398" t="n">
        <v>0</v>
      </c>
      <c r="N398" t="n">
        <v>0</v>
      </c>
      <c r="O398" t="n">
        <v>0</v>
      </c>
      <c r="P398" t="n">
        <v>0</v>
      </c>
      <c r="Q398" t="n">
        <v>0</v>
      </c>
      <c r="R398" s="2" t="inlineStr"/>
    </row>
    <row r="399" ht="15" customHeight="1">
      <c r="A399" t="inlineStr">
        <is>
          <t>A 646-2022</t>
        </is>
      </c>
      <c r="B399" s="1" t="n">
        <v>44568</v>
      </c>
      <c r="C399" s="1" t="n">
        <v>45834</v>
      </c>
      <c r="D399" t="inlineStr">
        <is>
          <t>DALARNAS LÄN</t>
        </is>
      </c>
      <c r="E399" t="inlineStr">
        <is>
          <t>SMEDJEBACKEN</t>
        </is>
      </c>
      <c r="G399" t="n">
        <v>2.2</v>
      </c>
      <c r="H399" t="n">
        <v>0</v>
      </c>
      <c r="I399" t="n">
        <v>0</v>
      </c>
      <c r="J399" t="n">
        <v>0</v>
      </c>
      <c r="K399" t="n">
        <v>0</v>
      </c>
      <c r="L399" t="n">
        <v>0</v>
      </c>
      <c r="M399" t="n">
        <v>0</v>
      </c>
      <c r="N399" t="n">
        <v>0</v>
      </c>
      <c r="O399" t="n">
        <v>0</v>
      </c>
      <c r="P399" t="n">
        <v>0</v>
      </c>
      <c r="Q399" t="n">
        <v>0</v>
      </c>
      <c r="R399" s="2" t="inlineStr"/>
    </row>
    <row r="400" ht="15" customHeight="1">
      <c r="A400" t="inlineStr">
        <is>
          <t>A 907-2022</t>
        </is>
      </c>
      <c r="B400" s="1" t="n">
        <v>44571</v>
      </c>
      <c r="C400" s="1" t="n">
        <v>45834</v>
      </c>
      <c r="D400" t="inlineStr">
        <is>
          <t>DALARNAS LÄN</t>
        </is>
      </c>
      <c r="E400" t="inlineStr">
        <is>
          <t>SMEDJEBACKEN</t>
        </is>
      </c>
      <c r="G400" t="n">
        <v>0.7</v>
      </c>
      <c r="H400" t="n">
        <v>0</v>
      </c>
      <c r="I400" t="n">
        <v>0</v>
      </c>
      <c r="J400" t="n">
        <v>0</v>
      </c>
      <c r="K400" t="n">
        <v>0</v>
      </c>
      <c r="L400" t="n">
        <v>0</v>
      </c>
      <c r="M400" t="n">
        <v>0</v>
      </c>
      <c r="N400" t="n">
        <v>0</v>
      </c>
      <c r="O400" t="n">
        <v>0</v>
      </c>
      <c r="P400" t="n">
        <v>0</v>
      </c>
      <c r="Q400" t="n">
        <v>0</v>
      </c>
      <c r="R400" s="2" t="inlineStr"/>
    </row>
    <row r="401" ht="15" customHeight="1">
      <c r="A401" t="inlineStr">
        <is>
          <t>A 1700-2022</t>
        </is>
      </c>
      <c r="B401" s="1" t="n">
        <v>44574</v>
      </c>
      <c r="C401" s="1" t="n">
        <v>45834</v>
      </c>
      <c r="D401" t="inlineStr">
        <is>
          <t>DALARNAS LÄN</t>
        </is>
      </c>
      <c r="E401" t="inlineStr">
        <is>
          <t>SMEDJEBACKEN</t>
        </is>
      </c>
      <c r="G401" t="n">
        <v>1</v>
      </c>
      <c r="H401" t="n">
        <v>0</v>
      </c>
      <c r="I401" t="n">
        <v>0</v>
      </c>
      <c r="J401" t="n">
        <v>0</v>
      </c>
      <c r="K401" t="n">
        <v>0</v>
      </c>
      <c r="L401" t="n">
        <v>0</v>
      </c>
      <c r="M401" t="n">
        <v>0</v>
      </c>
      <c r="N401" t="n">
        <v>0</v>
      </c>
      <c r="O401" t="n">
        <v>0</v>
      </c>
      <c r="P401" t="n">
        <v>0</v>
      </c>
      <c r="Q401" t="n">
        <v>0</v>
      </c>
      <c r="R401" s="2" t="inlineStr"/>
    </row>
    <row r="402" ht="15" customHeight="1">
      <c r="A402" t="inlineStr">
        <is>
          <t>A 2836-2022</t>
        </is>
      </c>
      <c r="B402" s="1" t="n">
        <v>44581</v>
      </c>
      <c r="C402" s="1" t="n">
        <v>45834</v>
      </c>
      <c r="D402" t="inlineStr">
        <is>
          <t>DALARNAS LÄN</t>
        </is>
      </c>
      <c r="E402" t="inlineStr">
        <is>
          <t>SMEDJEBACKEN</t>
        </is>
      </c>
      <c r="G402" t="n">
        <v>2</v>
      </c>
      <c r="H402" t="n">
        <v>0</v>
      </c>
      <c r="I402" t="n">
        <v>0</v>
      </c>
      <c r="J402" t="n">
        <v>0</v>
      </c>
      <c r="K402" t="n">
        <v>0</v>
      </c>
      <c r="L402" t="n">
        <v>0</v>
      </c>
      <c r="M402" t="n">
        <v>0</v>
      </c>
      <c r="N402" t="n">
        <v>0</v>
      </c>
      <c r="O402" t="n">
        <v>0</v>
      </c>
      <c r="P402" t="n">
        <v>0</v>
      </c>
      <c r="Q402" t="n">
        <v>0</v>
      </c>
      <c r="R402" s="2" t="inlineStr"/>
    </row>
    <row r="403" ht="15" customHeight="1">
      <c r="A403" t="inlineStr">
        <is>
          <t>A 3898-2022</t>
        </is>
      </c>
      <c r="B403" s="1" t="n">
        <v>44587</v>
      </c>
      <c r="C403" s="1" t="n">
        <v>45834</v>
      </c>
      <c r="D403" t="inlineStr">
        <is>
          <t>DALARNAS LÄN</t>
        </is>
      </c>
      <c r="E403" t="inlineStr">
        <is>
          <t>SMEDJEBACKEN</t>
        </is>
      </c>
      <c r="G403" t="n">
        <v>2.4</v>
      </c>
      <c r="H403" t="n">
        <v>0</v>
      </c>
      <c r="I403" t="n">
        <v>0</v>
      </c>
      <c r="J403" t="n">
        <v>0</v>
      </c>
      <c r="K403" t="n">
        <v>0</v>
      </c>
      <c r="L403" t="n">
        <v>0</v>
      </c>
      <c r="M403" t="n">
        <v>0</v>
      </c>
      <c r="N403" t="n">
        <v>0</v>
      </c>
      <c r="O403" t="n">
        <v>0</v>
      </c>
      <c r="P403" t="n">
        <v>0</v>
      </c>
      <c r="Q403" t="n">
        <v>0</v>
      </c>
      <c r="R403" s="2" t="inlineStr"/>
    </row>
    <row r="404" ht="15" customHeight="1">
      <c r="A404" t="inlineStr">
        <is>
          <t>A 7174-2022</t>
        </is>
      </c>
      <c r="B404" s="1" t="n">
        <v>44604</v>
      </c>
      <c r="C404" s="1" t="n">
        <v>45834</v>
      </c>
      <c r="D404" t="inlineStr">
        <is>
          <t>DALARNAS LÄN</t>
        </is>
      </c>
      <c r="E404" t="inlineStr">
        <is>
          <t>SMEDJEBACKEN</t>
        </is>
      </c>
      <c r="G404" t="n">
        <v>3.4</v>
      </c>
      <c r="H404" t="n">
        <v>0</v>
      </c>
      <c r="I404" t="n">
        <v>0</v>
      </c>
      <c r="J404" t="n">
        <v>0</v>
      </c>
      <c r="K404" t="n">
        <v>0</v>
      </c>
      <c r="L404" t="n">
        <v>0</v>
      </c>
      <c r="M404" t="n">
        <v>0</v>
      </c>
      <c r="N404" t="n">
        <v>0</v>
      </c>
      <c r="O404" t="n">
        <v>0</v>
      </c>
      <c r="P404" t="n">
        <v>0</v>
      </c>
      <c r="Q404" t="n">
        <v>0</v>
      </c>
      <c r="R404" s="2" t="inlineStr"/>
    </row>
    <row r="405" ht="15" customHeight="1">
      <c r="A405" t="inlineStr">
        <is>
          <t>A 7221-2022</t>
        </is>
      </c>
      <c r="B405" s="1" t="n">
        <v>44606</v>
      </c>
      <c r="C405" s="1" t="n">
        <v>45834</v>
      </c>
      <c r="D405" t="inlineStr">
        <is>
          <t>DALARNAS LÄN</t>
        </is>
      </c>
      <c r="E405" t="inlineStr">
        <is>
          <t>SMEDJEBACKEN</t>
        </is>
      </c>
      <c r="G405" t="n">
        <v>4.8</v>
      </c>
      <c r="H405" t="n">
        <v>0</v>
      </c>
      <c r="I405" t="n">
        <v>0</v>
      </c>
      <c r="J405" t="n">
        <v>0</v>
      </c>
      <c r="K405" t="n">
        <v>0</v>
      </c>
      <c r="L405" t="n">
        <v>0</v>
      </c>
      <c r="M405" t="n">
        <v>0</v>
      </c>
      <c r="N405" t="n">
        <v>0</v>
      </c>
      <c r="O405" t="n">
        <v>0</v>
      </c>
      <c r="P405" t="n">
        <v>0</v>
      </c>
      <c r="Q405" t="n">
        <v>0</v>
      </c>
      <c r="R405" s="2" t="inlineStr"/>
    </row>
    <row r="406" ht="15" customHeight="1">
      <c r="A406" t="inlineStr">
        <is>
          <t>A 7759-2022</t>
        </is>
      </c>
      <c r="B406" s="1" t="n">
        <v>44608</v>
      </c>
      <c r="C406" s="1" t="n">
        <v>45834</v>
      </c>
      <c r="D406" t="inlineStr">
        <is>
          <t>DALARNAS LÄN</t>
        </is>
      </c>
      <c r="E406" t="inlineStr">
        <is>
          <t>SMEDJEBACKEN</t>
        </is>
      </c>
      <c r="G406" t="n">
        <v>0.6</v>
      </c>
      <c r="H406" t="n">
        <v>0</v>
      </c>
      <c r="I406" t="n">
        <v>0</v>
      </c>
      <c r="J406" t="n">
        <v>0</v>
      </c>
      <c r="K406" t="n">
        <v>0</v>
      </c>
      <c r="L406" t="n">
        <v>0</v>
      </c>
      <c r="M406" t="n">
        <v>0</v>
      </c>
      <c r="N406" t="n">
        <v>0</v>
      </c>
      <c r="O406" t="n">
        <v>0</v>
      </c>
      <c r="P406" t="n">
        <v>0</v>
      </c>
      <c r="Q406" t="n">
        <v>0</v>
      </c>
      <c r="R406" s="2" t="inlineStr"/>
    </row>
    <row r="407" ht="15" customHeight="1">
      <c r="A407" t="inlineStr">
        <is>
          <t>A 8675-2022</t>
        </is>
      </c>
      <c r="B407" s="1" t="n">
        <v>44613</v>
      </c>
      <c r="C407" s="1" t="n">
        <v>45834</v>
      </c>
      <c r="D407" t="inlineStr">
        <is>
          <t>DALARNAS LÄN</t>
        </is>
      </c>
      <c r="E407" t="inlineStr">
        <is>
          <t>SMEDJEBACKEN</t>
        </is>
      </c>
      <c r="G407" t="n">
        <v>5.3</v>
      </c>
      <c r="H407" t="n">
        <v>0</v>
      </c>
      <c r="I407" t="n">
        <v>0</v>
      </c>
      <c r="J407" t="n">
        <v>0</v>
      </c>
      <c r="K407" t="n">
        <v>0</v>
      </c>
      <c r="L407" t="n">
        <v>0</v>
      </c>
      <c r="M407" t="n">
        <v>0</v>
      </c>
      <c r="N407" t="n">
        <v>0</v>
      </c>
      <c r="O407" t="n">
        <v>0</v>
      </c>
      <c r="P407" t="n">
        <v>0</v>
      </c>
      <c r="Q407" t="n">
        <v>0</v>
      </c>
      <c r="R407" s="2" t="inlineStr"/>
    </row>
    <row r="408" ht="15" customHeight="1">
      <c r="A408" t="inlineStr">
        <is>
          <t>A 9790-2022</t>
        </is>
      </c>
      <c r="B408" s="1" t="n">
        <v>44617</v>
      </c>
      <c r="C408" s="1" t="n">
        <v>45834</v>
      </c>
      <c r="D408" t="inlineStr">
        <is>
          <t>DALARNAS LÄN</t>
        </is>
      </c>
      <c r="E408" t="inlineStr">
        <is>
          <t>SMEDJEBACKEN</t>
        </is>
      </c>
      <c r="G408" t="n">
        <v>1.7</v>
      </c>
      <c r="H408" t="n">
        <v>0</v>
      </c>
      <c r="I408" t="n">
        <v>0</v>
      </c>
      <c r="J408" t="n">
        <v>0</v>
      </c>
      <c r="K408" t="n">
        <v>0</v>
      </c>
      <c r="L408" t="n">
        <v>0</v>
      </c>
      <c r="M408" t="n">
        <v>0</v>
      </c>
      <c r="N408" t="n">
        <v>0</v>
      </c>
      <c r="O408" t="n">
        <v>0</v>
      </c>
      <c r="P408" t="n">
        <v>0</v>
      </c>
      <c r="Q408" t="n">
        <v>0</v>
      </c>
      <c r="R408" s="2" t="inlineStr"/>
    </row>
    <row r="409" ht="15" customHeight="1">
      <c r="A409" t="inlineStr">
        <is>
          <t>A 10340-2022</t>
        </is>
      </c>
      <c r="B409" s="1" t="n">
        <v>44623</v>
      </c>
      <c r="C409" s="1" t="n">
        <v>45834</v>
      </c>
      <c r="D409" t="inlineStr">
        <is>
          <t>DALARNAS LÄN</t>
        </is>
      </c>
      <c r="E409" t="inlineStr">
        <is>
          <t>SMEDJEBACKEN</t>
        </is>
      </c>
      <c r="G409" t="n">
        <v>2.5</v>
      </c>
      <c r="H409" t="n">
        <v>0</v>
      </c>
      <c r="I409" t="n">
        <v>0</v>
      </c>
      <c r="J409" t="n">
        <v>0</v>
      </c>
      <c r="K409" t="n">
        <v>0</v>
      </c>
      <c r="L409" t="n">
        <v>0</v>
      </c>
      <c r="M409" t="n">
        <v>0</v>
      </c>
      <c r="N409" t="n">
        <v>0</v>
      </c>
      <c r="O409" t="n">
        <v>0</v>
      </c>
      <c r="P409" t="n">
        <v>0</v>
      </c>
      <c r="Q409" t="n">
        <v>0</v>
      </c>
      <c r="R409" s="2" t="inlineStr"/>
    </row>
    <row r="410" ht="15" customHeight="1">
      <c r="A410" t="inlineStr">
        <is>
          <t>A 11410-2022</t>
        </is>
      </c>
      <c r="B410" s="1" t="n">
        <v>44630</v>
      </c>
      <c r="C410" s="1" t="n">
        <v>45834</v>
      </c>
      <c r="D410" t="inlineStr">
        <is>
          <t>DALARNAS LÄN</t>
        </is>
      </c>
      <c r="E410" t="inlineStr">
        <is>
          <t>SMEDJEBACKEN</t>
        </is>
      </c>
      <c r="G410" t="n">
        <v>0.2</v>
      </c>
      <c r="H410" t="n">
        <v>0</v>
      </c>
      <c r="I410" t="n">
        <v>0</v>
      </c>
      <c r="J410" t="n">
        <v>0</v>
      </c>
      <c r="K410" t="n">
        <v>0</v>
      </c>
      <c r="L410" t="n">
        <v>0</v>
      </c>
      <c r="M410" t="n">
        <v>0</v>
      </c>
      <c r="N410" t="n">
        <v>0</v>
      </c>
      <c r="O410" t="n">
        <v>0</v>
      </c>
      <c r="P410" t="n">
        <v>0</v>
      </c>
      <c r="Q410" t="n">
        <v>0</v>
      </c>
      <c r="R410" s="2" t="inlineStr"/>
    </row>
    <row r="411" ht="15" customHeight="1">
      <c r="A411" t="inlineStr">
        <is>
          <t>A 11426-2022</t>
        </is>
      </c>
      <c r="B411" s="1" t="n">
        <v>44630</v>
      </c>
      <c r="C411" s="1" t="n">
        <v>45834</v>
      </c>
      <c r="D411" t="inlineStr">
        <is>
          <t>DALARNAS LÄN</t>
        </is>
      </c>
      <c r="E411" t="inlineStr">
        <is>
          <t>SMEDJEBACKEN</t>
        </is>
      </c>
      <c r="G411" t="n">
        <v>0.9</v>
      </c>
      <c r="H411" t="n">
        <v>0</v>
      </c>
      <c r="I411" t="n">
        <v>0</v>
      </c>
      <c r="J411" t="n">
        <v>0</v>
      </c>
      <c r="K411" t="n">
        <v>0</v>
      </c>
      <c r="L411" t="n">
        <v>0</v>
      </c>
      <c r="M411" t="n">
        <v>0</v>
      </c>
      <c r="N411" t="n">
        <v>0</v>
      </c>
      <c r="O411" t="n">
        <v>0</v>
      </c>
      <c r="P411" t="n">
        <v>0</v>
      </c>
      <c r="Q411" t="n">
        <v>0</v>
      </c>
      <c r="R411" s="2" t="inlineStr"/>
    </row>
    <row r="412" ht="15" customHeight="1">
      <c r="A412" t="inlineStr">
        <is>
          <t>A 12331-2022</t>
        </is>
      </c>
      <c r="B412" s="1" t="n">
        <v>44637</v>
      </c>
      <c r="C412" s="1" t="n">
        <v>45834</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12606-2022</t>
        </is>
      </c>
      <c r="B413" s="1" t="n">
        <v>44641</v>
      </c>
      <c r="C413" s="1" t="n">
        <v>45834</v>
      </c>
      <c r="D413" t="inlineStr">
        <is>
          <t>DALARNAS LÄN</t>
        </is>
      </c>
      <c r="E413" t="inlineStr">
        <is>
          <t>SMEDJEBACKEN</t>
        </is>
      </c>
      <c r="G413" t="n">
        <v>0.4</v>
      </c>
      <c r="H413" t="n">
        <v>0</v>
      </c>
      <c r="I413" t="n">
        <v>0</v>
      </c>
      <c r="J413" t="n">
        <v>0</v>
      </c>
      <c r="K413" t="n">
        <v>0</v>
      </c>
      <c r="L413" t="n">
        <v>0</v>
      </c>
      <c r="M413" t="n">
        <v>0</v>
      </c>
      <c r="N413" t="n">
        <v>0</v>
      </c>
      <c r="O413" t="n">
        <v>0</v>
      </c>
      <c r="P413" t="n">
        <v>0</v>
      </c>
      <c r="Q413" t="n">
        <v>0</v>
      </c>
      <c r="R413" s="2" t="inlineStr"/>
    </row>
    <row r="414" ht="15" customHeight="1">
      <c r="A414" t="inlineStr">
        <is>
          <t>A 14236-2022</t>
        </is>
      </c>
      <c r="B414" s="1" t="n">
        <v>44651</v>
      </c>
      <c r="C414" s="1" t="n">
        <v>45834</v>
      </c>
      <c r="D414" t="inlineStr">
        <is>
          <t>DALARNAS LÄN</t>
        </is>
      </c>
      <c r="E414" t="inlineStr">
        <is>
          <t>SMEDJEBACKEN</t>
        </is>
      </c>
      <c r="G414" t="n">
        <v>9.1</v>
      </c>
      <c r="H414" t="n">
        <v>0</v>
      </c>
      <c r="I414" t="n">
        <v>0</v>
      </c>
      <c r="J414" t="n">
        <v>0</v>
      </c>
      <c r="K414" t="n">
        <v>0</v>
      </c>
      <c r="L414" t="n">
        <v>0</v>
      </c>
      <c r="M414" t="n">
        <v>0</v>
      </c>
      <c r="N414" t="n">
        <v>0</v>
      </c>
      <c r="O414" t="n">
        <v>0</v>
      </c>
      <c r="P414" t="n">
        <v>0</v>
      </c>
      <c r="Q414" t="n">
        <v>0</v>
      </c>
      <c r="R414" s="2" t="inlineStr"/>
    </row>
    <row r="415" ht="15" customHeight="1">
      <c r="A415" t="inlineStr">
        <is>
          <t>A 14382-2022</t>
        </is>
      </c>
      <c r="B415" s="1" t="n">
        <v>44652</v>
      </c>
      <c r="C415" s="1" t="n">
        <v>45834</v>
      </c>
      <c r="D415" t="inlineStr">
        <is>
          <t>DALARNAS LÄN</t>
        </is>
      </c>
      <c r="E415" t="inlineStr">
        <is>
          <t>SMEDJEBACKEN</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14868-2022</t>
        </is>
      </c>
      <c r="B416" s="1" t="n">
        <v>44656</v>
      </c>
      <c r="C416" s="1" t="n">
        <v>45834</v>
      </c>
      <c r="D416" t="inlineStr">
        <is>
          <t>DALARNAS LÄN</t>
        </is>
      </c>
      <c r="E416" t="inlineStr">
        <is>
          <t>SMEDJEBACKEN</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15350-2022</t>
        </is>
      </c>
      <c r="B417" s="1" t="n">
        <v>44659</v>
      </c>
      <c r="C417" s="1" t="n">
        <v>45834</v>
      </c>
      <c r="D417" t="inlineStr">
        <is>
          <t>DALARNAS LÄN</t>
        </is>
      </c>
      <c r="E417" t="inlineStr">
        <is>
          <t>SMEDJEBACKEN</t>
        </is>
      </c>
      <c r="G417" t="n">
        <v>1.5</v>
      </c>
      <c r="H417" t="n">
        <v>0</v>
      </c>
      <c r="I417" t="n">
        <v>0</v>
      </c>
      <c r="J417" t="n">
        <v>0</v>
      </c>
      <c r="K417" t="n">
        <v>0</v>
      </c>
      <c r="L417" t="n">
        <v>0</v>
      </c>
      <c r="M417" t="n">
        <v>0</v>
      </c>
      <c r="N417" t="n">
        <v>0</v>
      </c>
      <c r="O417" t="n">
        <v>0</v>
      </c>
      <c r="P417" t="n">
        <v>0</v>
      </c>
      <c r="Q417" t="n">
        <v>0</v>
      </c>
      <c r="R417" s="2" t="inlineStr"/>
    </row>
    <row r="418" ht="15" customHeight="1">
      <c r="A418" t="inlineStr">
        <is>
          <t>A 15552-2022</t>
        </is>
      </c>
      <c r="B418" s="1" t="n">
        <v>44662</v>
      </c>
      <c r="C418" s="1" t="n">
        <v>45834</v>
      </c>
      <c r="D418" t="inlineStr">
        <is>
          <t>DALARNAS LÄN</t>
        </is>
      </c>
      <c r="E418" t="inlineStr">
        <is>
          <t>SMEDJEBACKEN</t>
        </is>
      </c>
      <c r="F418" t="inlineStr">
        <is>
          <t>Sveaskog</t>
        </is>
      </c>
      <c r="G418" t="n">
        <v>4.5</v>
      </c>
      <c r="H418" t="n">
        <v>0</v>
      </c>
      <c r="I418" t="n">
        <v>0</v>
      </c>
      <c r="J418" t="n">
        <v>0</v>
      </c>
      <c r="K418" t="n">
        <v>0</v>
      </c>
      <c r="L418" t="n">
        <v>0</v>
      </c>
      <c r="M418" t="n">
        <v>0</v>
      </c>
      <c r="N418" t="n">
        <v>0</v>
      </c>
      <c r="O418" t="n">
        <v>0</v>
      </c>
      <c r="P418" t="n">
        <v>0</v>
      </c>
      <c r="Q418" t="n">
        <v>0</v>
      </c>
      <c r="R418" s="2" t="inlineStr"/>
    </row>
    <row r="419" ht="15" customHeight="1">
      <c r="A419" t="inlineStr">
        <is>
          <t>A 16155-2022</t>
        </is>
      </c>
      <c r="B419" s="1" t="n">
        <v>44666</v>
      </c>
      <c r="C419" s="1" t="n">
        <v>45834</v>
      </c>
      <c r="D419" t="inlineStr">
        <is>
          <t>DALARNAS LÄN</t>
        </is>
      </c>
      <c r="E419" t="inlineStr">
        <is>
          <t>SMEDJEBACKEN</t>
        </is>
      </c>
      <c r="G419" t="n">
        <v>0.9</v>
      </c>
      <c r="H419" t="n">
        <v>0</v>
      </c>
      <c r="I419" t="n">
        <v>0</v>
      </c>
      <c r="J419" t="n">
        <v>0</v>
      </c>
      <c r="K419" t="n">
        <v>0</v>
      </c>
      <c r="L419" t="n">
        <v>0</v>
      </c>
      <c r="M419" t="n">
        <v>0</v>
      </c>
      <c r="N419" t="n">
        <v>0</v>
      </c>
      <c r="O419" t="n">
        <v>0</v>
      </c>
      <c r="P419" t="n">
        <v>0</v>
      </c>
      <c r="Q419" t="n">
        <v>0</v>
      </c>
      <c r="R419" s="2" t="inlineStr"/>
    </row>
    <row r="420" ht="15" customHeight="1">
      <c r="A420" t="inlineStr">
        <is>
          <t>A 16158-2022</t>
        </is>
      </c>
      <c r="B420" s="1" t="n">
        <v>44666</v>
      </c>
      <c r="C420" s="1" t="n">
        <v>45834</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17908-2022</t>
        </is>
      </c>
      <c r="B421" s="1" t="n">
        <v>44683</v>
      </c>
      <c r="C421" s="1" t="n">
        <v>45834</v>
      </c>
      <c r="D421" t="inlineStr">
        <is>
          <t>DALARNAS LÄN</t>
        </is>
      </c>
      <c r="E421" t="inlineStr">
        <is>
          <t>SMEDJEBACKEN</t>
        </is>
      </c>
      <c r="G421" t="n">
        <v>2</v>
      </c>
      <c r="H421" t="n">
        <v>0</v>
      </c>
      <c r="I421" t="n">
        <v>0</v>
      </c>
      <c r="J421" t="n">
        <v>0</v>
      </c>
      <c r="K421" t="n">
        <v>0</v>
      </c>
      <c r="L421" t="n">
        <v>0</v>
      </c>
      <c r="M421" t="n">
        <v>0</v>
      </c>
      <c r="N421" t="n">
        <v>0</v>
      </c>
      <c r="O421" t="n">
        <v>0</v>
      </c>
      <c r="P421" t="n">
        <v>0</v>
      </c>
      <c r="Q421" t="n">
        <v>0</v>
      </c>
      <c r="R421" s="2" t="inlineStr"/>
    </row>
    <row r="422" ht="15" customHeight="1">
      <c r="A422" t="inlineStr">
        <is>
          <t>A 17951-2022</t>
        </is>
      </c>
      <c r="B422" s="1" t="n">
        <v>44683</v>
      </c>
      <c r="C422" s="1" t="n">
        <v>45834</v>
      </c>
      <c r="D422" t="inlineStr">
        <is>
          <t>DALARNAS LÄN</t>
        </is>
      </c>
      <c r="E422" t="inlineStr">
        <is>
          <t>SMEDJEBACKEN</t>
        </is>
      </c>
      <c r="G422" t="n">
        <v>1</v>
      </c>
      <c r="H422" t="n">
        <v>0</v>
      </c>
      <c r="I422" t="n">
        <v>0</v>
      </c>
      <c r="J422" t="n">
        <v>0</v>
      </c>
      <c r="K422" t="n">
        <v>0</v>
      </c>
      <c r="L422" t="n">
        <v>0</v>
      </c>
      <c r="M422" t="n">
        <v>0</v>
      </c>
      <c r="N422" t="n">
        <v>0</v>
      </c>
      <c r="O422" t="n">
        <v>0</v>
      </c>
      <c r="P422" t="n">
        <v>0</v>
      </c>
      <c r="Q422" t="n">
        <v>0</v>
      </c>
      <c r="R422" s="2" t="inlineStr"/>
    </row>
    <row r="423" ht="15" customHeight="1">
      <c r="A423" t="inlineStr">
        <is>
          <t>A 17956-2022</t>
        </is>
      </c>
      <c r="B423" s="1" t="n">
        <v>44683</v>
      </c>
      <c r="C423" s="1" t="n">
        <v>45834</v>
      </c>
      <c r="D423" t="inlineStr">
        <is>
          <t>DALARNAS LÄN</t>
        </is>
      </c>
      <c r="E423" t="inlineStr">
        <is>
          <t>SMEDJEBACKEN</t>
        </is>
      </c>
      <c r="G423" t="n">
        <v>2.6</v>
      </c>
      <c r="H423" t="n">
        <v>0</v>
      </c>
      <c r="I423" t="n">
        <v>0</v>
      </c>
      <c r="J423" t="n">
        <v>0</v>
      </c>
      <c r="K423" t="n">
        <v>0</v>
      </c>
      <c r="L423" t="n">
        <v>0</v>
      </c>
      <c r="M423" t="n">
        <v>0</v>
      </c>
      <c r="N423" t="n">
        <v>0</v>
      </c>
      <c r="O423" t="n">
        <v>0</v>
      </c>
      <c r="P423" t="n">
        <v>0</v>
      </c>
      <c r="Q423" t="n">
        <v>0</v>
      </c>
      <c r="R423" s="2" t="inlineStr"/>
    </row>
    <row r="424" ht="15" customHeight="1">
      <c r="A424" t="inlineStr">
        <is>
          <t>A 18038-2022</t>
        </is>
      </c>
      <c r="B424" s="1" t="n">
        <v>44684</v>
      </c>
      <c r="C424" s="1" t="n">
        <v>45834</v>
      </c>
      <c r="D424" t="inlineStr">
        <is>
          <t>DALARNAS LÄN</t>
        </is>
      </c>
      <c r="E424" t="inlineStr">
        <is>
          <t>SMEDJEBACKEN</t>
        </is>
      </c>
      <c r="F424" t="inlineStr">
        <is>
          <t>Sveaskog</t>
        </is>
      </c>
      <c r="G424" t="n">
        <v>9.1</v>
      </c>
      <c r="H424" t="n">
        <v>0</v>
      </c>
      <c r="I424" t="n">
        <v>0</v>
      </c>
      <c r="J424" t="n">
        <v>0</v>
      </c>
      <c r="K424" t="n">
        <v>0</v>
      </c>
      <c r="L424" t="n">
        <v>0</v>
      </c>
      <c r="M424" t="n">
        <v>0</v>
      </c>
      <c r="N424" t="n">
        <v>0</v>
      </c>
      <c r="O424" t="n">
        <v>0</v>
      </c>
      <c r="P424" t="n">
        <v>0</v>
      </c>
      <c r="Q424" t="n">
        <v>0</v>
      </c>
      <c r="R424" s="2" t="inlineStr"/>
    </row>
    <row r="425" ht="15" customHeight="1">
      <c r="A425" t="inlineStr">
        <is>
          <t>A 18036-2022</t>
        </is>
      </c>
      <c r="B425" s="1" t="n">
        <v>44684</v>
      </c>
      <c r="C425" s="1" t="n">
        <v>45834</v>
      </c>
      <c r="D425" t="inlineStr">
        <is>
          <t>DALARNAS LÄN</t>
        </is>
      </c>
      <c r="E425" t="inlineStr">
        <is>
          <t>SMEDJEBACKEN</t>
        </is>
      </c>
      <c r="F425" t="inlineStr">
        <is>
          <t>Sveaskog</t>
        </is>
      </c>
      <c r="G425" t="n">
        <v>10.1</v>
      </c>
      <c r="H425" t="n">
        <v>0</v>
      </c>
      <c r="I425" t="n">
        <v>0</v>
      </c>
      <c r="J425" t="n">
        <v>0</v>
      </c>
      <c r="K425" t="n">
        <v>0</v>
      </c>
      <c r="L425" t="n">
        <v>0</v>
      </c>
      <c r="M425" t="n">
        <v>0</v>
      </c>
      <c r="N425" t="n">
        <v>0</v>
      </c>
      <c r="O425" t="n">
        <v>0</v>
      </c>
      <c r="P425" t="n">
        <v>0</v>
      </c>
      <c r="Q425" t="n">
        <v>0</v>
      </c>
      <c r="R425" s="2" t="inlineStr"/>
    </row>
    <row r="426" ht="15" customHeight="1">
      <c r="A426" t="inlineStr">
        <is>
          <t>A 18040-2022</t>
        </is>
      </c>
      <c r="B426" s="1" t="n">
        <v>44684</v>
      </c>
      <c r="C426" s="1" t="n">
        <v>45834</v>
      </c>
      <c r="D426" t="inlineStr">
        <is>
          <t>DALARNAS LÄN</t>
        </is>
      </c>
      <c r="E426" t="inlineStr">
        <is>
          <t>SMEDJEBACKEN</t>
        </is>
      </c>
      <c r="F426" t="inlineStr">
        <is>
          <t>Sveaskog</t>
        </is>
      </c>
      <c r="G426" t="n">
        <v>5.3</v>
      </c>
      <c r="H426" t="n">
        <v>0</v>
      </c>
      <c r="I426" t="n">
        <v>0</v>
      </c>
      <c r="J426" t="n">
        <v>0</v>
      </c>
      <c r="K426" t="n">
        <v>0</v>
      </c>
      <c r="L426" t="n">
        <v>0</v>
      </c>
      <c r="M426" t="n">
        <v>0</v>
      </c>
      <c r="N426" t="n">
        <v>0</v>
      </c>
      <c r="O426" t="n">
        <v>0</v>
      </c>
      <c r="P426" t="n">
        <v>0</v>
      </c>
      <c r="Q426" t="n">
        <v>0</v>
      </c>
      <c r="R426" s="2" t="inlineStr"/>
    </row>
    <row r="427" ht="15" customHeight="1">
      <c r="A427" t="inlineStr">
        <is>
          <t>A 18419-2022</t>
        </is>
      </c>
      <c r="B427" s="1" t="n">
        <v>44686</v>
      </c>
      <c r="C427" s="1" t="n">
        <v>45834</v>
      </c>
      <c r="D427" t="inlineStr">
        <is>
          <t>DALARNAS LÄN</t>
        </is>
      </c>
      <c r="E427" t="inlineStr">
        <is>
          <t>SMEDJEBACKEN</t>
        </is>
      </c>
      <c r="G427" t="n">
        <v>0.7</v>
      </c>
      <c r="H427" t="n">
        <v>0</v>
      </c>
      <c r="I427" t="n">
        <v>0</v>
      </c>
      <c r="J427" t="n">
        <v>0</v>
      </c>
      <c r="K427" t="n">
        <v>0</v>
      </c>
      <c r="L427" t="n">
        <v>0</v>
      </c>
      <c r="M427" t="n">
        <v>0</v>
      </c>
      <c r="N427" t="n">
        <v>0</v>
      </c>
      <c r="O427" t="n">
        <v>0</v>
      </c>
      <c r="P427" t="n">
        <v>0</v>
      </c>
      <c r="Q427" t="n">
        <v>0</v>
      </c>
      <c r="R427" s="2" t="inlineStr"/>
    </row>
    <row r="428" ht="15" customHeight="1">
      <c r="A428" t="inlineStr">
        <is>
          <t>A 18682-2022</t>
        </is>
      </c>
      <c r="B428" s="1" t="n">
        <v>44687</v>
      </c>
      <c r="C428" s="1" t="n">
        <v>45834</v>
      </c>
      <c r="D428" t="inlineStr">
        <is>
          <t>DALARNAS LÄN</t>
        </is>
      </c>
      <c r="E428" t="inlineStr">
        <is>
          <t>SMEDJEBACKEN</t>
        </is>
      </c>
      <c r="F428" t="inlineStr">
        <is>
          <t>Sveaskog</t>
        </is>
      </c>
      <c r="G428" t="n">
        <v>5.4</v>
      </c>
      <c r="H428" t="n">
        <v>0</v>
      </c>
      <c r="I428" t="n">
        <v>0</v>
      </c>
      <c r="J428" t="n">
        <v>0</v>
      </c>
      <c r="K428" t="n">
        <v>0</v>
      </c>
      <c r="L428" t="n">
        <v>0</v>
      </c>
      <c r="M428" t="n">
        <v>0</v>
      </c>
      <c r="N428" t="n">
        <v>0</v>
      </c>
      <c r="O428" t="n">
        <v>0</v>
      </c>
      <c r="P428" t="n">
        <v>0</v>
      </c>
      <c r="Q428" t="n">
        <v>0</v>
      </c>
      <c r="R428" s="2" t="inlineStr"/>
    </row>
    <row r="429" ht="15" customHeight="1">
      <c r="A429" t="inlineStr">
        <is>
          <t>A 19019-2022</t>
        </is>
      </c>
      <c r="B429" s="1" t="n">
        <v>44691</v>
      </c>
      <c r="C429" s="1" t="n">
        <v>45834</v>
      </c>
      <c r="D429" t="inlineStr">
        <is>
          <t>DALARNAS LÄN</t>
        </is>
      </c>
      <c r="E429" t="inlineStr">
        <is>
          <t>SMEDJEBACKEN</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20099-2022</t>
        </is>
      </c>
      <c r="B430" s="1" t="n">
        <v>44698</v>
      </c>
      <c r="C430" s="1" t="n">
        <v>45834</v>
      </c>
      <c r="D430" t="inlineStr">
        <is>
          <t>DALARNAS LÄN</t>
        </is>
      </c>
      <c r="E430" t="inlineStr">
        <is>
          <t>SMEDJEBACKEN</t>
        </is>
      </c>
      <c r="F430" t="inlineStr">
        <is>
          <t>Övriga Aktiebolag</t>
        </is>
      </c>
      <c r="G430" t="n">
        <v>8</v>
      </c>
      <c r="H430" t="n">
        <v>0</v>
      </c>
      <c r="I430" t="n">
        <v>0</v>
      </c>
      <c r="J430" t="n">
        <v>0</v>
      </c>
      <c r="K430" t="n">
        <v>0</v>
      </c>
      <c r="L430" t="n">
        <v>0</v>
      </c>
      <c r="M430" t="n">
        <v>0</v>
      </c>
      <c r="N430" t="n">
        <v>0</v>
      </c>
      <c r="O430" t="n">
        <v>0</v>
      </c>
      <c r="P430" t="n">
        <v>0</v>
      </c>
      <c r="Q430" t="n">
        <v>0</v>
      </c>
      <c r="R430" s="2" t="inlineStr"/>
    </row>
    <row r="431" ht="15" customHeight="1">
      <c r="A431" t="inlineStr">
        <is>
          <t>A 20623-2022</t>
        </is>
      </c>
      <c r="B431" s="1" t="n">
        <v>44700</v>
      </c>
      <c r="C431" s="1" t="n">
        <v>45834</v>
      </c>
      <c r="D431" t="inlineStr">
        <is>
          <t>DALARNAS LÄN</t>
        </is>
      </c>
      <c r="E431" t="inlineStr">
        <is>
          <t>SMEDJEBACKEN</t>
        </is>
      </c>
      <c r="G431" t="n">
        <v>0.8</v>
      </c>
      <c r="H431" t="n">
        <v>0</v>
      </c>
      <c r="I431" t="n">
        <v>0</v>
      </c>
      <c r="J431" t="n">
        <v>0</v>
      </c>
      <c r="K431" t="n">
        <v>0</v>
      </c>
      <c r="L431" t="n">
        <v>0</v>
      </c>
      <c r="M431" t="n">
        <v>0</v>
      </c>
      <c r="N431" t="n">
        <v>0</v>
      </c>
      <c r="O431" t="n">
        <v>0</v>
      </c>
      <c r="P431" t="n">
        <v>0</v>
      </c>
      <c r="Q431" t="n">
        <v>0</v>
      </c>
      <c r="R431" s="2" t="inlineStr"/>
    </row>
    <row r="432" ht="15" customHeight="1">
      <c r="A432" t="inlineStr">
        <is>
          <t>A 21631-2022</t>
        </is>
      </c>
      <c r="B432" s="1" t="n">
        <v>44706</v>
      </c>
      <c r="C432" s="1" t="n">
        <v>45834</v>
      </c>
      <c r="D432" t="inlineStr">
        <is>
          <t>DALARNAS LÄN</t>
        </is>
      </c>
      <c r="E432" t="inlineStr">
        <is>
          <t>SMEDJEBACKEN</t>
        </is>
      </c>
      <c r="G432" t="n">
        <v>2.5</v>
      </c>
      <c r="H432" t="n">
        <v>0</v>
      </c>
      <c r="I432" t="n">
        <v>0</v>
      </c>
      <c r="J432" t="n">
        <v>0</v>
      </c>
      <c r="K432" t="n">
        <v>0</v>
      </c>
      <c r="L432" t="n">
        <v>0</v>
      </c>
      <c r="M432" t="n">
        <v>0</v>
      </c>
      <c r="N432" t="n">
        <v>0</v>
      </c>
      <c r="O432" t="n">
        <v>0</v>
      </c>
      <c r="P432" t="n">
        <v>0</v>
      </c>
      <c r="Q432" t="n">
        <v>0</v>
      </c>
      <c r="R432" s="2" t="inlineStr"/>
    </row>
    <row r="433" ht="15" customHeight="1">
      <c r="A433" t="inlineStr">
        <is>
          <t>A 22351-2022</t>
        </is>
      </c>
      <c r="B433" s="1" t="n">
        <v>44713</v>
      </c>
      <c r="C433" s="1" t="n">
        <v>45834</v>
      </c>
      <c r="D433" t="inlineStr">
        <is>
          <t>DALARNAS LÄN</t>
        </is>
      </c>
      <c r="E433" t="inlineStr">
        <is>
          <t>SMEDJEBACKEN</t>
        </is>
      </c>
      <c r="G433" t="n">
        <v>2.3</v>
      </c>
      <c r="H433" t="n">
        <v>0</v>
      </c>
      <c r="I433" t="n">
        <v>0</v>
      </c>
      <c r="J433" t="n">
        <v>0</v>
      </c>
      <c r="K433" t="n">
        <v>0</v>
      </c>
      <c r="L433" t="n">
        <v>0</v>
      </c>
      <c r="M433" t="n">
        <v>0</v>
      </c>
      <c r="N433" t="n">
        <v>0</v>
      </c>
      <c r="O433" t="n">
        <v>0</v>
      </c>
      <c r="P433" t="n">
        <v>0</v>
      </c>
      <c r="Q433" t="n">
        <v>0</v>
      </c>
      <c r="R433" s="2" t="inlineStr"/>
    </row>
    <row r="434" ht="15" customHeight="1">
      <c r="A434" t="inlineStr">
        <is>
          <t>A 22640-2022</t>
        </is>
      </c>
      <c r="B434" s="1" t="n">
        <v>44714</v>
      </c>
      <c r="C434" s="1" t="n">
        <v>45834</v>
      </c>
      <c r="D434" t="inlineStr">
        <is>
          <t>DALARNAS LÄN</t>
        </is>
      </c>
      <c r="E434" t="inlineStr">
        <is>
          <t>SMEDJEBACKEN</t>
        </is>
      </c>
      <c r="G434" t="n">
        <v>11.5</v>
      </c>
      <c r="H434" t="n">
        <v>0</v>
      </c>
      <c r="I434" t="n">
        <v>0</v>
      </c>
      <c r="J434" t="n">
        <v>0</v>
      </c>
      <c r="K434" t="n">
        <v>0</v>
      </c>
      <c r="L434" t="n">
        <v>0</v>
      </c>
      <c r="M434" t="n">
        <v>0</v>
      </c>
      <c r="N434" t="n">
        <v>0</v>
      </c>
      <c r="O434" t="n">
        <v>0</v>
      </c>
      <c r="P434" t="n">
        <v>0</v>
      </c>
      <c r="Q434" t="n">
        <v>0</v>
      </c>
      <c r="R434" s="2" t="inlineStr"/>
    </row>
    <row r="435" ht="15" customHeight="1">
      <c r="A435" t="inlineStr">
        <is>
          <t>A 22984-2022</t>
        </is>
      </c>
      <c r="B435" s="1" t="n">
        <v>44718</v>
      </c>
      <c r="C435" s="1" t="n">
        <v>45834</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24469-2022</t>
        </is>
      </c>
      <c r="B436" s="1" t="n">
        <v>44726</v>
      </c>
      <c r="C436" s="1" t="n">
        <v>45834</v>
      </c>
      <c r="D436" t="inlineStr">
        <is>
          <t>DALARNAS LÄN</t>
        </is>
      </c>
      <c r="E436" t="inlineStr">
        <is>
          <t>SMEDJEBACKEN</t>
        </is>
      </c>
      <c r="G436" t="n">
        <v>4.3</v>
      </c>
      <c r="H436" t="n">
        <v>0</v>
      </c>
      <c r="I436" t="n">
        <v>0</v>
      </c>
      <c r="J436" t="n">
        <v>0</v>
      </c>
      <c r="K436" t="n">
        <v>0</v>
      </c>
      <c r="L436" t="n">
        <v>0</v>
      </c>
      <c r="M436" t="n">
        <v>0</v>
      </c>
      <c r="N436" t="n">
        <v>0</v>
      </c>
      <c r="O436" t="n">
        <v>0</v>
      </c>
      <c r="P436" t="n">
        <v>0</v>
      </c>
      <c r="Q436" t="n">
        <v>0</v>
      </c>
      <c r="R436" s="2" t="inlineStr"/>
    </row>
    <row r="437" ht="15" customHeight="1">
      <c r="A437" t="inlineStr">
        <is>
          <t>A 25344-2022</t>
        </is>
      </c>
      <c r="B437" s="1" t="n">
        <v>44732</v>
      </c>
      <c r="C437" s="1" t="n">
        <v>45834</v>
      </c>
      <c r="D437" t="inlineStr">
        <is>
          <t>DALARNAS LÄN</t>
        </is>
      </c>
      <c r="E437" t="inlineStr">
        <is>
          <t>SMEDJEBACKEN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25788-2022</t>
        </is>
      </c>
      <c r="B438" s="1" t="n">
        <v>44733</v>
      </c>
      <c r="C438" s="1" t="n">
        <v>45834</v>
      </c>
      <c r="D438" t="inlineStr">
        <is>
          <t>DALARNAS LÄN</t>
        </is>
      </c>
      <c r="E438" t="inlineStr">
        <is>
          <t>SMEDJEBACKEN</t>
        </is>
      </c>
      <c r="F438" t="inlineStr">
        <is>
          <t>Bergvik skog väst AB</t>
        </is>
      </c>
      <c r="G438" t="n">
        <v>7.1</v>
      </c>
      <c r="H438" t="n">
        <v>0</v>
      </c>
      <c r="I438" t="n">
        <v>0</v>
      </c>
      <c r="J438" t="n">
        <v>0</v>
      </c>
      <c r="K438" t="n">
        <v>0</v>
      </c>
      <c r="L438" t="n">
        <v>0</v>
      </c>
      <c r="M438" t="n">
        <v>0</v>
      </c>
      <c r="N438" t="n">
        <v>0</v>
      </c>
      <c r="O438" t="n">
        <v>0</v>
      </c>
      <c r="P438" t="n">
        <v>0</v>
      </c>
      <c r="Q438" t="n">
        <v>0</v>
      </c>
      <c r="R438" s="2" t="inlineStr"/>
    </row>
    <row r="439" ht="15" customHeight="1">
      <c r="A439" t="inlineStr">
        <is>
          <t>A 26005-2022</t>
        </is>
      </c>
      <c r="B439" s="1" t="n">
        <v>44734</v>
      </c>
      <c r="C439" s="1" t="n">
        <v>45834</v>
      </c>
      <c r="D439" t="inlineStr">
        <is>
          <t>DALARNAS LÄN</t>
        </is>
      </c>
      <c r="E439" t="inlineStr">
        <is>
          <t>SMEDJEBACKEN</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26009-2022</t>
        </is>
      </c>
      <c r="B440" s="1" t="n">
        <v>44734</v>
      </c>
      <c r="C440" s="1" t="n">
        <v>45834</v>
      </c>
      <c r="D440" t="inlineStr">
        <is>
          <t>DALARNAS LÄN</t>
        </is>
      </c>
      <c r="E440" t="inlineStr">
        <is>
          <t>SMEDJEBACKEN</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26305-2022</t>
        </is>
      </c>
      <c r="B441" s="1" t="n">
        <v>44735</v>
      </c>
      <c r="C441" s="1" t="n">
        <v>45834</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26298-2022</t>
        </is>
      </c>
      <c r="B442" s="1" t="n">
        <v>44735</v>
      </c>
      <c r="C442" s="1" t="n">
        <v>45834</v>
      </c>
      <c r="D442" t="inlineStr">
        <is>
          <t>DALARNAS LÄN</t>
        </is>
      </c>
      <c r="E442" t="inlineStr">
        <is>
          <t>SMEDJEBACKEN</t>
        </is>
      </c>
      <c r="G442" t="n">
        <v>0.4</v>
      </c>
      <c r="H442" t="n">
        <v>0</v>
      </c>
      <c r="I442" t="n">
        <v>0</v>
      </c>
      <c r="J442" t="n">
        <v>0</v>
      </c>
      <c r="K442" t="n">
        <v>0</v>
      </c>
      <c r="L442" t="n">
        <v>0</v>
      </c>
      <c r="M442" t="n">
        <v>0</v>
      </c>
      <c r="N442" t="n">
        <v>0</v>
      </c>
      <c r="O442" t="n">
        <v>0</v>
      </c>
      <c r="P442" t="n">
        <v>0</v>
      </c>
      <c r="Q442" t="n">
        <v>0</v>
      </c>
      <c r="R442" s="2" t="inlineStr"/>
    </row>
    <row r="443" ht="15" customHeight="1">
      <c r="A443" t="inlineStr">
        <is>
          <t>A 26294-2022</t>
        </is>
      </c>
      <c r="B443" s="1" t="n">
        <v>44735</v>
      </c>
      <c r="C443" s="1" t="n">
        <v>45834</v>
      </c>
      <c r="D443" t="inlineStr">
        <is>
          <t>DALARNAS LÄN</t>
        </is>
      </c>
      <c r="E443" t="inlineStr">
        <is>
          <t>SMEDJEBACKEN</t>
        </is>
      </c>
      <c r="G443" t="n">
        <v>1.2</v>
      </c>
      <c r="H443" t="n">
        <v>0</v>
      </c>
      <c r="I443" t="n">
        <v>0</v>
      </c>
      <c r="J443" t="n">
        <v>0</v>
      </c>
      <c r="K443" t="n">
        <v>0</v>
      </c>
      <c r="L443" t="n">
        <v>0</v>
      </c>
      <c r="M443" t="n">
        <v>0</v>
      </c>
      <c r="N443" t="n">
        <v>0</v>
      </c>
      <c r="O443" t="n">
        <v>0</v>
      </c>
      <c r="P443" t="n">
        <v>0</v>
      </c>
      <c r="Q443" t="n">
        <v>0</v>
      </c>
      <c r="R443" s="2" t="inlineStr"/>
    </row>
    <row r="444" ht="15" customHeight="1">
      <c r="A444" t="inlineStr">
        <is>
          <t>A 26669-2022</t>
        </is>
      </c>
      <c r="B444" s="1" t="n">
        <v>44739</v>
      </c>
      <c r="C444" s="1" t="n">
        <v>45834</v>
      </c>
      <c r="D444" t="inlineStr">
        <is>
          <t>DALARNAS LÄN</t>
        </is>
      </c>
      <c r="E444" t="inlineStr">
        <is>
          <t>SMEDJEBACKEN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27070-2022</t>
        </is>
      </c>
      <c r="B445" s="1" t="n">
        <v>44741</v>
      </c>
      <c r="C445" s="1" t="n">
        <v>45834</v>
      </c>
      <c r="D445" t="inlineStr">
        <is>
          <t>DALARNAS LÄN</t>
        </is>
      </c>
      <c r="E445" t="inlineStr">
        <is>
          <t>SMEDJEBACKEN</t>
        </is>
      </c>
      <c r="F445" t="inlineStr">
        <is>
          <t>Sveaskog</t>
        </is>
      </c>
      <c r="G445" t="n">
        <v>3</v>
      </c>
      <c r="H445" t="n">
        <v>0</v>
      </c>
      <c r="I445" t="n">
        <v>0</v>
      </c>
      <c r="J445" t="n">
        <v>0</v>
      </c>
      <c r="K445" t="n">
        <v>0</v>
      </c>
      <c r="L445" t="n">
        <v>0</v>
      </c>
      <c r="M445" t="n">
        <v>0</v>
      </c>
      <c r="N445" t="n">
        <v>0</v>
      </c>
      <c r="O445" t="n">
        <v>0</v>
      </c>
      <c r="P445" t="n">
        <v>0</v>
      </c>
      <c r="Q445" t="n">
        <v>0</v>
      </c>
      <c r="R445" s="2" t="inlineStr"/>
    </row>
    <row r="446" ht="15" customHeight="1">
      <c r="A446" t="inlineStr">
        <is>
          <t>A 28613-2022</t>
        </is>
      </c>
      <c r="B446" s="1" t="n">
        <v>44748</v>
      </c>
      <c r="C446" s="1" t="n">
        <v>45834</v>
      </c>
      <c r="D446" t="inlineStr">
        <is>
          <t>DALARNAS LÄN</t>
        </is>
      </c>
      <c r="E446" t="inlineStr">
        <is>
          <t>SMEDJEBACKEN</t>
        </is>
      </c>
      <c r="G446" t="n">
        <v>0.9</v>
      </c>
      <c r="H446" t="n">
        <v>0</v>
      </c>
      <c r="I446" t="n">
        <v>0</v>
      </c>
      <c r="J446" t="n">
        <v>0</v>
      </c>
      <c r="K446" t="n">
        <v>0</v>
      </c>
      <c r="L446" t="n">
        <v>0</v>
      </c>
      <c r="M446" t="n">
        <v>0</v>
      </c>
      <c r="N446" t="n">
        <v>0</v>
      </c>
      <c r="O446" t="n">
        <v>0</v>
      </c>
      <c r="P446" t="n">
        <v>0</v>
      </c>
      <c r="Q446" t="n">
        <v>0</v>
      </c>
      <c r="R446" s="2" t="inlineStr"/>
    </row>
    <row r="447" ht="15" customHeight="1">
      <c r="A447" t="inlineStr">
        <is>
          <t>A 31143-2022</t>
        </is>
      </c>
      <c r="B447" s="1" t="n">
        <v>44770</v>
      </c>
      <c r="C447" s="1" t="n">
        <v>45834</v>
      </c>
      <c r="D447" t="inlineStr">
        <is>
          <t>DALARNAS LÄN</t>
        </is>
      </c>
      <c r="E447" t="inlineStr">
        <is>
          <t>SMEDJEBACKEN</t>
        </is>
      </c>
      <c r="G447" t="n">
        <v>1.5</v>
      </c>
      <c r="H447" t="n">
        <v>0</v>
      </c>
      <c r="I447" t="n">
        <v>0</v>
      </c>
      <c r="J447" t="n">
        <v>0</v>
      </c>
      <c r="K447" t="n">
        <v>0</v>
      </c>
      <c r="L447" t="n">
        <v>0</v>
      </c>
      <c r="M447" t="n">
        <v>0</v>
      </c>
      <c r="N447" t="n">
        <v>0</v>
      </c>
      <c r="O447" t="n">
        <v>0</v>
      </c>
      <c r="P447" t="n">
        <v>0</v>
      </c>
      <c r="Q447" t="n">
        <v>0</v>
      </c>
      <c r="R447" s="2" t="inlineStr"/>
    </row>
    <row r="448" ht="15" customHeight="1">
      <c r="A448" t="inlineStr">
        <is>
          <t>A 31326-2022</t>
        </is>
      </c>
      <c r="B448" s="1" t="n">
        <v>44774</v>
      </c>
      <c r="C448" s="1" t="n">
        <v>45834</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31781-2022</t>
        </is>
      </c>
      <c r="B449" s="1" t="n">
        <v>44776</v>
      </c>
      <c r="C449" s="1" t="n">
        <v>45834</v>
      </c>
      <c r="D449" t="inlineStr">
        <is>
          <t>DALARNAS LÄN</t>
        </is>
      </c>
      <c r="E449" t="inlineStr">
        <is>
          <t>SMEDJEBACKEN</t>
        </is>
      </c>
      <c r="F449" t="inlineStr">
        <is>
          <t>Bergvik skog väst AB</t>
        </is>
      </c>
      <c r="G449" t="n">
        <v>7.6</v>
      </c>
      <c r="H449" t="n">
        <v>0</v>
      </c>
      <c r="I449" t="n">
        <v>0</v>
      </c>
      <c r="J449" t="n">
        <v>0</v>
      </c>
      <c r="K449" t="n">
        <v>0</v>
      </c>
      <c r="L449" t="n">
        <v>0</v>
      </c>
      <c r="M449" t="n">
        <v>0</v>
      </c>
      <c r="N449" t="n">
        <v>0</v>
      </c>
      <c r="O449" t="n">
        <v>0</v>
      </c>
      <c r="P449" t="n">
        <v>0</v>
      </c>
      <c r="Q449" t="n">
        <v>0</v>
      </c>
      <c r="R449" s="2" t="inlineStr"/>
    </row>
    <row r="450" ht="15" customHeight="1">
      <c r="A450" t="inlineStr">
        <is>
          <t>A 31791-2022</t>
        </is>
      </c>
      <c r="B450" s="1" t="n">
        <v>44776</v>
      </c>
      <c r="C450" s="1" t="n">
        <v>45834</v>
      </c>
      <c r="D450" t="inlineStr">
        <is>
          <t>DALARNAS LÄN</t>
        </is>
      </c>
      <c r="E450" t="inlineStr">
        <is>
          <t>SMEDJEBACKEN</t>
        </is>
      </c>
      <c r="F450" t="inlineStr">
        <is>
          <t>Bergvik skog väst AB</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31809-2022</t>
        </is>
      </c>
      <c r="B451" s="1" t="n">
        <v>44776</v>
      </c>
      <c r="C451" s="1" t="n">
        <v>45834</v>
      </c>
      <c r="D451" t="inlineStr">
        <is>
          <t>DALARNAS LÄN</t>
        </is>
      </c>
      <c r="E451" t="inlineStr">
        <is>
          <t>SMEDJEBACKEN</t>
        </is>
      </c>
      <c r="F451" t="inlineStr">
        <is>
          <t>Bergvik skog väst AB</t>
        </is>
      </c>
      <c r="G451" t="n">
        <v>5.5</v>
      </c>
      <c r="H451" t="n">
        <v>0</v>
      </c>
      <c r="I451" t="n">
        <v>0</v>
      </c>
      <c r="J451" t="n">
        <v>0</v>
      </c>
      <c r="K451" t="n">
        <v>0</v>
      </c>
      <c r="L451" t="n">
        <v>0</v>
      </c>
      <c r="M451" t="n">
        <v>0</v>
      </c>
      <c r="N451" t="n">
        <v>0</v>
      </c>
      <c r="O451" t="n">
        <v>0</v>
      </c>
      <c r="P451" t="n">
        <v>0</v>
      </c>
      <c r="Q451" t="n">
        <v>0</v>
      </c>
      <c r="R451" s="2" t="inlineStr"/>
    </row>
    <row r="452" ht="15" customHeight="1">
      <c r="A452" t="inlineStr">
        <is>
          <t>A 31788-2022</t>
        </is>
      </c>
      <c r="B452" s="1" t="n">
        <v>44776</v>
      </c>
      <c r="C452" s="1" t="n">
        <v>45834</v>
      </c>
      <c r="D452" t="inlineStr">
        <is>
          <t>DALARNAS LÄN</t>
        </is>
      </c>
      <c r="E452" t="inlineStr">
        <is>
          <t>SMEDJEBACKEN</t>
        </is>
      </c>
      <c r="F452" t="inlineStr">
        <is>
          <t>Bergvik skog väst AB</t>
        </is>
      </c>
      <c r="G452" t="n">
        <v>3.9</v>
      </c>
      <c r="H452" t="n">
        <v>0</v>
      </c>
      <c r="I452" t="n">
        <v>0</v>
      </c>
      <c r="J452" t="n">
        <v>0</v>
      </c>
      <c r="K452" t="n">
        <v>0</v>
      </c>
      <c r="L452" t="n">
        <v>0</v>
      </c>
      <c r="M452" t="n">
        <v>0</v>
      </c>
      <c r="N452" t="n">
        <v>0</v>
      </c>
      <c r="O452" t="n">
        <v>0</v>
      </c>
      <c r="P452" t="n">
        <v>0</v>
      </c>
      <c r="Q452" t="n">
        <v>0</v>
      </c>
      <c r="R452" s="2" t="inlineStr"/>
    </row>
    <row r="453" ht="15" customHeight="1">
      <c r="A453" t="inlineStr">
        <is>
          <t>A 31795-2022</t>
        </is>
      </c>
      <c r="B453" s="1" t="n">
        <v>44776</v>
      </c>
      <c r="C453" s="1" t="n">
        <v>45834</v>
      </c>
      <c r="D453" t="inlineStr">
        <is>
          <t>DALARNAS LÄN</t>
        </is>
      </c>
      <c r="E453" t="inlineStr">
        <is>
          <t>SMEDJEBACKEN</t>
        </is>
      </c>
      <c r="F453" t="inlineStr">
        <is>
          <t>Bergvik skog väst AB</t>
        </is>
      </c>
      <c r="G453" t="n">
        <v>7.5</v>
      </c>
      <c r="H453" t="n">
        <v>0</v>
      </c>
      <c r="I453" t="n">
        <v>0</v>
      </c>
      <c r="J453" t="n">
        <v>0</v>
      </c>
      <c r="K453" t="n">
        <v>0</v>
      </c>
      <c r="L453" t="n">
        <v>0</v>
      </c>
      <c r="M453" t="n">
        <v>0</v>
      </c>
      <c r="N453" t="n">
        <v>0</v>
      </c>
      <c r="O453" t="n">
        <v>0</v>
      </c>
      <c r="P453" t="n">
        <v>0</v>
      </c>
      <c r="Q453" t="n">
        <v>0</v>
      </c>
      <c r="R453" s="2" t="inlineStr"/>
    </row>
    <row r="454" ht="15" customHeight="1">
      <c r="A454" t="inlineStr">
        <is>
          <t>A 31792-2022</t>
        </is>
      </c>
      <c r="B454" s="1" t="n">
        <v>44776</v>
      </c>
      <c r="C454" s="1" t="n">
        <v>45834</v>
      </c>
      <c r="D454" t="inlineStr">
        <is>
          <t>DALARNAS LÄN</t>
        </is>
      </c>
      <c r="E454" t="inlineStr">
        <is>
          <t>SMEDJEBACKEN</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31799-2022</t>
        </is>
      </c>
      <c r="B455" s="1" t="n">
        <v>44776</v>
      </c>
      <c r="C455" s="1" t="n">
        <v>45834</v>
      </c>
      <c r="D455" t="inlineStr">
        <is>
          <t>DALARNAS LÄN</t>
        </is>
      </c>
      <c r="E455" t="inlineStr">
        <is>
          <t>SMEDJEBACKEN</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32013-2022</t>
        </is>
      </c>
      <c r="B456" s="1" t="n">
        <v>44778</v>
      </c>
      <c r="C456" s="1" t="n">
        <v>45834</v>
      </c>
      <c r="D456" t="inlineStr">
        <is>
          <t>DALARNAS LÄN</t>
        </is>
      </c>
      <c r="E456" t="inlineStr">
        <is>
          <t>SMEDJEBACKEN</t>
        </is>
      </c>
      <c r="G456" t="n">
        <v>1.7</v>
      </c>
      <c r="H456" t="n">
        <v>0</v>
      </c>
      <c r="I456" t="n">
        <v>0</v>
      </c>
      <c r="J456" t="n">
        <v>0</v>
      </c>
      <c r="K456" t="n">
        <v>0</v>
      </c>
      <c r="L456" t="n">
        <v>0</v>
      </c>
      <c r="M456" t="n">
        <v>0</v>
      </c>
      <c r="N456" t="n">
        <v>0</v>
      </c>
      <c r="O456" t="n">
        <v>0</v>
      </c>
      <c r="P456" t="n">
        <v>0</v>
      </c>
      <c r="Q456" t="n">
        <v>0</v>
      </c>
      <c r="R456" s="2" t="inlineStr"/>
    </row>
    <row r="457" ht="15" customHeight="1">
      <c r="A457" t="inlineStr">
        <is>
          <t>A 32016-2022</t>
        </is>
      </c>
      <c r="B457" s="1" t="n">
        <v>44778</v>
      </c>
      <c r="C457" s="1" t="n">
        <v>45834</v>
      </c>
      <c r="D457" t="inlineStr">
        <is>
          <t>DALARNAS LÄN</t>
        </is>
      </c>
      <c r="E457" t="inlineStr">
        <is>
          <t>SMEDJEBACKEN</t>
        </is>
      </c>
      <c r="G457" t="n">
        <v>1.1</v>
      </c>
      <c r="H457" t="n">
        <v>0</v>
      </c>
      <c r="I457" t="n">
        <v>0</v>
      </c>
      <c r="J457" t="n">
        <v>0</v>
      </c>
      <c r="K457" t="n">
        <v>0</v>
      </c>
      <c r="L457" t="n">
        <v>0</v>
      </c>
      <c r="M457" t="n">
        <v>0</v>
      </c>
      <c r="N457" t="n">
        <v>0</v>
      </c>
      <c r="O457" t="n">
        <v>0</v>
      </c>
      <c r="P457" t="n">
        <v>0</v>
      </c>
      <c r="Q457" t="n">
        <v>0</v>
      </c>
      <c r="R457" s="2" t="inlineStr"/>
    </row>
    <row r="458" ht="15" customHeight="1">
      <c r="A458" t="inlineStr">
        <is>
          <t>A 32381-2022</t>
        </is>
      </c>
      <c r="B458" s="1" t="n">
        <v>44781</v>
      </c>
      <c r="C458" s="1" t="n">
        <v>45834</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32384-2022</t>
        </is>
      </c>
      <c r="B459" s="1" t="n">
        <v>44782</v>
      </c>
      <c r="C459" s="1" t="n">
        <v>45834</v>
      </c>
      <c r="D459" t="inlineStr">
        <is>
          <t>DALARNAS LÄN</t>
        </is>
      </c>
      <c r="E459" t="inlineStr">
        <is>
          <t>SMEDJEBACKEN</t>
        </is>
      </c>
      <c r="G459" t="n">
        <v>2.9</v>
      </c>
      <c r="H459" t="n">
        <v>0</v>
      </c>
      <c r="I459" t="n">
        <v>0</v>
      </c>
      <c r="J459" t="n">
        <v>0</v>
      </c>
      <c r="K459" t="n">
        <v>0</v>
      </c>
      <c r="L459" t="n">
        <v>0</v>
      </c>
      <c r="M459" t="n">
        <v>0</v>
      </c>
      <c r="N459" t="n">
        <v>0</v>
      </c>
      <c r="O459" t="n">
        <v>0</v>
      </c>
      <c r="P459" t="n">
        <v>0</v>
      </c>
      <c r="Q459" t="n">
        <v>0</v>
      </c>
      <c r="R459" s="2" t="inlineStr"/>
    </row>
    <row r="460" ht="15" customHeight="1">
      <c r="A460" t="inlineStr">
        <is>
          <t>A 32903-2022</t>
        </is>
      </c>
      <c r="B460" s="1" t="n">
        <v>44784</v>
      </c>
      <c r="C460" s="1" t="n">
        <v>45834</v>
      </c>
      <c r="D460" t="inlineStr">
        <is>
          <t>DALARNAS LÄN</t>
        </is>
      </c>
      <c r="E460" t="inlineStr">
        <is>
          <t>SMEDJEBACKEN</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32945-2022</t>
        </is>
      </c>
      <c r="B461" s="1" t="n">
        <v>44784</v>
      </c>
      <c r="C461" s="1" t="n">
        <v>45834</v>
      </c>
      <c r="D461" t="inlineStr">
        <is>
          <t>DALARNAS LÄN</t>
        </is>
      </c>
      <c r="E461" t="inlineStr">
        <is>
          <t>SMEDJEBACKEN</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32939-2022</t>
        </is>
      </c>
      <c r="B462" s="1" t="n">
        <v>44784</v>
      </c>
      <c r="C462" s="1" t="n">
        <v>45834</v>
      </c>
      <c r="D462" t="inlineStr">
        <is>
          <t>DALARNAS LÄN</t>
        </is>
      </c>
      <c r="E462" t="inlineStr">
        <is>
          <t>SMEDJEBACKEN</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33253-2022</t>
        </is>
      </c>
      <c r="B463" s="1" t="n">
        <v>44787</v>
      </c>
      <c r="C463" s="1" t="n">
        <v>45834</v>
      </c>
      <c r="D463" t="inlineStr">
        <is>
          <t>DALARNAS LÄN</t>
        </is>
      </c>
      <c r="E463" t="inlineStr">
        <is>
          <t>SMEDJEBACKEN</t>
        </is>
      </c>
      <c r="G463" t="n">
        <v>0.5</v>
      </c>
      <c r="H463" t="n">
        <v>0</v>
      </c>
      <c r="I463" t="n">
        <v>0</v>
      </c>
      <c r="J463" t="n">
        <v>0</v>
      </c>
      <c r="K463" t="n">
        <v>0</v>
      </c>
      <c r="L463" t="n">
        <v>0</v>
      </c>
      <c r="M463" t="n">
        <v>0</v>
      </c>
      <c r="N463" t="n">
        <v>0</v>
      </c>
      <c r="O463" t="n">
        <v>0</v>
      </c>
      <c r="P463" t="n">
        <v>0</v>
      </c>
      <c r="Q463" t="n">
        <v>0</v>
      </c>
      <c r="R463" s="2" t="inlineStr"/>
    </row>
    <row r="464" ht="15" customHeight="1">
      <c r="A464" t="inlineStr">
        <is>
          <t>A 33257-2022</t>
        </is>
      </c>
      <c r="B464" s="1" t="n">
        <v>44787</v>
      </c>
      <c r="C464" s="1" t="n">
        <v>45834</v>
      </c>
      <c r="D464" t="inlineStr">
        <is>
          <t>DALARNAS LÄN</t>
        </is>
      </c>
      <c r="E464" t="inlineStr">
        <is>
          <t>SMEDJEBACKEN</t>
        </is>
      </c>
      <c r="G464" t="n">
        <v>4</v>
      </c>
      <c r="H464" t="n">
        <v>0</v>
      </c>
      <c r="I464" t="n">
        <v>0</v>
      </c>
      <c r="J464" t="n">
        <v>0</v>
      </c>
      <c r="K464" t="n">
        <v>0</v>
      </c>
      <c r="L464" t="n">
        <v>0</v>
      </c>
      <c r="M464" t="n">
        <v>0</v>
      </c>
      <c r="N464" t="n">
        <v>0</v>
      </c>
      <c r="O464" t="n">
        <v>0</v>
      </c>
      <c r="P464" t="n">
        <v>0</v>
      </c>
      <c r="Q464" t="n">
        <v>0</v>
      </c>
      <c r="R464" s="2" t="inlineStr"/>
    </row>
    <row r="465" ht="15" customHeight="1">
      <c r="A465" t="inlineStr">
        <is>
          <t>A 33256-2022</t>
        </is>
      </c>
      <c r="B465" s="1" t="n">
        <v>44787</v>
      </c>
      <c r="C465" s="1" t="n">
        <v>45834</v>
      </c>
      <c r="D465" t="inlineStr">
        <is>
          <t>DALARNAS LÄN</t>
        </is>
      </c>
      <c r="E465" t="inlineStr">
        <is>
          <t>SMEDJEBACKEN</t>
        </is>
      </c>
      <c r="G465" t="n">
        <v>6.6</v>
      </c>
      <c r="H465" t="n">
        <v>0</v>
      </c>
      <c r="I465" t="n">
        <v>0</v>
      </c>
      <c r="J465" t="n">
        <v>0</v>
      </c>
      <c r="K465" t="n">
        <v>0</v>
      </c>
      <c r="L465" t="n">
        <v>0</v>
      </c>
      <c r="M465" t="n">
        <v>0</v>
      </c>
      <c r="N465" t="n">
        <v>0</v>
      </c>
      <c r="O465" t="n">
        <v>0</v>
      </c>
      <c r="P465" t="n">
        <v>0</v>
      </c>
      <c r="Q465" t="n">
        <v>0</v>
      </c>
      <c r="R465" s="2" t="inlineStr"/>
    </row>
    <row r="466" ht="15" customHeight="1">
      <c r="A466" t="inlineStr">
        <is>
          <t>A 33255-2022</t>
        </is>
      </c>
      <c r="B466" s="1" t="n">
        <v>44787</v>
      </c>
      <c r="C466" s="1" t="n">
        <v>45834</v>
      </c>
      <c r="D466" t="inlineStr">
        <is>
          <t>DALARNAS LÄN</t>
        </is>
      </c>
      <c r="E466" t="inlineStr">
        <is>
          <t>SMEDJEBACKEN</t>
        </is>
      </c>
      <c r="G466" t="n">
        <v>2.1</v>
      </c>
      <c r="H466" t="n">
        <v>0</v>
      </c>
      <c r="I466" t="n">
        <v>0</v>
      </c>
      <c r="J466" t="n">
        <v>0</v>
      </c>
      <c r="K466" t="n">
        <v>0</v>
      </c>
      <c r="L466" t="n">
        <v>0</v>
      </c>
      <c r="M466" t="n">
        <v>0</v>
      </c>
      <c r="N466" t="n">
        <v>0</v>
      </c>
      <c r="O466" t="n">
        <v>0</v>
      </c>
      <c r="P466" t="n">
        <v>0</v>
      </c>
      <c r="Q466" t="n">
        <v>0</v>
      </c>
      <c r="R466" s="2" t="inlineStr"/>
    </row>
    <row r="467" ht="15" customHeight="1">
      <c r="A467" t="inlineStr">
        <is>
          <t>A 33707-2022</t>
        </is>
      </c>
      <c r="B467" s="1" t="n">
        <v>44789</v>
      </c>
      <c r="C467" s="1" t="n">
        <v>45834</v>
      </c>
      <c r="D467" t="inlineStr">
        <is>
          <t>DALARNAS LÄN</t>
        </is>
      </c>
      <c r="E467" t="inlineStr">
        <is>
          <t>SMEDJEBACKEN</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33843-2022</t>
        </is>
      </c>
      <c r="B468" s="1" t="n">
        <v>44790</v>
      </c>
      <c r="C468" s="1" t="n">
        <v>45834</v>
      </c>
      <c r="D468" t="inlineStr">
        <is>
          <t>DALARNAS LÄN</t>
        </is>
      </c>
      <c r="E468" t="inlineStr">
        <is>
          <t>SMEDJEBACKEN</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33846-2022</t>
        </is>
      </c>
      <c r="B469" s="1" t="n">
        <v>44790</v>
      </c>
      <c r="C469" s="1" t="n">
        <v>45834</v>
      </c>
      <c r="D469" t="inlineStr">
        <is>
          <t>DALARNAS LÄN</t>
        </is>
      </c>
      <c r="E469" t="inlineStr">
        <is>
          <t>SMEDJEBACKEN</t>
        </is>
      </c>
      <c r="F469" t="inlineStr">
        <is>
          <t>Bergvik skog väst AB</t>
        </is>
      </c>
      <c r="G469" t="n">
        <v>2.7</v>
      </c>
      <c r="H469" t="n">
        <v>0</v>
      </c>
      <c r="I469" t="n">
        <v>0</v>
      </c>
      <c r="J469" t="n">
        <v>0</v>
      </c>
      <c r="K469" t="n">
        <v>0</v>
      </c>
      <c r="L469" t="n">
        <v>0</v>
      </c>
      <c r="M469" t="n">
        <v>0</v>
      </c>
      <c r="N469" t="n">
        <v>0</v>
      </c>
      <c r="O469" t="n">
        <v>0</v>
      </c>
      <c r="P469" t="n">
        <v>0</v>
      </c>
      <c r="Q469" t="n">
        <v>0</v>
      </c>
      <c r="R469" s="2" t="inlineStr"/>
    </row>
    <row r="470" ht="15" customHeight="1">
      <c r="A470" t="inlineStr">
        <is>
          <t>A 34123-2022</t>
        </is>
      </c>
      <c r="B470" s="1" t="n">
        <v>44791</v>
      </c>
      <c r="C470" s="1" t="n">
        <v>45834</v>
      </c>
      <c r="D470" t="inlineStr">
        <is>
          <t>DALARNAS LÄN</t>
        </is>
      </c>
      <c r="E470" t="inlineStr">
        <is>
          <t>SMEDJEBACKEN</t>
        </is>
      </c>
      <c r="F470" t="inlineStr">
        <is>
          <t>Bergvik skog väst AB</t>
        </is>
      </c>
      <c r="G470" t="n">
        <v>2.8</v>
      </c>
      <c r="H470" t="n">
        <v>0</v>
      </c>
      <c r="I470" t="n">
        <v>0</v>
      </c>
      <c r="J470" t="n">
        <v>0</v>
      </c>
      <c r="K470" t="n">
        <v>0</v>
      </c>
      <c r="L470" t="n">
        <v>0</v>
      </c>
      <c r="M470" t="n">
        <v>0</v>
      </c>
      <c r="N470" t="n">
        <v>0</v>
      </c>
      <c r="O470" t="n">
        <v>0</v>
      </c>
      <c r="P470" t="n">
        <v>0</v>
      </c>
      <c r="Q470" t="n">
        <v>0</v>
      </c>
      <c r="R470" s="2" t="inlineStr"/>
    </row>
    <row r="471" ht="15" customHeight="1">
      <c r="A471" t="inlineStr">
        <is>
          <t>A 34216-2022</t>
        </is>
      </c>
      <c r="B471" s="1" t="n">
        <v>44791</v>
      </c>
      <c r="C471" s="1" t="n">
        <v>45834</v>
      </c>
      <c r="D471" t="inlineStr">
        <is>
          <t>DALARNAS LÄN</t>
        </is>
      </c>
      <c r="E471" t="inlineStr">
        <is>
          <t>SMEDJEBACKEN</t>
        </is>
      </c>
      <c r="F471" t="inlineStr">
        <is>
          <t>Bergvik skog väst AB</t>
        </is>
      </c>
      <c r="G471" t="n">
        <v>0.9</v>
      </c>
      <c r="H471" t="n">
        <v>0</v>
      </c>
      <c r="I471" t="n">
        <v>0</v>
      </c>
      <c r="J471" t="n">
        <v>0</v>
      </c>
      <c r="K471" t="n">
        <v>0</v>
      </c>
      <c r="L471" t="n">
        <v>0</v>
      </c>
      <c r="M471" t="n">
        <v>0</v>
      </c>
      <c r="N471" t="n">
        <v>0</v>
      </c>
      <c r="O471" t="n">
        <v>0</v>
      </c>
      <c r="P471" t="n">
        <v>0</v>
      </c>
      <c r="Q471" t="n">
        <v>0</v>
      </c>
      <c r="R471" s="2" t="inlineStr"/>
    </row>
    <row r="472" ht="15" customHeight="1">
      <c r="A472" t="inlineStr">
        <is>
          <t>A 34235-2022</t>
        </is>
      </c>
      <c r="B472" s="1" t="n">
        <v>44791</v>
      </c>
      <c r="C472" s="1" t="n">
        <v>45834</v>
      </c>
      <c r="D472" t="inlineStr">
        <is>
          <t>DALARNAS LÄN</t>
        </is>
      </c>
      <c r="E472" t="inlineStr">
        <is>
          <t>SMEDJEBACKEN</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34382-2022</t>
        </is>
      </c>
      <c r="B473" s="1" t="n">
        <v>44792</v>
      </c>
      <c r="C473" s="1" t="n">
        <v>45834</v>
      </c>
      <c r="D473" t="inlineStr">
        <is>
          <t>DALARNAS LÄN</t>
        </is>
      </c>
      <c r="E473" t="inlineStr">
        <is>
          <t>SMEDJEBACKEN</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34372-2022</t>
        </is>
      </c>
      <c r="B474" s="1" t="n">
        <v>44792</v>
      </c>
      <c r="C474" s="1" t="n">
        <v>45834</v>
      </c>
      <c r="D474" t="inlineStr">
        <is>
          <t>DALARNAS LÄN</t>
        </is>
      </c>
      <c r="E474" t="inlineStr">
        <is>
          <t>SMEDJEBACKEN</t>
        </is>
      </c>
      <c r="F474" t="inlineStr">
        <is>
          <t>Sveaskog</t>
        </is>
      </c>
      <c r="G474" t="n">
        <v>4.4</v>
      </c>
      <c r="H474" t="n">
        <v>0</v>
      </c>
      <c r="I474" t="n">
        <v>0</v>
      </c>
      <c r="J474" t="n">
        <v>0</v>
      </c>
      <c r="K474" t="n">
        <v>0</v>
      </c>
      <c r="L474" t="n">
        <v>0</v>
      </c>
      <c r="M474" t="n">
        <v>0</v>
      </c>
      <c r="N474" t="n">
        <v>0</v>
      </c>
      <c r="O474" t="n">
        <v>0</v>
      </c>
      <c r="P474" t="n">
        <v>0</v>
      </c>
      <c r="Q474" t="n">
        <v>0</v>
      </c>
      <c r="R474" s="2" t="inlineStr"/>
    </row>
    <row r="475" ht="15" customHeight="1">
      <c r="A475" t="inlineStr">
        <is>
          <t>A 34360-2022</t>
        </is>
      </c>
      <c r="B475" s="1" t="n">
        <v>44792</v>
      </c>
      <c r="C475" s="1" t="n">
        <v>45834</v>
      </c>
      <c r="D475" t="inlineStr">
        <is>
          <t>DALARNAS LÄN</t>
        </is>
      </c>
      <c r="E475" t="inlineStr">
        <is>
          <t>SMEDJEBACKEN</t>
        </is>
      </c>
      <c r="F475" t="inlineStr">
        <is>
          <t>Sveaskog</t>
        </is>
      </c>
      <c r="G475" t="n">
        <v>3.6</v>
      </c>
      <c r="H475" t="n">
        <v>0</v>
      </c>
      <c r="I475" t="n">
        <v>0</v>
      </c>
      <c r="J475" t="n">
        <v>0</v>
      </c>
      <c r="K475" t="n">
        <v>0</v>
      </c>
      <c r="L475" t="n">
        <v>0</v>
      </c>
      <c r="M475" t="n">
        <v>0</v>
      </c>
      <c r="N475" t="n">
        <v>0</v>
      </c>
      <c r="O475" t="n">
        <v>0</v>
      </c>
      <c r="P475" t="n">
        <v>0</v>
      </c>
      <c r="Q475" t="n">
        <v>0</v>
      </c>
      <c r="R475" s="2" t="inlineStr"/>
    </row>
    <row r="476" ht="15" customHeight="1">
      <c r="A476" t="inlineStr">
        <is>
          <t>A 34369-2022</t>
        </is>
      </c>
      <c r="B476" s="1" t="n">
        <v>44792</v>
      </c>
      <c r="C476" s="1" t="n">
        <v>45834</v>
      </c>
      <c r="D476" t="inlineStr">
        <is>
          <t>DALARNAS LÄN</t>
        </is>
      </c>
      <c r="E476" t="inlineStr">
        <is>
          <t>SMEDJEBACKEN</t>
        </is>
      </c>
      <c r="F476" t="inlineStr">
        <is>
          <t>Sveaskog</t>
        </is>
      </c>
      <c r="G476" t="n">
        <v>4.8</v>
      </c>
      <c r="H476" t="n">
        <v>0</v>
      </c>
      <c r="I476" t="n">
        <v>0</v>
      </c>
      <c r="J476" t="n">
        <v>0</v>
      </c>
      <c r="K476" t="n">
        <v>0</v>
      </c>
      <c r="L476" t="n">
        <v>0</v>
      </c>
      <c r="M476" t="n">
        <v>0</v>
      </c>
      <c r="N476" t="n">
        <v>0</v>
      </c>
      <c r="O476" t="n">
        <v>0</v>
      </c>
      <c r="P476" t="n">
        <v>0</v>
      </c>
      <c r="Q476" t="n">
        <v>0</v>
      </c>
      <c r="R476" s="2" t="inlineStr"/>
    </row>
    <row r="477" ht="15" customHeight="1">
      <c r="A477" t="inlineStr">
        <is>
          <t>A 34374-2022</t>
        </is>
      </c>
      <c r="B477" s="1" t="n">
        <v>44792</v>
      </c>
      <c r="C477" s="1" t="n">
        <v>45834</v>
      </c>
      <c r="D477" t="inlineStr">
        <is>
          <t>DALARNAS LÄN</t>
        </is>
      </c>
      <c r="E477" t="inlineStr">
        <is>
          <t>SMEDJEBACKEN</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34755-2022</t>
        </is>
      </c>
      <c r="B478" s="1" t="n">
        <v>44795</v>
      </c>
      <c r="C478" s="1" t="n">
        <v>45834</v>
      </c>
      <c r="D478" t="inlineStr">
        <is>
          <t>DALARNAS LÄN</t>
        </is>
      </c>
      <c r="E478" t="inlineStr">
        <is>
          <t>SMEDJEBACKEN</t>
        </is>
      </c>
      <c r="F478" t="inlineStr">
        <is>
          <t>Sveaskog</t>
        </is>
      </c>
      <c r="G478" t="n">
        <v>6.2</v>
      </c>
      <c r="H478" t="n">
        <v>0</v>
      </c>
      <c r="I478" t="n">
        <v>0</v>
      </c>
      <c r="J478" t="n">
        <v>0</v>
      </c>
      <c r="K478" t="n">
        <v>0</v>
      </c>
      <c r="L478" t="n">
        <v>0</v>
      </c>
      <c r="M478" t="n">
        <v>0</v>
      </c>
      <c r="N478" t="n">
        <v>0</v>
      </c>
      <c r="O478" t="n">
        <v>0</v>
      </c>
      <c r="P478" t="n">
        <v>0</v>
      </c>
      <c r="Q478" t="n">
        <v>0</v>
      </c>
      <c r="R478" s="2" t="inlineStr"/>
    </row>
    <row r="479" ht="15" customHeight="1">
      <c r="A479" t="inlineStr">
        <is>
          <t>A 35666-2022</t>
        </is>
      </c>
      <c r="B479" s="1" t="n">
        <v>44799</v>
      </c>
      <c r="C479" s="1" t="n">
        <v>45834</v>
      </c>
      <c r="D479" t="inlineStr">
        <is>
          <t>DALARNAS LÄN</t>
        </is>
      </c>
      <c r="E479" t="inlineStr">
        <is>
          <t>SMEDJEBACKEN</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35785-2022</t>
        </is>
      </c>
      <c r="B480" s="1" t="n">
        <v>44801</v>
      </c>
      <c r="C480" s="1" t="n">
        <v>45834</v>
      </c>
      <c r="D480" t="inlineStr">
        <is>
          <t>DALARNAS LÄN</t>
        </is>
      </c>
      <c r="E480" t="inlineStr">
        <is>
          <t>SMEDJEBACKEN</t>
        </is>
      </c>
      <c r="F480" t="inlineStr">
        <is>
          <t>Sveaskog</t>
        </is>
      </c>
      <c r="G480" t="n">
        <v>2.8</v>
      </c>
      <c r="H480" t="n">
        <v>0</v>
      </c>
      <c r="I480" t="n">
        <v>0</v>
      </c>
      <c r="J480" t="n">
        <v>0</v>
      </c>
      <c r="K480" t="n">
        <v>0</v>
      </c>
      <c r="L480" t="n">
        <v>0</v>
      </c>
      <c r="M480" t="n">
        <v>0</v>
      </c>
      <c r="N480" t="n">
        <v>0</v>
      </c>
      <c r="O480" t="n">
        <v>0</v>
      </c>
      <c r="P480" t="n">
        <v>0</v>
      </c>
      <c r="Q480" t="n">
        <v>0</v>
      </c>
      <c r="R480" s="2" t="inlineStr"/>
    </row>
    <row r="481" ht="15" customHeight="1">
      <c r="A481" t="inlineStr">
        <is>
          <t>A 35812-2022</t>
        </is>
      </c>
      <c r="B481" s="1" t="n">
        <v>44802</v>
      </c>
      <c r="C481" s="1" t="n">
        <v>45834</v>
      </c>
      <c r="D481" t="inlineStr">
        <is>
          <t>DALARNAS LÄN</t>
        </is>
      </c>
      <c r="E481" t="inlineStr">
        <is>
          <t>SMEDJEBACKEN</t>
        </is>
      </c>
      <c r="F481" t="inlineStr">
        <is>
          <t>Sveaskog</t>
        </is>
      </c>
      <c r="G481" t="n">
        <v>15.9</v>
      </c>
      <c r="H481" t="n">
        <v>0</v>
      </c>
      <c r="I481" t="n">
        <v>0</v>
      </c>
      <c r="J481" t="n">
        <v>0</v>
      </c>
      <c r="K481" t="n">
        <v>0</v>
      </c>
      <c r="L481" t="n">
        <v>0</v>
      </c>
      <c r="M481" t="n">
        <v>0</v>
      </c>
      <c r="N481" t="n">
        <v>0</v>
      </c>
      <c r="O481" t="n">
        <v>0</v>
      </c>
      <c r="P481" t="n">
        <v>0</v>
      </c>
      <c r="Q481" t="n">
        <v>0</v>
      </c>
      <c r="R481" s="2" t="inlineStr"/>
    </row>
    <row r="482" ht="15" customHeight="1">
      <c r="A482" t="inlineStr">
        <is>
          <t>A 36238-2022</t>
        </is>
      </c>
      <c r="B482" s="1" t="n">
        <v>44803</v>
      </c>
      <c r="C482" s="1" t="n">
        <v>45834</v>
      </c>
      <c r="D482" t="inlineStr">
        <is>
          <t>DALARNAS LÄN</t>
        </is>
      </c>
      <c r="E482" t="inlineStr">
        <is>
          <t>SMEDJEBACKEN</t>
        </is>
      </c>
      <c r="G482" t="n">
        <v>3.2</v>
      </c>
      <c r="H482" t="n">
        <v>0</v>
      </c>
      <c r="I482" t="n">
        <v>0</v>
      </c>
      <c r="J482" t="n">
        <v>0</v>
      </c>
      <c r="K482" t="n">
        <v>0</v>
      </c>
      <c r="L482" t="n">
        <v>0</v>
      </c>
      <c r="M482" t="n">
        <v>0</v>
      </c>
      <c r="N482" t="n">
        <v>0</v>
      </c>
      <c r="O482" t="n">
        <v>0</v>
      </c>
      <c r="P482" t="n">
        <v>0</v>
      </c>
      <c r="Q482" t="n">
        <v>0</v>
      </c>
      <c r="R482" s="2" t="inlineStr"/>
    </row>
    <row r="483" ht="15" customHeight="1">
      <c r="A483" t="inlineStr">
        <is>
          <t>A 36231-2022</t>
        </is>
      </c>
      <c r="B483" s="1" t="n">
        <v>44803</v>
      </c>
      <c r="C483" s="1" t="n">
        <v>45834</v>
      </c>
      <c r="D483" t="inlineStr">
        <is>
          <t>DALARNAS LÄN</t>
        </is>
      </c>
      <c r="E483" t="inlineStr">
        <is>
          <t>SMEDJEBACKEN</t>
        </is>
      </c>
      <c r="G483" t="n">
        <v>5.7</v>
      </c>
      <c r="H483" t="n">
        <v>0</v>
      </c>
      <c r="I483" t="n">
        <v>0</v>
      </c>
      <c r="J483" t="n">
        <v>0</v>
      </c>
      <c r="K483" t="n">
        <v>0</v>
      </c>
      <c r="L483" t="n">
        <v>0</v>
      </c>
      <c r="M483" t="n">
        <v>0</v>
      </c>
      <c r="N483" t="n">
        <v>0</v>
      </c>
      <c r="O483" t="n">
        <v>0</v>
      </c>
      <c r="P483" t="n">
        <v>0</v>
      </c>
      <c r="Q483" t="n">
        <v>0</v>
      </c>
      <c r="R483" s="2" t="inlineStr"/>
    </row>
    <row r="484" ht="15" customHeight="1">
      <c r="A484" t="inlineStr">
        <is>
          <t>A 36243-2022</t>
        </is>
      </c>
      <c r="B484" s="1" t="n">
        <v>44803</v>
      </c>
      <c r="C484" s="1" t="n">
        <v>45834</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36663-2022</t>
        </is>
      </c>
      <c r="B485" s="1" t="n">
        <v>44804</v>
      </c>
      <c r="C485" s="1" t="n">
        <v>45834</v>
      </c>
      <c r="D485" t="inlineStr">
        <is>
          <t>DALARNAS LÄN</t>
        </is>
      </c>
      <c r="E485" t="inlineStr">
        <is>
          <t>SMEDJEBACKEN</t>
        </is>
      </c>
      <c r="G485" t="n">
        <v>0.9</v>
      </c>
      <c r="H485" t="n">
        <v>0</v>
      </c>
      <c r="I485" t="n">
        <v>0</v>
      </c>
      <c r="J485" t="n">
        <v>0</v>
      </c>
      <c r="K485" t="n">
        <v>0</v>
      </c>
      <c r="L485" t="n">
        <v>0</v>
      </c>
      <c r="M485" t="n">
        <v>0</v>
      </c>
      <c r="N485" t="n">
        <v>0</v>
      </c>
      <c r="O485" t="n">
        <v>0</v>
      </c>
      <c r="P485" t="n">
        <v>0</v>
      </c>
      <c r="Q485" t="n">
        <v>0</v>
      </c>
      <c r="R485" s="2" t="inlineStr"/>
    </row>
    <row r="486" ht="15" customHeight="1">
      <c r="A486" t="inlineStr">
        <is>
          <t>A 37039-2022</t>
        </is>
      </c>
      <c r="B486" s="1" t="n">
        <v>44806</v>
      </c>
      <c r="C486" s="1" t="n">
        <v>45834</v>
      </c>
      <c r="D486" t="inlineStr">
        <is>
          <t>DALARNAS LÄN</t>
        </is>
      </c>
      <c r="E486" t="inlineStr">
        <is>
          <t>SMEDJEBACKEN</t>
        </is>
      </c>
      <c r="F486" t="inlineStr">
        <is>
          <t>Bergvik skog väst AB</t>
        </is>
      </c>
      <c r="G486" t="n">
        <v>7</v>
      </c>
      <c r="H486" t="n">
        <v>0</v>
      </c>
      <c r="I486" t="n">
        <v>0</v>
      </c>
      <c r="J486" t="n">
        <v>0</v>
      </c>
      <c r="K486" t="n">
        <v>0</v>
      </c>
      <c r="L486" t="n">
        <v>0</v>
      </c>
      <c r="M486" t="n">
        <v>0</v>
      </c>
      <c r="N486" t="n">
        <v>0</v>
      </c>
      <c r="O486" t="n">
        <v>0</v>
      </c>
      <c r="P486" t="n">
        <v>0</v>
      </c>
      <c r="Q486" t="n">
        <v>0</v>
      </c>
      <c r="R486" s="2" t="inlineStr"/>
    </row>
    <row r="487" ht="15" customHeight="1">
      <c r="A487" t="inlineStr">
        <is>
          <t>A 37370-2022</t>
        </is>
      </c>
      <c r="B487" s="1" t="n">
        <v>44809</v>
      </c>
      <c r="C487" s="1" t="n">
        <v>45834</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37375-2022</t>
        </is>
      </c>
      <c r="B488" s="1" t="n">
        <v>44809</v>
      </c>
      <c r="C488" s="1" t="n">
        <v>45834</v>
      </c>
      <c r="D488" t="inlineStr">
        <is>
          <t>DALARNAS LÄN</t>
        </is>
      </c>
      <c r="E488" t="inlineStr">
        <is>
          <t>SMEDJEBACKEN</t>
        </is>
      </c>
      <c r="F488" t="inlineStr">
        <is>
          <t>Sveaskog</t>
        </is>
      </c>
      <c r="G488" t="n">
        <v>2.5</v>
      </c>
      <c r="H488" t="n">
        <v>0</v>
      </c>
      <c r="I488" t="n">
        <v>0</v>
      </c>
      <c r="J488" t="n">
        <v>0</v>
      </c>
      <c r="K488" t="n">
        <v>0</v>
      </c>
      <c r="L488" t="n">
        <v>0</v>
      </c>
      <c r="M488" t="n">
        <v>0</v>
      </c>
      <c r="N488" t="n">
        <v>0</v>
      </c>
      <c r="O488" t="n">
        <v>0</v>
      </c>
      <c r="P488" t="n">
        <v>0</v>
      </c>
      <c r="Q488" t="n">
        <v>0</v>
      </c>
      <c r="R488" s="2" t="inlineStr"/>
    </row>
    <row r="489" ht="15" customHeight="1">
      <c r="A489" t="inlineStr">
        <is>
          <t>A 37501-2022</t>
        </is>
      </c>
      <c r="B489" s="1" t="n">
        <v>44809</v>
      </c>
      <c r="C489" s="1" t="n">
        <v>45834</v>
      </c>
      <c r="D489" t="inlineStr">
        <is>
          <t>DALARNAS LÄN</t>
        </is>
      </c>
      <c r="E489" t="inlineStr">
        <is>
          <t>SMEDJEBACKEN</t>
        </is>
      </c>
      <c r="G489" t="n">
        <v>1.7</v>
      </c>
      <c r="H489" t="n">
        <v>0</v>
      </c>
      <c r="I489" t="n">
        <v>0</v>
      </c>
      <c r="J489" t="n">
        <v>0</v>
      </c>
      <c r="K489" t="n">
        <v>0</v>
      </c>
      <c r="L489" t="n">
        <v>0</v>
      </c>
      <c r="M489" t="n">
        <v>0</v>
      </c>
      <c r="N489" t="n">
        <v>0</v>
      </c>
      <c r="O489" t="n">
        <v>0</v>
      </c>
      <c r="P489" t="n">
        <v>0</v>
      </c>
      <c r="Q489" t="n">
        <v>0</v>
      </c>
      <c r="R489" s="2" t="inlineStr"/>
    </row>
    <row r="490" ht="15" customHeight="1">
      <c r="A490" t="inlineStr">
        <is>
          <t>A 37881-2022</t>
        </is>
      </c>
      <c r="B490" s="1" t="n">
        <v>44811</v>
      </c>
      <c r="C490" s="1" t="n">
        <v>45834</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37884-2022</t>
        </is>
      </c>
      <c r="B491" s="1" t="n">
        <v>44811</v>
      </c>
      <c r="C491" s="1" t="n">
        <v>45834</v>
      </c>
      <c r="D491" t="inlineStr">
        <is>
          <t>DALARNAS LÄN</t>
        </is>
      </c>
      <c r="E491" t="inlineStr">
        <is>
          <t>SMEDJEBACKEN</t>
        </is>
      </c>
      <c r="G491" t="n">
        <v>3.7</v>
      </c>
      <c r="H491" t="n">
        <v>0</v>
      </c>
      <c r="I491" t="n">
        <v>0</v>
      </c>
      <c r="J491" t="n">
        <v>0</v>
      </c>
      <c r="K491" t="n">
        <v>0</v>
      </c>
      <c r="L491" t="n">
        <v>0</v>
      </c>
      <c r="M491" t="n">
        <v>0</v>
      </c>
      <c r="N491" t="n">
        <v>0</v>
      </c>
      <c r="O491" t="n">
        <v>0</v>
      </c>
      <c r="P491" t="n">
        <v>0</v>
      </c>
      <c r="Q491" t="n">
        <v>0</v>
      </c>
      <c r="R491" s="2" t="inlineStr"/>
    </row>
    <row r="492" ht="15" customHeight="1">
      <c r="A492" t="inlineStr">
        <is>
          <t>A 38438-2022</t>
        </is>
      </c>
      <c r="B492" s="1" t="n">
        <v>44813</v>
      </c>
      <c r="C492" s="1" t="n">
        <v>45834</v>
      </c>
      <c r="D492" t="inlineStr">
        <is>
          <t>DALARNAS LÄN</t>
        </is>
      </c>
      <c r="E492" t="inlineStr">
        <is>
          <t>SMEDJEBACKEN</t>
        </is>
      </c>
      <c r="F492" t="inlineStr">
        <is>
          <t>Bergvik skog väst AB</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38439-2022</t>
        </is>
      </c>
      <c r="B493" s="1" t="n">
        <v>44813</v>
      </c>
      <c r="C493" s="1" t="n">
        <v>45834</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38441-2022</t>
        </is>
      </c>
      <c r="B494" s="1" t="n">
        <v>44813</v>
      </c>
      <c r="C494" s="1" t="n">
        <v>45834</v>
      </c>
      <c r="D494" t="inlineStr">
        <is>
          <t>DALARNAS LÄN</t>
        </is>
      </c>
      <c r="E494" t="inlineStr">
        <is>
          <t>SMEDJEBACKEN</t>
        </is>
      </c>
      <c r="F494" t="inlineStr">
        <is>
          <t>Bergvik skog väst AB</t>
        </is>
      </c>
      <c r="G494" t="n">
        <v>10.1</v>
      </c>
      <c r="H494" t="n">
        <v>0</v>
      </c>
      <c r="I494" t="n">
        <v>0</v>
      </c>
      <c r="J494" t="n">
        <v>0</v>
      </c>
      <c r="K494" t="n">
        <v>0</v>
      </c>
      <c r="L494" t="n">
        <v>0</v>
      </c>
      <c r="M494" t="n">
        <v>0</v>
      </c>
      <c r="N494" t="n">
        <v>0</v>
      </c>
      <c r="O494" t="n">
        <v>0</v>
      </c>
      <c r="P494" t="n">
        <v>0</v>
      </c>
      <c r="Q494" t="n">
        <v>0</v>
      </c>
      <c r="R494" s="2" t="inlineStr"/>
    </row>
    <row r="495" ht="15" customHeight="1">
      <c r="A495" t="inlineStr">
        <is>
          <t>A 38440-2022</t>
        </is>
      </c>
      <c r="B495" s="1" t="n">
        <v>44813</v>
      </c>
      <c r="C495" s="1" t="n">
        <v>45834</v>
      </c>
      <c r="D495" t="inlineStr">
        <is>
          <t>DALARNAS LÄN</t>
        </is>
      </c>
      <c r="E495" t="inlineStr">
        <is>
          <t>SMEDJEBACKEN</t>
        </is>
      </c>
      <c r="F495" t="inlineStr">
        <is>
          <t>Bergvik skog väst AB</t>
        </is>
      </c>
      <c r="G495" t="n">
        <v>2.4</v>
      </c>
      <c r="H495" t="n">
        <v>0</v>
      </c>
      <c r="I495" t="n">
        <v>0</v>
      </c>
      <c r="J495" t="n">
        <v>0</v>
      </c>
      <c r="K495" t="n">
        <v>0</v>
      </c>
      <c r="L495" t="n">
        <v>0</v>
      </c>
      <c r="M495" t="n">
        <v>0</v>
      </c>
      <c r="N495" t="n">
        <v>0</v>
      </c>
      <c r="O495" t="n">
        <v>0</v>
      </c>
      <c r="P495" t="n">
        <v>0</v>
      </c>
      <c r="Q495" t="n">
        <v>0</v>
      </c>
      <c r="R495" s="2" t="inlineStr"/>
    </row>
    <row r="496" ht="15" customHeight="1">
      <c r="A496" t="inlineStr">
        <is>
          <t>A 38576-2022</t>
        </is>
      </c>
      <c r="B496" s="1" t="n">
        <v>44813</v>
      </c>
      <c r="C496" s="1" t="n">
        <v>45834</v>
      </c>
      <c r="D496" t="inlineStr">
        <is>
          <t>DALARNAS LÄN</t>
        </is>
      </c>
      <c r="E496" t="inlineStr">
        <is>
          <t>SMEDJEBACKEN</t>
        </is>
      </c>
      <c r="F496" t="inlineStr">
        <is>
          <t>Sveaskog</t>
        </is>
      </c>
      <c r="G496" t="n">
        <v>3.5</v>
      </c>
      <c r="H496" t="n">
        <v>0</v>
      </c>
      <c r="I496" t="n">
        <v>0</v>
      </c>
      <c r="J496" t="n">
        <v>0</v>
      </c>
      <c r="K496" t="n">
        <v>0</v>
      </c>
      <c r="L496" t="n">
        <v>0</v>
      </c>
      <c r="M496" t="n">
        <v>0</v>
      </c>
      <c r="N496" t="n">
        <v>0</v>
      </c>
      <c r="O496" t="n">
        <v>0</v>
      </c>
      <c r="P496" t="n">
        <v>0</v>
      </c>
      <c r="Q496" t="n">
        <v>0</v>
      </c>
      <c r="R496" s="2" t="inlineStr"/>
    </row>
    <row r="497" ht="15" customHeight="1">
      <c r="A497" t="inlineStr">
        <is>
          <t>A 39021-2022</t>
        </is>
      </c>
      <c r="B497" s="1" t="n">
        <v>44817</v>
      </c>
      <c r="C497" s="1" t="n">
        <v>45834</v>
      </c>
      <c r="D497" t="inlineStr">
        <is>
          <t>DALARNAS LÄN</t>
        </is>
      </c>
      <c r="E497" t="inlineStr">
        <is>
          <t>SMEDJEBACKEN</t>
        </is>
      </c>
      <c r="F497" t="inlineStr">
        <is>
          <t>Bergvik skog väst AB</t>
        </is>
      </c>
      <c r="G497" t="n">
        <v>3.7</v>
      </c>
      <c r="H497" t="n">
        <v>0</v>
      </c>
      <c r="I497" t="n">
        <v>0</v>
      </c>
      <c r="J497" t="n">
        <v>0</v>
      </c>
      <c r="K497" t="n">
        <v>0</v>
      </c>
      <c r="L497" t="n">
        <v>0</v>
      </c>
      <c r="M497" t="n">
        <v>0</v>
      </c>
      <c r="N497" t="n">
        <v>0</v>
      </c>
      <c r="O497" t="n">
        <v>0</v>
      </c>
      <c r="P497" t="n">
        <v>0</v>
      </c>
      <c r="Q497" t="n">
        <v>0</v>
      </c>
      <c r="R497" s="2" t="inlineStr"/>
    </row>
    <row r="498" ht="15" customHeight="1">
      <c r="A498" t="inlineStr">
        <is>
          <t>A 39131-2022</t>
        </is>
      </c>
      <c r="B498" s="1" t="n">
        <v>44817</v>
      </c>
      <c r="C498" s="1" t="n">
        <v>45834</v>
      </c>
      <c r="D498" t="inlineStr">
        <is>
          <t>DALARNAS LÄN</t>
        </is>
      </c>
      <c r="E498" t="inlineStr">
        <is>
          <t>SMEDJEBACKEN</t>
        </is>
      </c>
      <c r="F498" t="inlineStr">
        <is>
          <t>Bergvik skog väst AB</t>
        </is>
      </c>
      <c r="G498" t="n">
        <v>1.7</v>
      </c>
      <c r="H498" t="n">
        <v>0</v>
      </c>
      <c r="I498" t="n">
        <v>0</v>
      </c>
      <c r="J498" t="n">
        <v>0</v>
      </c>
      <c r="K498" t="n">
        <v>0</v>
      </c>
      <c r="L498" t="n">
        <v>0</v>
      </c>
      <c r="M498" t="n">
        <v>0</v>
      </c>
      <c r="N498" t="n">
        <v>0</v>
      </c>
      <c r="O498" t="n">
        <v>0</v>
      </c>
      <c r="P498" t="n">
        <v>0</v>
      </c>
      <c r="Q498" t="n">
        <v>0</v>
      </c>
      <c r="R498" s="2" t="inlineStr"/>
    </row>
    <row r="499" ht="15" customHeight="1">
      <c r="A499" t="inlineStr">
        <is>
          <t>A 40119-2022</t>
        </is>
      </c>
      <c r="B499" s="1" t="n">
        <v>44820</v>
      </c>
      <c r="C499" s="1" t="n">
        <v>45834</v>
      </c>
      <c r="D499" t="inlineStr">
        <is>
          <t>DALARNAS LÄN</t>
        </is>
      </c>
      <c r="E499" t="inlineStr">
        <is>
          <t>SMEDJEBACKEN</t>
        </is>
      </c>
      <c r="F499" t="inlineStr">
        <is>
          <t>Bergvik skog väst AB</t>
        </is>
      </c>
      <c r="G499" t="n">
        <v>7.6</v>
      </c>
      <c r="H499" t="n">
        <v>0</v>
      </c>
      <c r="I499" t="n">
        <v>0</v>
      </c>
      <c r="J499" t="n">
        <v>0</v>
      </c>
      <c r="K499" t="n">
        <v>0</v>
      </c>
      <c r="L499" t="n">
        <v>0</v>
      </c>
      <c r="M499" t="n">
        <v>0</v>
      </c>
      <c r="N499" t="n">
        <v>0</v>
      </c>
      <c r="O499" t="n">
        <v>0</v>
      </c>
      <c r="P499" t="n">
        <v>0</v>
      </c>
      <c r="Q499" t="n">
        <v>0</v>
      </c>
      <c r="R499" s="2" t="inlineStr"/>
    </row>
    <row r="500" ht="15" customHeight="1">
      <c r="A500" t="inlineStr">
        <is>
          <t>A 40644-2022</t>
        </is>
      </c>
      <c r="B500" s="1" t="n">
        <v>44824</v>
      </c>
      <c r="C500" s="1" t="n">
        <v>45834</v>
      </c>
      <c r="D500" t="inlineStr">
        <is>
          <t>DALARNAS LÄN</t>
        </is>
      </c>
      <c r="E500" t="inlineStr">
        <is>
          <t>SMEDJEBACKEN</t>
        </is>
      </c>
      <c r="F500" t="inlineStr">
        <is>
          <t>Sveaskog</t>
        </is>
      </c>
      <c r="G500" t="n">
        <v>18.7</v>
      </c>
      <c r="H500" t="n">
        <v>0</v>
      </c>
      <c r="I500" t="n">
        <v>0</v>
      </c>
      <c r="J500" t="n">
        <v>0</v>
      </c>
      <c r="K500" t="n">
        <v>0</v>
      </c>
      <c r="L500" t="n">
        <v>0</v>
      </c>
      <c r="M500" t="n">
        <v>0</v>
      </c>
      <c r="N500" t="n">
        <v>0</v>
      </c>
      <c r="O500" t="n">
        <v>0</v>
      </c>
      <c r="P500" t="n">
        <v>0</v>
      </c>
      <c r="Q500" t="n">
        <v>0</v>
      </c>
      <c r="R500" s="2" t="inlineStr"/>
    </row>
    <row r="501" ht="15" customHeight="1">
      <c r="A501" t="inlineStr">
        <is>
          <t>A 41337-2022</t>
        </is>
      </c>
      <c r="B501" s="1" t="n">
        <v>44826</v>
      </c>
      <c r="C501" s="1" t="n">
        <v>45834</v>
      </c>
      <c r="D501" t="inlineStr">
        <is>
          <t>DALARNAS LÄN</t>
        </is>
      </c>
      <c r="E501" t="inlineStr">
        <is>
          <t>SMEDJEBACKEN</t>
        </is>
      </c>
      <c r="G501" t="n">
        <v>1.5</v>
      </c>
      <c r="H501" t="n">
        <v>0</v>
      </c>
      <c r="I501" t="n">
        <v>0</v>
      </c>
      <c r="J501" t="n">
        <v>0</v>
      </c>
      <c r="K501" t="n">
        <v>0</v>
      </c>
      <c r="L501" t="n">
        <v>0</v>
      </c>
      <c r="M501" t="n">
        <v>0</v>
      </c>
      <c r="N501" t="n">
        <v>0</v>
      </c>
      <c r="O501" t="n">
        <v>0</v>
      </c>
      <c r="P501" t="n">
        <v>0</v>
      </c>
      <c r="Q501" t="n">
        <v>0</v>
      </c>
      <c r="R501" s="2" t="inlineStr"/>
    </row>
    <row r="502" ht="15" customHeight="1">
      <c r="A502" t="inlineStr">
        <is>
          <t>A 41730-2022</t>
        </is>
      </c>
      <c r="B502" s="1" t="n">
        <v>44827</v>
      </c>
      <c r="C502" s="1" t="n">
        <v>45834</v>
      </c>
      <c r="D502" t="inlineStr">
        <is>
          <t>DALARNAS LÄN</t>
        </is>
      </c>
      <c r="E502" t="inlineStr">
        <is>
          <t>SMEDJEBACKEN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45834</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45834</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45834</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45834</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45834</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45834</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45834</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45834</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45834</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45834</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45834</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45834</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45834</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45834</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45834</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45834</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45834</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45834</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45834</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45834</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45834</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45834</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45834</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45834</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45834</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45834</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45834</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45834</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45834</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45834</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45834</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45834</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45834</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45834</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45834</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45834</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45834</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45834</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45834</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45834</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45834</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45834</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45834</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45834</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45834</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45834</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45834</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45834</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45834</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45834</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45834</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45834</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45834</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45834</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45834</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45834</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45834</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45834</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45834</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45834</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45834</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45834</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45834</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45834</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45834</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45834</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45834</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45834</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45834</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45834</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45834</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45834</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45834</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45834</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45834</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45834</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45834</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45834</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45834</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45834</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13367-2023</t>
        </is>
      </c>
      <c r="B583" s="1" t="n">
        <v>45005</v>
      </c>
      <c r="C583" s="1" t="n">
        <v>45834</v>
      </c>
      <c r="D583" t="inlineStr">
        <is>
          <t>DALARNAS LÄN</t>
        </is>
      </c>
      <c r="E583" t="inlineStr">
        <is>
          <t>SMEDJEBACKEN</t>
        </is>
      </c>
      <c r="G583" t="n">
        <v>13.5</v>
      </c>
      <c r="H583" t="n">
        <v>0</v>
      </c>
      <c r="I583" t="n">
        <v>0</v>
      </c>
      <c r="J583" t="n">
        <v>0</v>
      </c>
      <c r="K583" t="n">
        <v>0</v>
      </c>
      <c r="L583" t="n">
        <v>0</v>
      </c>
      <c r="M583" t="n">
        <v>0</v>
      </c>
      <c r="N583" t="n">
        <v>0</v>
      </c>
      <c r="O583" t="n">
        <v>0</v>
      </c>
      <c r="P583" t="n">
        <v>0</v>
      </c>
      <c r="Q583" t="n">
        <v>0</v>
      </c>
      <c r="R583" s="2" t="inlineStr"/>
    </row>
    <row r="584" ht="15" customHeight="1">
      <c r="A584" t="inlineStr">
        <is>
          <t>A 13633-2023</t>
        </is>
      </c>
      <c r="B584" s="1" t="n">
        <v>45006</v>
      </c>
      <c r="C584" s="1" t="n">
        <v>45834</v>
      </c>
      <c r="D584" t="inlineStr">
        <is>
          <t>DALARNAS LÄN</t>
        </is>
      </c>
      <c r="E584" t="inlineStr">
        <is>
          <t>SMEDJEBACKEN</t>
        </is>
      </c>
      <c r="G584" t="n">
        <v>1.9</v>
      </c>
      <c r="H584" t="n">
        <v>0</v>
      </c>
      <c r="I584" t="n">
        <v>0</v>
      </c>
      <c r="J584" t="n">
        <v>0</v>
      </c>
      <c r="K584" t="n">
        <v>0</v>
      </c>
      <c r="L584" t="n">
        <v>0</v>
      </c>
      <c r="M584" t="n">
        <v>0</v>
      </c>
      <c r="N584" t="n">
        <v>0</v>
      </c>
      <c r="O584" t="n">
        <v>0</v>
      </c>
      <c r="P584" t="n">
        <v>0</v>
      </c>
      <c r="Q584" t="n">
        <v>0</v>
      </c>
      <c r="R584" s="2" t="inlineStr"/>
    </row>
    <row r="585" ht="15" customHeight="1">
      <c r="A585" t="inlineStr">
        <is>
          <t>A 14119-2023</t>
        </is>
      </c>
      <c r="B585" s="1" t="n">
        <v>45009</v>
      </c>
      <c r="C585" s="1" t="n">
        <v>45834</v>
      </c>
      <c r="D585" t="inlineStr">
        <is>
          <t>DALARNAS LÄN</t>
        </is>
      </c>
      <c r="E585" t="inlineStr">
        <is>
          <t>SMEDJEBACKEN</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14462-2023</t>
        </is>
      </c>
      <c r="B586" s="1" t="n">
        <v>45012</v>
      </c>
      <c r="C586" s="1" t="n">
        <v>45834</v>
      </c>
      <c r="D586" t="inlineStr">
        <is>
          <t>DALARNAS LÄN</t>
        </is>
      </c>
      <c r="E586" t="inlineStr">
        <is>
          <t>SMEDJEBACKEN</t>
        </is>
      </c>
      <c r="G586" t="n">
        <v>1.4</v>
      </c>
      <c r="H586" t="n">
        <v>0</v>
      </c>
      <c r="I586" t="n">
        <v>0</v>
      </c>
      <c r="J586" t="n">
        <v>0</v>
      </c>
      <c r="K586" t="n">
        <v>0</v>
      </c>
      <c r="L586" t="n">
        <v>0</v>
      </c>
      <c r="M586" t="n">
        <v>0</v>
      </c>
      <c r="N586" t="n">
        <v>0</v>
      </c>
      <c r="O586" t="n">
        <v>0</v>
      </c>
      <c r="P586" t="n">
        <v>0</v>
      </c>
      <c r="Q586" t="n">
        <v>0</v>
      </c>
      <c r="R586" s="2" t="inlineStr"/>
    </row>
    <row r="587" ht="15" customHeight="1">
      <c r="A587" t="inlineStr">
        <is>
          <t>A 14453-2023</t>
        </is>
      </c>
      <c r="B587" s="1" t="n">
        <v>45012</v>
      </c>
      <c r="C587" s="1" t="n">
        <v>45834</v>
      </c>
      <c r="D587" t="inlineStr">
        <is>
          <t>DALARNAS LÄN</t>
        </is>
      </c>
      <c r="E587" t="inlineStr">
        <is>
          <t>SMEDJEBACKEN</t>
        </is>
      </c>
      <c r="G587" t="n">
        <v>2</v>
      </c>
      <c r="H587" t="n">
        <v>0</v>
      </c>
      <c r="I587" t="n">
        <v>0</v>
      </c>
      <c r="J587" t="n">
        <v>0</v>
      </c>
      <c r="K587" t="n">
        <v>0</v>
      </c>
      <c r="L587" t="n">
        <v>0</v>
      </c>
      <c r="M587" t="n">
        <v>0</v>
      </c>
      <c r="N587" t="n">
        <v>0</v>
      </c>
      <c r="O587" t="n">
        <v>0</v>
      </c>
      <c r="P587" t="n">
        <v>0</v>
      </c>
      <c r="Q587" t="n">
        <v>0</v>
      </c>
      <c r="R587" s="2" t="inlineStr"/>
    </row>
    <row r="588" ht="15" customHeight="1">
      <c r="A588" t="inlineStr">
        <is>
          <t>A 14843-2023</t>
        </is>
      </c>
      <c r="B588" s="1" t="n">
        <v>45014</v>
      </c>
      <c r="C588" s="1" t="n">
        <v>45834</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15211-2023</t>
        </is>
      </c>
      <c r="B589" s="1" t="n">
        <v>45018</v>
      </c>
      <c r="C589" s="1" t="n">
        <v>45834</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15360-2023</t>
        </is>
      </c>
      <c r="B590" s="1" t="n">
        <v>45019</v>
      </c>
      <c r="C590" s="1" t="n">
        <v>45834</v>
      </c>
      <c r="D590" t="inlineStr">
        <is>
          <t>DALARNAS LÄN</t>
        </is>
      </c>
      <c r="E590" t="inlineStr">
        <is>
          <t>SMEDJEBACKEN</t>
        </is>
      </c>
      <c r="G590" t="n">
        <v>1.3</v>
      </c>
      <c r="H590" t="n">
        <v>0</v>
      </c>
      <c r="I590" t="n">
        <v>0</v>
      </c>
      <c r="J590" t="n">
        <v>0</v>
      </c>
      <c r="K590" t="n">
        <v>0</v>
      </c>
      <c r="L590" t="n">
        <v>0</v>
      </c>
      <c r="M590" t="n">
        <v>0</v>
      </c>
      <c r="N590" t="n">
        <v>0</v>
      </c>
      <c r="O590" t="n">
        <v>0</v>
      </c>
      <c r="P590" t="n">
        <v>0</v>
      </c>
      <c r="Q590" t="n">
        <v>0</v>
      </c>
      <c r="R590" s="2" t="inlineStr"/>
    </row>
    <row r="591" ht="15" customHeight="1">
      <c r="A591" t="inlineStr">
        <is>
          <t>A 15786-2023</t>
        </is>
      </c>
      <c r="B591" s="1" t="n">
        <v>45021</v>
      </c>
      <c r="C591" s="1" t="n">
        <v>45834</v>
      </c>
      <c r="D591" t="inlineStr">
        <is>
          <t>DALARNAS LÄN</t>
        </is>
      </c>
      <c r="E591" t="inlineStr">
        <is>
          <t>SMEDJEBACKEN</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16048-2023</t>
        </is>
      </c>
      <c r="B592" s="1" t="n">
        <v>45027</v>
      </c>
      <c r="C592" s="1" t="n">
        <v>45834</v>
      </c>
      <c r="D592" t="inlineStr">
        <is>
          <t>DALARNAS LÄN</t>
        </is>
      </c>
      <c r="E592" t="inlineStr">
        <is>
          <t>SMEDJEBACKEN</t>
        </is>
      </c>
      <c r="G592" t="n">
        <v>13.1</v>
      </c>
      <c r="H592" t="n">
        <v>0</v>
      </c>
      <c r="I592" t="n">
        <v>0</v>
      </c>
      <c r="J592" t="n">
        <v>0</v>
      </c>
      <c r="K592" t="n">
        <v>0</v>
      </c>
      <c r="L592" t="n">
        <v>0</v>
      </c>
      <c r="M592" t="n">
        <v>0</v>
      </c>
      <c r="N592" t="n">
        <v>0</v>
      </c>
      <c r="O592" t="n">
        <v>0</v>
      </c>
      <c r="P592" t="n">
        <v>0</v>
      </c>
      <c r="Q592" t="n">
        <v>0</v>
      </c>
      <c r="R592" s="2" t="inlineStr"/>
    </row>
    <row r="593" ht="15" customHeight="1">
      <c r="A593" t="inlineStr">
        <is>
          <t>A 16687-2023</t>
        </is>
      </c>
      <c r="B593" s="1" t="n">
        <v>45030</v>
      </c>
      <c r="C593" s="1" t="n">
        <v>45834</v>
      </c>
      <c r="D593" t="inlineStr">
        <is>
          <t>DALARNAS LÄN</t>
        </is>
      </c>
      <c r="E593" t="inlineStr">
        <is>
          <t>SMEDJEBACKEN</t>
        </is>
      </c>
      <c r="G593" t="n">
        <v>17.8</v>
      </c>
      <c r="H593" t="n">
        <v>0</v>
      </c>
      <c r="I593" t="n">
        <v>0</v>
      </c>
      <c r="J593" t="n">
        <v>0</v>
      </c>
      <c r="K593" t="n">
        <v>0</v>
      </c>
      <c r="L593" t="n">
        <v>0</v>
      </c>
      <c r="M593" t="n">
        <v>0</v>
      </c>
      <c r="N593" t="n">
        <v>0</v>
      </c>
      <c r="O593" t="n">
        <v>0</v>
      </c>
      <c r="P593" t="n">
        <v>0</v>
      </c>
      <c r="Q593" t="n">
        <v>0</v>
      </c>
      <c r="R593" s="2" t="inlineStr"/>
    </row>
    <row r="594" ht="15" customHeight="1">
      <c r="A594" t="inlineStr">
        <is>
          <t>A 16713-2023</t>
        </is>
      </c>
      <c r="B594" s="1" t="n">
        <v>45030</v>
      </c>
      <c r="C594" s="1" t="n">
        <v>45834</v>
      </c>
      <c r="D594" t="inlineStr">
        <is>
          <t>DALARNAS LÄN</t>
        </is>
      </c>
      <c r="E594" t="inlineStr">
        <is>
          <t>SMEDJEBACKEN</t>
        </is>
      </c>
      <c r="G594" t="n">
        <v>18.8</v>
      </c>
      <c r="H594" t="n">
        <v>0</v>
      </c>
      <c r="I594" t="n">
        <v>0</v>
      </c>
      <c r="J594" t="n">
        <v>0</v>
      </c>
      <c r="K594" t="n">
        <v>0</v>
      </c>
      <c r="L594" t="n">
        <v>0</v>
      </c>
      <c r="M594" t="n">
        <v>0</v>
      </c>
      <c r="N594" t="n">
        <v>0</v>
      </c>
      <c r="O594" t="n">
        <v>0</v>
      </c>
      <c r="P594" t="n">
        <v>0</v>
      </c>
      <c r="Q594" t="n">
        <v>0</v>
      </c>
      <c r="R594" s="2" t="inlineStr"/>
    </row>
    <row r="595" ht="15" customHeight="1">
      <c r="A595" t="inlineStr">
        <is>
          <t>A 16870-2023</t>
        </is>
      </c>
      <c r="B595" s="1" t="n">
        <v>45033</v>
      </c>
      <c r="C595" s="1" t="n">
        <v>45834</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16886-2023</t>
        </is>
      </c>
      <c r="B596" s="1" t="n">
        <v>45033</v>
      </c>
      <c r="C596" s="1" t="n">
        <v>45834</v>
      </c>
      <c r="D596" t="inlineStr">
        <is>
          <t>DALARNAS LÄN</t>
        </is>
      </c>
      <c r="E596" t="inlineStr">
        <is>
          <t>SMEDJEBACKEN</t>
        </is>
      </c>
      <c r="G596" t="n">
        <v>2.7</v>
      </c>
      <c r="H596" t="n">
        <v>0</v>
      </c>
      <c r="I596" t="n">
        <v>0</v>
      </c>
      <c r="J596" t="n">
        <v>0</v>
      </c>
      <c r="K596" t="n">
        <v>0</v>
      </c>
      <c r="L596" t="n">
        <v>0</v>
      </c>
      <c r="M596" t="n">
        <v>0</v>
      </c>
      <c r="N596" t="n">
        <v>0</v>
      </c>
      <c r="O596" t="n">
        <v>0</v>
      </c>
      <c r="P596" t="n">
        <v>0</v>
      </c>
      <c r="Q596" t="n">
        <v>0</v>
      </c>
      <c r="R596" s="2" t="inlineStr"/>
    </row>
    <row r="597" ht="15" customHeight="1">
      <c r="A597" t="inlineStr">
        <is>
          <t>A 17472-2023</t>
        </is>
      </c>
      <c r="B597" s="1" t="n">
        <v>45034</v>
      </c>
      <c r="C597" s="1" t="n">
        <v>45834</v>
      </c>
      <c r="D597" t="inlineStr">
        <is>
          <t>DALARNAS LÄN</t>
        </is>
      </c>
      <c r="E597" t="inlineStr">
        <is>
          <t>SMEDJEBACKEN</t>
        </is>
      </c>
      <c r="G597" t="n">
        <v>1.1</v>
      </c>
      <c r="H597" t="n">
        <v>0</v>
      </c>
      <c r="I597" t="n">
        <v>0</v>
      </c>
      <c r="J597" t="n">
        <v>0</v>
      </c>
      <c r="K597" t="n">
        <v>0</v>
      </c>
      <c r="L597" t="n">
        <v>0</v>
      </c>
      <c r="M597" t="n">
        <v>0</v>
      </c>
      <c r="N597" t="n">
        <v>0</v>
      </c>
      <c r="O597" t="n">
        <v>0</v>
      </c>
      <c r="P597" t="n">
        <v>0</v>
      </c>
      <c r="Q597" t="n">
        <v>0</v>
      </c>
      <c r="R597" s="2" t="inlineStr"/>
    </row>
    <row r="598" ht="15" customHeight="1">
      <c r="A598" t="inlineStr">
        <is>
          <t>A 17834-2023</t>
        </is>
      </c>
      <c r="B598" s="1" t="n">
        <v>45037</v>
      </c>
      <c r="C598" s="1" t="n">
        <v>45834</v>
      </c>
      <c r="D598" t="inlineStr">
        <is>
          <t>DALARNAS LÄN</t>
        </is>
      </c>
      <c r="E598" t="inlineStr">
        <is>
          <t>SMEDJEBACKEN</t>
        </is>
      </c>
      <c r="G598" t="n">
        <v>1</v>
      </c>
      <c r="H598" t="n">
        <v>0</v>
      </c>
      <c r="I598" t="n">
        <v>0</v>
      </c>
      <c r="J598" t="n">
        <v>0</v>
      </c>
      <c r="K598" t="n">
        <v>0</v>
      </c>
      <c r="L598" t="n">
        <v>0</v>
      </c>
      <c r="M598" t="n">
        <v>0</v>
      </c>
      <c r="N598" t="n">
        <v>0</v>
      </c>
      <c r="O598" t="n">
        <v>0</v>
      </c>
      <c r="P598" t="n">
        <v>0</v>
      </c>
      <c r="Q598" t="n">
        <v>0</v>
      </c>
      <c r="R598" s="2" t="inlineStr"/>
    </row>
    <row r="599" ht="15" customHeight="1">
      <c r="A599" t="inlineStr">
        <is>
          <t>A 18007-2023</t>
        </is>
      </c>
      <c r="B599" s="1" t="n">
        <v>45040</v>
      </c>
      <c r="C599" s="1" t="n">
        <v>45834</v>
      </c>
      <c r="D599" t="inlineStr">
        <is>
          <t>DALARNAS LÄN</t>
        </is>
      </c>
      <c r="E599" t="inlineStr">
        <is>
          <t>SMEDJEBACKEN</t>
        </is>
      </c>
      <c r="G599" t="n">
        <v>4.4</v>
      </c>
      <c r="H599" t="n">
        <v>0</v>
      </c>
      <c r="I599" t="n">
        <v>0</v>
      </c>
      <c r="J599" t="n">
        <v>0</v>
      </c>
      <c r="K599" t="n">
        <v>0</v>
      </c>
      <c r="L599" t="n">
        <v>0</v>
      </c>
      <c r="M599" t="n">
        <v>0</v>
      </c>
      <c r="N599" t="n">
        <v>0</v>
      </c>
      <c r="O599" t="n">
        <v>0</v>
      </c>
      <c r="P599" t="n">
        <v>0</v>
      </c>
      <c r="Q599" t="n">
        <v>0</v>
      </c>
      <c r="R599" s="2" t="inlineStr"/>
    </row>
    <row r="600" ht="15" customHeight="1">
      <c r="A600" t="inlineStr">
        <is>
          <t>A 18177-2023</t>
        </is>
      </c>
      <c r="B600" s="1" t="n">
        <v>45041</v>
      </c>
      <c r="C600" s="1" t="n">
        <v>45834</v>
      </c>
      <c r="D600" t="inlineStr">
        <is>
          <t>DALARNAS LÄN</t>
        </is>
      </c>
      <c r="E600" t="inlineStr">
        <is>
          <t>SMEDJEBACKEN</t>
        </is>
      </c>
      <c r="G600" t="n">
        <v>24.8</v>
      </c>
      <c r="H600" t="n">
        <v>0</v>
      </c>
      <c r="I600" t="n">
        <v>0</v>
      </c>
      <c r="J600" t="n">
        <v>0</v>
      </c>
      <c r="K600" t="n">
        <v>0</v>
      </c>
      <c r="L600" t="n">
        <v>0</v>
      </c>
      <c r="M600" t="n">
        <v>0</v>
      </c>
      <c r="N600" t="n">
        <v>0</v>
      </c>
      <c r="O600" t="n">
        <v>0</v>
      </c>
      <c r="P600" t="n">
        <v>0</v>
      </c>
      <c r="Q600" t="n">
        <v>0</v>
      </c>
      <c r="R600" s="2" t="inlineStr"/>
    </row>
    <row r="601" ht="15" customHeight="1">
      <c r="A601" t="inlineStr">
        <is>
          <t>A 18294-2023</t>
        </is>
      </c>
      <c r="B601" s="1" t="n">
        <v>45041</v>
      </c>
      <c r="C601" s="1" t="n">
        <v>45834</v>
      </c>
      <c r="D601" t="inlineStr">
        <is>
          <t>DALARNAS LÄN</t>
        </is>
      </c>
      <c r="E601" t="inlineStr">
        <is>
          <t>SMEDJEBACKEN</t>
        </is>
      </c>
      <c r="G601" t="n">
        <v>0.7</v>
      </c>
      <c r="H601" t="n">
        <v>0</v>
      </c>
      <c r="I601" t="n">
        <v>0</v>
      </c>
      <c r="J601" t="n">
        <v>0</v>
      </c>
      <c r="K601" t="n">
        <v>0</v>
      </c>
      <c r="L601" t="n">
        <v>0</v>
      </c>
      <c r="M601" t="n">
        <v>0</v>
      </c>
      <c r="N601" t="n">
        <v>0</v>
      </c>
      <c r="O601" t="n">
        <v>0</v>
      </c>
      <c r="P601" t="n">
        <v>0</v>
      </c>
      <c r="Q601" t="n">
        <v>0</v>
      </c>
      <c r="R601" s="2" t="inlineStr"/>
    </row>
    <row r="602" ht="15" customHeight="1">
      <c r="A602" t="inlineStr">
        <is>
          <t>A 19410-2023</t>
        </is>
      </c>
      <c r="B602" s="1" t="n">
        <v>45049</v>
      </c>
      <c r="C602" s="1" t="n">
        <v>45834</v>
      </c>
      <c r="D602" t="inlineStr">
        <is>
          <t>DALARNAS LÄN</t>
        </is>
      </c>
      <c r="E602" t="inlineStr">
        <is>
          <t>SMEDJEBACKEN</t>
        </is>
      </c>
      <c r="F602" t="inlineStr">
        <is>
          <t>Övriga Aktiebolag</t>
        </is>
      </c>
      <c r="G602" t="n">
        <v>12.2</v>
      </c>
      <c r="H602" t="n">
        <v>0</v>
      </c>
      <c r="I602" t="n">
        <v>0</v>
      </c>
      <c r="J602" t="n">
        <v>0</v>
      </c>
      <c r="K602" t="n">
        <v>0</v>
      </c>
      <c r="L602" t="n">
        <v>0</v>
      </c>
      <c r="M602" t="n">
        <v>0</v>
      </c>
      <c r="N602" t="n">
        <v>0</v>
      </c>
      <c r="O602" t="n">
        <v>0</v>
      </c>
      <c r="P602" t="n">
        <v>0</v>
      </c>
      <c r="Q602" t="n">
        <v>0</v>
      </c>
      <c r="R602" s="2" t="inlineStr"/>
    </row>
    <row r="603" ht="15" customHeight="1">
      <c r="A603" t="inlineStr">
        <is>
          <t>A 19712-2023</t>
        </is>
      </c>
      <c r="B603" s="1" t="n">
        <v>45051</v>
      </c>
      <c r="C603" s="1" t="n">
        <v>45834</v>
      </c>
      <c r="D603" t="inlineStr">
        <is>
          <t>DALARNAS LÄN</t>
        </is>
      </c>
      <c r="E603" t="inlineStr">
        <is>
          <t>SMEDJEBACKEN</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20654-2023</t>
        </is>
      </c>
      <c r="B604" s="1" t="n">
        <v>45058</v>
      </c>
      <c r="C604" s="1" t="n">
        <v>45834</v>
      </c>
      <c r="D604" t="inlineStr">
        <is>
          <t>DALARNAS LÄN</t>
        </is>
      </c>
      <c r="E604" t="inlineStr">
        <is>
          <t>SMEDJEBACKEN</t>
        </is>
      </c>
      <c r="G604" t="n">
        <v>1.3</v>
      </c>
      <c r="H604" t="n">
        <v>0</v>
      </c>
      <c r="I604" t="n">
        <v>0</v>
      </c>
      <c r="J604" t="n">
        <v>0</v>
      </c>
      <c r="K604" t="n">
        <v>0</v>
      </c>
      <c r="L604" t="n">
        <v>0</v>
      </c>
      <c r="M604" t="n">
        <v>0</v>
      </c>
      <c r="N604" t="n">
        <v>0</v>
      </c>
      <c r="O604" t="n">
        <v>0</v>
      </c>
      <c r="P604" t="n">
        <v>0</v>
      </c>
      <c r="Q604" t="n">
        <v>0</v>
      </c>
      <c r="R604" s="2" t="inlineStr"/>
    </row>
    <row r="605" ht="15" customHeight="1">
      <c r="A605" t="inlineStr">
        <is>
          <t>A 21224-2023</t>
        </is>
      </c>
      <c r="B605" s="1" t="n">
        <v>45062</v>
      </c>
      <c r="C605" s="1" t="n">
        <v>45834</v>
      </c>
      <c r="D605" t="inlineStr">
        <is>
          <t>DALARNAS LÄN</t>
        </is>
      </c>
      <c r="E605" t="inlineStr">
        <is>
          <t>SMEDJEBACKEN</t>
        </is>
      </c>
      <c r="G605" t="n">
        <v>14</v>
      </c>
      <c r="H605" t="n">
        <v>0</v>
      </c>
      <c r="I605" t="n">
        <v>0</v>
      </c>
      <c r="J605" t="n">
        <v>0</v>
      </c>
      <c r="K605" t="n">
        <v>0</v>
      </c>
      <c r="L605" t="n">
        <v>0</v>
      </c>
      <c r="M605" t="n">
        <v>0</v>
      </c>
      <c r="N605" t="n">
        <v>0</v>
      </c>
      <c r="O605" t="n">
        <v>0</v>
      </c>
      <c r="P605" t="n">
        <v>0</v>
      </c>
      <c r="Q605" t="n">
        <v>0</v>
      </c>
      <c r="R605" s="2" t="inlineStr"/>
    </row>
    <row r="606" ht="15" customHeight="1">
      <c r="A606" t="inlineStr">
        <is>
          <t>A 21166-2023</t>
        </is>
      </c>
      <c r="B606" s="1" t="n">
        <v>45062</v>
      </c>
      <c r="C606" s="1" t="n">
        <v>45834</v>
      </c>
      <c r="D606" t="inlineStr">
        <is>
          <t>DALARNAS LÄN</t>
        </is>
      </c>
      <c r="E606" t="inlineStr">
        <is>
          <t>SMEDJEBACKEN</t>
        </is>
      </c>
      <c r="G606" t="n">
        <v>3.1</v>
      </c>
      <c r="H606" t="n">
        <v>0</v>
      </c>
      <c r="I606" t="n">
        <v>0</v>
      </c>
      <c r="J606" t="n">
        <v>0</v>
      </c>
      <c r="K606" t="n">
        <v>0</v>
      </c>
      <c r="L606" t="n">
        <v>0</v>
      </c>
      <c r="M606" t="n">
        <v>0</v>
      </c>
      <c r="N606" t="n">
        <v>0</v>
      </c>
      <c r="O606" t="n">
        <v>0</v>
      </c>
      <c r="P606" t="n">
        <v>0</v>
      </c>
      <c r="Q606" t="n">
        <v>0</v>
      </c>
      <c r="R606" s="2" t="inlineStr"/>
    </row>
    <row r="607" ht="15" customHeight="1">
      <c r="A607" t="inlineStr">
        <is>
          <t>A 21263-2023</t>
        </is>
      </c>
      <c r="B607" s="1" t="n">
        <v>45062</v>
      </c>
      <c r="C607" s="1" t="n">
        <v>45834</v>
      </c>
      <c r="D607" t="inlineStr">
        <is>
          <t>DALARNAS LÄN</t>
        </is>
      </c>
      <c r="E607" t="inlineStr">
        <is>
          <t>SMEDJEBACKEN</t>
        </is>
      </c>
      <c r="F607" t="inlineStr">
        <is>
          <t>Bergvik skog väst AB</t>
        </is>
      </c>
      <c r="G607" t="n">
        <v>5</v>
      </c>
      <c r="H607" t="n">
        <v>0</v>
      </c>
      <c r="I607" t="n">
        <v>0</v>
      </c>
      <c r="J607" t="n">
        <v>0</v>
      </c>
      <c r="K607" t="n">
        <v>0</v>
      </c>
      <c r="L607" t="n">
        <v>0</v>
      </c>
      <c r="M607" t="n">
        <v>0</v>
      </c>
      <c r="N607" t="n">
        <v>0</v>
      </c>
      <c r="O607" t="n">
        <v>0</v>
      </c>
      <c r="P607" t="n">
        <v>0</v>
      </c>
      <c r="Q607" t="n">
        <v>0</v>
      </c>
      <c r="R607" s="2" t="inlineStr"/>
    </row>
    <row r="608" ht="15" customHeight="1">
      <c r="A608" t="inlineStr">
        <is>
          <t>A 21443-2023</t>
        </is>
      </c>
      <c r="B608" s="1" t="n">
        <v>45063</v>
      </c>
      <c r="C608" s="1" t="n">
        <v>45834</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21375-2023</t>
        </is>
      </c>
      <c r="B609" s="1" t="n">
        <v>45063</v>
      </c>
      <c r="C609" s="1" t="n">
        <v>45834</v>
      </c>
      <c r="D609" t="inlineStr">
        <is>
          <t>DALARNAS LÄN</t>
        </is>
      </c>
      <c r="E609" t="inlineStr">
        <is>
          <t>SMEDJEBACKEN</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21427-2023</t>
        </is>
      </c>
      <c r="B610" s="1" t="n">
        <v>45063</v>
      </c>
      <c r="C610" s="1" t="n">
        <v>45834</v>
      </c>
      <c r="D610" t="inlineStr">
        <is>
          <t>DALARNAS LÄN</t>
        </is>
      </c>
      <c r="E610" t="inlineStr">
        <is>
          <t>SMEDJEBACKEN</t>
        </is>
      </c>
      <c r="F610" t="inlineStr">
        <is>
          <t>Bergvik skog väst AB</t>
        </is>
      </c>
      <c r="G610" t="n">
        <v>3.5</v>
      </c>
      <c r="H610" t="n">
        <v>0</v>
      </c>
      <c r="I610" t="n">
        <v>0</v>
      </c>
      <c r="J610" t="n">
        <v>0</v>
      </c>
      <c r="K610" t="n">
        <v>0</v>
      </c>
      <c r="L610" t="n">
        <v>0</v>
      </c>
      <c r="M610" t="n">
        <v>0</v>
      </c>
      <c r="N610" t="n">
        <v>0</v>
      </c>
      <c r="O610" t="n">
        <v>0</v>
      </c>
      <c r="P610" t="n">
        <v>0</v>
      </c>
      <c r="Q610" t="n">
        <v>0</v>
      </c>
      <c r="R610" s="2" t="inlineStr"/>
    </row>
    <row r="611" ht="15" customHeight="1">
      <c r="A611" t="inlineStr">
        <is>
          <t>A 21400-2023</t>
        </is>
      </c>
      <c r="B611" s="1" t="n">
        <v>45063</v>
      </c>
      <c r="C611" s="1" t="n">
        <v>45834</v>
      </c>
      <c r="D611" t="inlineStr">
        <is>
          <t>DALARNAS LÄN</t>
        </is>
      </c>
      <c r="E611" t="inlineStr">
        <is>
          <t>SMEDJEBACKEN</t>
        </is>
      </c>
      <c r="F611" t="inlineStr">
        <is>
          <t>Bergvik skog väst AB</t>
        </is>
      </c>
      <c r="G611" t="n">
        <v>3.3</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45834</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45834</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45834</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45834</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45834</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45834</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45834</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45834</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45834</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45834</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45834</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45834</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45834</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45834</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45834</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45834</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45834</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45834</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45834</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45834</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45834</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45834</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45834</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45834</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45834</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45834</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45834</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45834</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45834</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45834</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45834</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45834</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45834</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45834</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45834</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45834</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45834</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45834</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45834</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45834</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45834</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45834</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45834</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45834</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45834</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45834</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45834</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45834</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45834</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45834</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45834</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45834</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45834</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45834</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45834</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45834</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45834</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45834</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45834</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45834</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45834</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45834</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45834</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45834</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45834</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45834</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45834</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45834</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45834</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45834</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45834</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45834</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45834</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45834</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45834</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45834</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45834</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45834</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45834</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45834</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45834</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45834</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45834</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45834</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45834</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45834</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45834</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45834</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45834</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45834</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45834</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45834</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45834</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45834</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45834</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45834</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45834</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45834</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45834</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45834</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45834</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45834</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45834</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45834</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45834</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45834</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45834</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45834</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45834</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45834</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45834</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45834</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45834</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45834</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45834</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45834</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45834</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45834</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45834</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45834</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45834</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45834</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45834</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45834</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45834</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45834</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45834</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45834</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45834</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45834</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45834</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45834</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45834</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45834</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45834</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45834</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45834</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45834</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45834</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45834</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45834</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45834</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45834</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45834</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45834</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45834</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45834</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45834</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45834</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45834</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45834</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45834</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45834</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45834</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45834</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45834</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45834</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45834</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45834</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45834</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45834</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45834</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45834</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45834</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45834</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45834</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45834</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45834</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45834</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45834</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45834</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45834</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45834</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45834</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45834</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45834</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45834</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45834</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45834</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45834</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45834</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45834</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45834</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45834</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45834</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45834</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45834</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45834</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45834</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45834</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45834</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45834</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45834</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45834</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45834</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45834</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45834</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45834</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45834</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45834</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45834</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45834</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45834</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45834</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45834</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45834</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45834</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45834</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45834</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45834</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45834</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45834</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45834</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45834</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45834</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45834</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45834</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45834</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45834</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45834</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45834</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45834</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45834</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45834</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45834</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45834</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45834</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45834</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45834</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45834</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45834</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45834</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45834</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45834</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45834</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45834</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45834</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45834</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45834</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45834</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45834</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45834</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45834</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45834</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45834</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45834</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45834</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45834</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45834</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45834</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45834</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45834</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45834</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45834</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45834</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45834</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45834</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45834</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45834</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45834</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45834</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45834</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45834</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45834</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45834</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45834</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45834</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45834</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45834</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45834</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45834</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45834</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45834</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45834</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45834</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45834</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45834</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45834</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45834</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45834</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45834</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45834</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45834</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45834</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45834</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45834</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45834</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45834</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45834</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45834</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45834</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45834</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45834</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45834</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45834</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45834</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45834</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45834</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45834</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45834</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45834</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45834</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45834</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45834</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45834</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45834</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45834</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45834</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45834</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45834</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45834</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45834</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45834</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45834</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45834</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45834</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45834</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45834</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45834</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45834</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45834</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45834</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45834</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45834</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45834</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45834</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45834</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45834</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45834</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45834</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45834</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45834</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45834</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45834</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45834</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45834</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45834</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45834</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45834</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45834</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45834</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45834</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45834</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45834</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45834</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45834</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45834</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45834</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45834</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45834</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45834</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45834</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45834</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45834</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45834</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45834</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45834</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45834</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45834</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45834</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45834</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45834</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45834</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45834</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45834</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45834</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45834</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45834</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45834</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45834</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45834</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45834</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45834</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45834</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45834</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45834</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45834</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45834</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45834</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45834</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45834</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45834</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45834</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45834</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45834</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45834</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45834</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45834</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45834</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45834</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45834</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45834</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45834</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45834</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45834</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45834</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45834</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45834</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45834</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45834</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45834</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45834</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45834</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45834</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45834</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45834</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45834</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45834</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45834</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45834</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45834</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45834</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45834</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45834</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45834</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45834</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45834</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45834</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45834</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45834</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45834</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45834</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45834</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45834</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45834</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45834</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45834</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45834</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45834</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45834</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45834</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45834</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45834</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45834</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45834</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45834</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45834</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45834</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45834</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45834</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45834</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45834</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45834</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45834</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45834</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45834</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45834</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45834</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45834</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45834</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45834</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45834</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45834</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45834</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45834</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45834</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45834</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45834</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45834</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45834</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45834</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45834</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45834</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45834</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45834</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45834</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45834</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45834</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45834</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45834</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45834</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45834</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45834</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45834</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45834</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45834</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45834</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45834</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45834</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45834</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45834</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45834</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45834</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45834</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45834</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45834</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45834</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45834</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45834</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45834</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45834</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45834</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45834</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45834</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45834</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45834</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45834</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45834</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45834</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45834</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45834</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45834</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45834</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45834</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45834</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45834</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45834</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45834</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45834</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45834</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45834</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45834</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45834</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45834</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45834</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45834</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45834</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45834</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45834</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45834</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45834</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45834</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45834</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45834</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45834</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45834</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45834</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45834</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45834</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45834</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45834</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45834</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45834</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45834</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45834</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45834</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45834</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45834</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45834</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45834</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45834</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45834</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45834</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45834</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45834</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45834</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45834</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45834</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45834</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45834</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45834</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45834</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45834</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45834</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45834</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45834</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45834</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45834</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45834</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45834</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45834</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45834</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45834</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45834</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45834</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45834</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45834</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45834</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45834</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45834</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45834</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45834</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45834</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45834</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45834</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45834</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45834</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45834</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45834</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45834</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45834</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45834</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45834</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45834</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45834</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45834</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45834</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45834</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45834</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45834</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45834</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24563-2025</t>
        </is>
      </c>
      <c r="B1203" s="1" t="n">
        <v>45798</v>
      </c>
      <c r="C1203" s="1" t="n">
        <v>45834</v>
      </c>
      <c r="D1203" t="inlineStr">
        <is>
          <t>DALARNAS LÄN</t>
        </is>
      </c>
      <c r="E1203" t="inlineStr">
        <is>
          <t>SMEDJEBACKEN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24561-2025</t>
        </is>
      </c>
      <c r="B1204" s="1" t="n">
        <v>45798</v>
      </c>
      <c r="C1204" s="1" t="n">
        <v>45834</v>
      </c>
      <c r="D1204" t="inlineStr">
        <is>
          <t>DALARNAS LÄN</t>
        </is>
      </c>
      <c r="E1204" t="inlineStr">
        <is>
          <t>SMEDJEBACKEN</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45834</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45834</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45834</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45834</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45834</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45834</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28775-2025</t>
        </is>
      </c>
      <c r="B1211" s="1" t="n">
        <v>45819</v>
      </c>
      <c r="C1211" s="1" t="n">
        <v>45834</v>
      </c>
      <c r="D1211" t="inlineStr">
        <is>
          <t>DALARNAS LÄN</t>
        </is>
      </c>
      <c r="E1211" t="inlineStr">
        <is>
          <t>SMEDJEBACKEN</t>
        </is>
      </c>
      <c r="F1211" t="inlineStr">
        <is>
          <t>Bergvik skog väst AB</t>
        </is>
      </c>
      <c r="G1211" t="n">
        <v>22.8</v>
      </c>
      <c r="H1211" t="n">
        <v>0</v>
      </c>
      <c r="I1211" t="n">
        <v>0</v>
      </c>
      <c r="J1211" t="n">
        <v>0</v>
      </c>
      <c r="K1211" t="n">
        <v>0</v>
      </c>
      <c r="L1211" t="n">
        <v>0</v>
      </c>
      <c r="M1211" t="n">
        <v>0</v>
      </c>
      <c r="N1211" t="n">
        <v>0</v>
      </c>
      <c r="O1211" t="n">
        <v>0</v>
      </c>
      <c r="P1211" t="n">
        <v>0</v>
      </c>
      <c r="Q1211" t="n">
        <v>0</v>
      </c>
      <c r="R1211" s="2" t="inlineStr"/>
    </row>
    <row r="1212" ht="15" customHeight="1">
      <c r="A1212" t="inlineStr">
        <is>
          <t>A 28444-2025</t>
        </is>
      </c>
      <c r="B1212" s="1" t="n">
        <v>45819</v>
      </c>
      <c r="C1212" s="1" t="n">
        <v>45834</v>
      </c>
      <c r="D1212" t="inlineStr">
        <is>
          <t>DALARNAS LÄN</t>
        </is>
      </c>
      <c r="E1212" t="inlineStr">
        <is>
          <t>SMEDJEBACKEN</t>
        </is>
      </c>
      <c r="F1212" t="inlineStr">
        <is>
          <t>Sveaskog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28544-2025</t>
        </is>
      </c>
      <c r="B1213" s="1" t="n">
        <v>45819</v>
      </c>
      <c r="C1213" s="1" t="n">
        <v>45834</v>
      </c>
      <c r="D1213" t="inlineStr">
        <is>
          <t>DALARNAS LÄN</t>
        </is>
      </c>
      <c r="E1213" t="inlineStr">
        <is>
          <t>SMEDJEBACKEN</t>
        </is>
      </c>
      <c r="G1213" t="n">
        <v>13.4</v>
      </c>
      <c r="H1213" t="n">
        <v>0</v>
      </c>
      <c r="I1213" t="n">
        <v>0</v>
      </c>
      <c r="J1213" t="n">
        <v>0</v>
      </c>
      <c r="K1213" t="n">
        <v>0</v>
      </c>
      <c r="L1213" t="n">
        <v>0</v>
      </c>
      <c r="M1213" t="n">
        <v>0</v>
      </c>
      <c r="N1213" t="n">
        <v>0</v>
      </c>
      <c r="O1213" t="n">
        <v>0</v>
      </c>
      <c r="P1213" t="n">
        <v>0</v>
      </c>
      <c r="Q1213" t="n">
        <v>0</v>
      </c>
      <c r="R1213" s="2" t="inlineStr"/>
    </row>
    <row r="1214" ht="15" customHeight="1">
      <c r="A1214" t="inlineStr">
        <is>
          <t>A 28980-2025</t>
        </is>
      </c>
      <c r="B1214" s="1" t="n">
        <v>45821</v>
      </c>
      <c r="C1214" s="1" t="n">
        <v>45834</v>
      </c>
      <c r="D1214" t="inlineStr">
        <is>
          <t>DALARNAS LÄN</t>
        </is>
      </c>
      <c r="E1214" t="inlineStr">
        <is>
          <t>SMEDJEBACKEN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29042-2025</t>
        </is>
      </c>
      <c r="B1215" s="1" t="n">
        <v>45821</v>
      </c>
      <c r="C1215" s="1" t="n">
        <v>45834</v>
      </c>
      <c r="D1215" t="inlineStr">
        <is>
          <t>DALARNAS LÄN</t>
        </is>
      </c>
      <c r="E1215" t="inlineStr">
        <is>
          <t>SMEDJEBACKEN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29222-2025</t>
        </is>
      </c>
      <c r="B1216" s="1" t="n">
        <v>45824</v>
      </c>
      <c r="C1216" s="1" t="n">
        <v>45834</v>
      </c>
      <c r="D1216" t="inlineStr">
        <is>
          <t>DALARNAS LÄN</t>
        </is>
      </c>
      <c r="E1216" t="inlineStr">
        <is>
          <t>SMEDJEBACKEN</t>
        </is>
      </c>
      <c r="F1216" t="inlineStr">
        <is>
          <t>Sveaskog</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30592-2025</t>
        </is>
      </c>
      <c r="B1217" s="1" t="n">
        <v>45831</v>
      </c>
      <c r="C1217" s="1" t="n">
        <v>45834</v>
      </c>
      <c r="D1217" t="inlineStr">
        <is>
          <t>DALARNAS LÄN</t>
        </is>
      </c>
      <c r="E1217" t="inlineStr">
        <is>
          <t>SMEDJEBACKEN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30903-2025</t>
        </is>
      </c>
      <c r="B1218" s="1" t="n">
        <v>45832</v>
      </c>
      <c r="C1218" s="1" t="n">
        <v>45834</v>
      </c>
      <c r="D1218" t="inlineStr">
        <is>
          <t>DALARNAS LÄN</t>
        </is>
      </c>
      <c r="E1218" t="inlineStr">
        <is>
          <t>SMEDJEBACKEN</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31473-2025</t>
        </is>
      </c>
      <c r="B1219" s="1" t="n">
        <v>45833</v>
      </c>
      <c r="C1219" s="1" t="n">
        <v>45834</v>
      </c>
      <c r="D1219" t="inlineStr">
        <is>
          <t>DALARNAS LÄN</t>
        </is>
      </c>
      <c r="E1219" t="inlineStr">
        <is>
          <t>SMEDJEBACKEN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31411-2025</t>
        </is>
      </c>
      <c r="B1220" s="1" t="n">
        <v>45833</v>
      </c>
      <c r="C1220" s="1" t="n">
        <v>45834</v>
      </c>
      <c r="D1220" t="inlineStr">
        <is>
          <t>DALARNAS LÄN</t>
        </is>
      </c>
      <c r="E1220" t="inlineStr">
        <is>
          <t>SMEDJEBACKEN</t>
        </is>
      </c>
      <c r="G1220" t="n">
        <v>3.2</v>
      </c>
      <c r="H1220" t="n">
        <v>0</v>
      </c>
      <c r="I1220" t="n">
        <v>0</v>
      </c>
      <c r="J1220" t="n">
        <v>0</v>
      </c>
      <c r="K1220" t="n">
        <v>0</v>
      </c>
      <c r="L1220" t="n">
        <v>0</v>
      </c>
      <c r="M1220" t="n">
        <v>0</v>
      </c>
      <c r="N1220" t="n">
        <v>0</v>
      </c>
      <c r="O1220" t="n">
        <v>0</v>
      </c>
      <c r="P1220" t="n">
        <v>0</v>
      </c>
      <c r="Q1220" t="n">
        <v>0</v>
      </c>
      <c r="R1220" s="2" t="inlineStr"/>
    </row>
    <row r="1221">
      <c r="A1221" t="inlineStr">
        <is>
          <t>A 31470-2025</t>
        </is>
      </c>
      <c r="B1221" s="1" t="n">
        <v>45833</v>
      </c>
      <c r="C1221" s="1" t="n">
        <v>45834</v>
      </c>
      <c r="D1221" t="inlineStr">
        <is>
          <t>DALARNAS LÄN</t>
        </is>
      </c>
      <c r="E1221" t="inlineStr">
        <is>
          <t>SMEDJEBACKEN</t>
        </is>
      </c>
      <c r="G1221" t="n">
        <v>1.9</v>
      </c>
      <c r="H1221" t="n">
        <v>0</v>
      </c>
      <c r="I1221" t="n">
        <v>0</v>
      </c>
      <c r="J1221" t="n">
        <v>0</v>
      </c>
      <c r="K1221" t="n">
        <v>0</v>
      </c>
      <c r="L1221" t="n">
        <v>0</v>
      </c>
      <c r="M1221" t="n">
        <v>0</v>
      </c>
      <c r="N1221" t="n">
        <v>0</v>
      </c>
      <c r="O1221" t="n">
        <v>0</v>
      </c>
      <c r="P1221" t="n">
        <v>0</v>
      </c>
      <c r="Q1221" t="n">
        <v>0</v>
      </c>
      <c r="R1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2025-06-26T19:17:19Z</dcterms:created>
  <dcterms:modified xmlns:dcterms="http://purl.org/dc/terms/" xmlns:xsi="http://www.w3.org/2001/XMLSchema-instance" xsi:type="dcterms:W3CDTF">2025-06-26T19:17:20Z</dcterms:modified>
</cp:coreProperties>
</file>