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45812</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45812</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45812</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45812</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45812</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18375-2021</t>
        </is>
      </c>
      <c r="B7" s="1" t="n">
        <v>44305</v>
      </c>
      <c r="C7" s="1" t="n">
        <v>45812</v>
      </c>
      <c r="D7" t="inlineStr">
        <is>
          <t>DALARNAS LÄN</t>
        </is>
      </c>
      <c r="E7" t="inlineStr">
        <is>
          <t>SMEDJEBACKEN</t>
        </is>
      </c>
      <c r="F7" t="inlineStr">
        <is>
          <t>Sveaskog</t>
        </is>
      </c>
      <c r="G7" t="n">
        <v>16.8</v>
      </c>
      <c r="H7" t="n">
        <v>1</v>
      </c>
      <c r="I7" t="n">
        <v>6</v>
      </c>
      <c r="J7" t="n">
        <v>1</v>
      </c>
      <c r="K7" t="n">
        <v>0</v>
      </c>
      <c r="L7" t="n">
        <v>0</v>
      </c>
      <c r="M7" t="n">
        <v>1</v>
      </c>
      <c r="N7" t="n">
        <v>0</v>
      </c>
      <c r="O7" t="n">
        <v>2</v>
      </c>
      <c r="P7" t="n">
        <v>1</v>
      </c>
      <c r="Q7" t="n">
        <v>9</v>
      </c>
      <c r="R7" s="2" t="inlineStr">
        <is>
          <t>Skogsalm
Barkporlav
Mörk husmossa
Praktscharlakansskål
Svart trolldruva
Tibast
Vätteros
Vårärt
Blåsippa</t>
        </is>
      </c>
      <c r="S7">
        <f>HYPERLINK("https://klasma.github.io/Logging_2061/artfynd/A 18375-2021 artfynd.xlsx", "A 18375-2021")</f>
        <v/>
      </c>
      <c r="T7">
        <f>HYPERLINK("https://klasma.github.io/Logging_2061/kartor/A 18375-2021 karta.png", "A 18375-2021")</f>
        <v/>
      </c>
      <c r="V7">
        <f>HYPERLINK("https://klasma.github.io/Logging_2061/klagomål/A 18375-2021 FSC-klagomål.docx", "A 18375-2021")</f>
        <v/>
      </c>
      <c r="W7">
        <f>HYPERLINK("https://klasma.github.io/Logging_2061/klagomålsmail/A 18375-2021 FSC-klagomål mail.docx", "A 18375-2021")</f>
        <v/>
      </c>
      <c r="X7">
        <f>HYPERLINK("https://klasma.github.io/Logging_2061/tillsyn/A 18375-2021 tillsynsbegäran.docx", "A 18375-2021")</f>
        <v/>
      </c>
      <c r="Y7">
        <f>HYPERLINK("https://klasma.github.io/Logging_2061/tillsynsmail/A 18375-2021 tillsynsbegäran mail.docx", "A 18375-2021")</f>
        <v/>
      </c>
    </row>
    <row r="8" ht="15" customHeight="1">
      <c r="A8" t="inlineStr">
        <is>
          <t>A 57321-2024</t>
        </is>
      </c>
      <c r="B8" s="1" t="n">
        <v>45629</v>
      </c>
      <c r="C8" s="1" t="n">
        <v>45812</v>
      </c>
      <c r="D8" t="inlineStr">
        <is>
          <t>DALARNAS LÄN</t>
        </is>
      </c>
      <c r="E8" t="inlineStr">
        <is>
          <t>SMEDJEBACKEN</t>
        </is>
      </c>
      <c r="F8" t="inlineStr">
        <is>
          <t>Bergvik skog väst AB</t>
        </is>
      </c>
      <c r="G8" t="n">
        <v>4.1</v>
      </c>
      <c r="H8" t="n">
        <v>3</v>
      </c>
      <c r="I8" t="n">
        <v>2</v>
      </c>
      <c r="J8" t="n">
        <v>3</v>
      </c>
      <c r="K8" t="n">
        <v>2</v>
      </c>
      <c r="L8" t="n">
        <v>0</v>
      </c>
      <c r="M8" t="n">
        <v>0</v>
      </c>
      <c r="N8" t="n">
        <v>0</v>
      </c>
      <c r="O8" t="n">
        <v>5</v>
      </c>
      <c r="P8" t="n">
        <v>2</v>
      </c>
      <c r="Q8" t="n">
        <v>9</v>
      </c>
      <c r="R8" s="2" t="inlineStr">
        <is>
          <t>Knärot
Rynkskinn
Gul taggsvamp
Rovspindling
Vedtrappmossa
Svavelriska
Tibast
Fläcknycklar
Blåsippa</t>
        </is>
      </c>
      <c r="S8">
        <f>HYPERLINK("https://klasma.github.io/Logging_2061/artfynd/A 57321-2024 artfynd.xlsx", "A 57321-2024")</f>
        <v/>
      </c>
      <c r="T8">
        <f>HYPERLINK("https://klasma.github.io/Logging_2061/kartor/A 57321-2024 karta.png", "A 57321-2024")</f>
        <v/>
      </c>
      <c r="U8">
        <f>HYPERLINK("https://klasma.github.io/Logging_2061/knärot/A 57321-2024 karta knärot.png", "A 57321-2024")</f>
        <v/>
      </c>
      <c r="V8">
        <f>HYPERLINK("https://klasma.github.io/Logging_2061/klagomål/A 57321-2024 FSC-klagomål.docx", "A 57321-2024")</f>
        <v/>
      </c>
      <c r="W8">
        <f>HYPERLINK("https://klasma.github.io/Logging_2061/klagomålsmail/A 57321-2024 FSC-klagomål mail.docx", "A 57321-2024")</f>
        <v/>
      </c>
      <c r="X8">
        <f>HYPERLINK("https://klasma.github.io/Logging_2061/tillsyn/A 57321-2024 tillsynsbegäran.docx", "A 57321-2024")</f>
        <v/>
      </c>
      <c r="Y8">
        <f>HYPERLINK("https://klasma.github.io/Logging_2061/tillsynsmail/A 57321-2024 tillsynsbegäran mail.docx", "A 57321-2024")</f>
        <v/>
      </c>
    </row>
    <row r="9" ht="15" customHeight="1">
      <c r="A9" t="inlineStr">
        <is>
          <t>A 49765-2022</t>
        </is>
      </c>
      <c r="B9" s="1" t="n">
        <v>44859</v>
      </c>
      <c r="C9" s="1" t="n">
        <v>45812</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45812</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45812</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45812</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45812</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45812</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45812</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45812</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45812</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45812</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45812</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45812</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45812</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45812</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45812</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45812</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45812</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45812</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45812</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45812</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45812</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45812</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45812</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45812</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45812</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45812</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45812</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45812</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45812</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45812</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45812</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45812</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45812</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45812</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45812</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45812</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45812</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45812</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45812</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45812</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45812</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45812</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45812</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45812</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45812</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45812</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45812</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45812</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45812</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45812</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45812</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45812</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45812</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45812</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45812</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45812</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45812</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45812</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45812</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45812</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45812</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45812</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45812</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45812</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45812</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45812</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45812</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45812</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45812</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45812</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45812</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45812</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45812</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45812</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45812</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45812</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45812</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45812</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45812</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45812</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45812</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45812</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45812</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45812</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45812</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45812</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45812</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45812</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45812</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45812</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45812</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45812</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45812</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45812</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45812</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45812</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45812</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45812</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45812</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45812</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45812</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45812</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45812</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45812</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45812</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45812</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45812</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45812</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45812</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45812</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45812</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45812</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45812</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45812</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45812</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45812</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45812</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45812</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45812</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45812</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45812</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45812</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45812</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45812</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45812</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45812</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45812</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45812</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45812</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45812</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45812</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45812</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45812</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45812</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45812</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45812</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45812</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45812</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45812</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45812</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45812</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45812</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45812</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45812</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45812</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45812</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45812</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45812</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45812</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45812</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45812</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45812</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45812</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45812</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45812</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45812</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45812</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45812</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45812</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45812</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45812</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45812</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45812</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45812</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45812</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45812</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45812</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45812</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45812</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45812</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45812</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45812</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45812</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45812</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45812</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45812</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45812</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45812</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45812</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45812</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45812</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45812</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45812</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45812</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45812</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45812</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45812</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45812</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45812</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45812</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45812</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45812</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45812</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45812</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45812</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45812</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45812</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45812</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45812</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45812</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45812</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45812</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45812</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45812</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45812</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45812</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45812</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45812</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45812</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45812</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45812</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45812</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45812</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45812</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45812</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45812</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45812</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45812</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45812</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45812</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45812</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45812</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45812</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45812</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45812</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45812</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45812</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45812</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45812</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45812</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45812</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45812</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45812</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45812</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45812</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45812</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45812</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45812</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45812</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45812</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45812</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45812</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45812</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45812</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45812</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45812</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45812</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45812</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45812</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45812</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45812</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45812</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45812</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45812</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45812</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45812</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45812</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45812</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45812</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45812</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45812</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45812</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45812</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45812</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45812</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45812</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45812</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45812</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45812</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45812</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45812</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45812</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45812</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45812</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45812</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45812</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45812</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45812</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45812</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45812</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45812</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45812</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45812</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45812</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45812</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45812</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45812</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45812</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45812</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45812</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45812</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45812</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45812</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45812</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45812</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45812</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45812</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45812</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45812</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45812</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45812</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45812</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45812</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45812</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45812</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45812</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45812</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45812</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45812</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45812</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45812</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45812</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45812</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45812</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45812</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45812</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45812</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45812</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45812</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45812</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45812</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45812</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45812</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45812</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45812</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45812</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45812</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45812</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45812</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45812</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45812</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45812</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45812</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45812</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45812</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45812</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45812</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45812</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45812</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45812</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45812</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45812</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45812</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45812</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45812</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45812</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45812</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45812</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45812</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45812</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45812</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45812</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45812</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45812</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45812</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45812</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45812</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45812</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45812</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45812</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45812</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45812</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45812</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45812</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45812</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45812</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45812</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45812</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45812</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45812</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45812</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45812</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45812</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45812</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45812</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45812</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45812</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45812</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45812</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45812</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45812</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45812</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45812</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45812</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45812</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45812</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45812</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45812</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45812</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45812</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45812</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45812</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45812</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45812</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45812</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45812</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45812</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45812</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45812</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45812</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45812</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45812</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45812</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45812</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45812</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45812</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45812</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45812</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45812</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45812</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45812</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45812</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45812</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45812</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45812</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45812</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45812</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45812</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45812</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45812</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45812</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45812</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45812</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45812</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45812</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45812</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45812</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45812</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45812</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45812</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45812</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45812</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45812</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45812</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45812</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45812</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45812</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45812</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45812</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45812</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45812</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45812</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45812</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45812</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45812</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45812</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45812</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45812</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45812</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45812</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45812</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45812</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45812</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45812</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45812</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45812</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45812</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45812</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45812</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45812</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45812</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45812</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45812</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45812</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45812</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45812</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45812</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45812</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45812</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45812</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45812</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45812</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45812</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45812</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45812</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45812</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45812</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45812</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45812</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45812</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45812</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45812</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45812</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45812</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45812</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45812</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45812</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45812</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45812</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45812</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45812</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45812</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45812</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45812</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45812</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45812</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45812</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45812</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45812</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45812</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45812</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45812</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45812</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45812</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45812</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45812</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45812</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45812</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45812</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45812</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45812</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45812</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45812</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45812</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45812</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45812</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45812</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45812</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45812</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45812</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45812</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45812</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45812</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45812</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45812</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45812</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45812</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45812</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45812</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45812</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45812</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45812</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45812</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45812</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45812</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45812</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45812</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45812</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45812</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45812</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45812</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45812</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45812</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45812</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45812</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45812</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45812</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45812</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45812</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45812</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45812</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45812</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45812</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45812</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45812</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45812</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45812</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45812</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45812</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45812</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45812</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45812</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45812</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45812</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45812</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45812</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45812</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45812</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45812</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45812</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45812</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45812</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45812</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45812</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45812</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45812</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45812</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45812</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45812</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45812</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45812</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45812</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45812</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45812</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45812</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45812</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45812</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45812</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45812</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45812</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45812</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45812</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45812</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45812</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45812</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45812</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45812</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45812</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45812</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45812</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45812</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45812</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45812</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45812</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45812</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45812</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45812</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45812</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45812</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45812</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45812</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45812</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45812</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45812</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45812</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45812</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45812</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45812</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45812</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45812</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45812</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45812</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45812</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45812</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45812</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45812</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45812</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45812</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45812</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45812</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45812</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45812</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45812</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45812</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45812</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45812</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45812</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45812</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45812</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45812</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45812</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45812</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45812</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45812</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45812</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45812</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45812</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45812</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45812</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45812</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45812</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45812</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45812</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45812</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45812</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45812</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45812</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45812</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45812</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45812</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45812</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45812</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45812</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45812</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45812</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45812</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45812</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45812</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45812</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45812</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45812</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45812</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45812</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45812</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45812</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45812</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45812</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45812</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45812</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45812</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45812</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45812</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45812</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45812</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45812</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45812</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45812</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45812</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45812</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45812</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45812</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45812</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45812</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45812</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45812</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45812</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45812</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45812</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45812</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45812</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45812</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45812</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45812</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45812</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45812</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45812</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45812</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45812</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45812</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45812</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45812</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45812</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45812</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45812</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45812</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45812</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45812</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45812</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45812</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45812</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45812</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45812</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45812</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45812</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45812</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45812</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45812</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45812</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45812</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45812</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45812</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45812</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45812</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45812</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45812</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45812</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45812</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45812</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45812</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45812</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45812</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45812</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45812</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45812</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45812</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45812</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45812</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45812</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45812</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45812</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45812</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45812</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45812</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45812</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45812</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45812</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45812</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45812</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45812</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45812</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45812</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45812</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45812</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45812</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45812</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45812</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45812</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45812</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45812</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45812</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45812</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45812</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45812</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45812</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45812</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45812</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45812</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45812</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45812</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45812</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45812</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45812</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45812</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45812</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45812</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45812</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45812</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45812</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45812</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45812</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45812</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45812</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45812</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45812</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45812</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45812</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45812</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45812</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45812</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45812</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45812</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45812</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45812</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45812</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45812</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45812</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45812</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45812</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45812</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45812</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45812</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45812</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45812</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45812</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45812</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45812</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45812</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45812</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45812</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45812</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45812</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45812</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45812</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45812</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45812</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45812</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45812</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45812</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45812</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45812</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45812</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45812</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45812</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45812</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45812</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45812</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45812</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45812</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45812</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45812</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45812</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45812</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45812</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45812</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45812</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45812</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45812</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45812</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45812</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45812</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45812</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45812</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45812</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45812</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45812</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45812</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45812</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45812</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45812</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45812</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45812</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45812</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45812</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45812</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45812</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45812</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45812</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45812</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45812</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45812</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45812</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45812</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45812</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45812</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45812</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45812</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45812</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45812</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45812</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45812</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45812</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45812</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45812</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45812</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45812</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45812</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45812</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45812</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45812</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45812</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45812</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45812</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45812</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45812</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45812</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45812</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45812</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45812</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45812</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45812</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45812</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45812</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45812</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45812</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45812</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45812</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45812</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45812</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45812</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45812</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45812</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45812</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45812</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45812</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45812</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45812</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45812</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45812</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45812</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45812</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45812</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45812</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45812</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45812</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45812</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45812</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45812</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45812</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45812</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45812</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45812</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45812</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45812</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45812</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45812</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45812</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45812</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45812</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45812</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45812</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45812</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45812</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45812</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45812</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45812</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45812</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45812</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45812</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45812</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45812</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45812</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45812</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45812</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45812</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45812</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45812</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45812</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45812</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45812</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45812</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45812</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45812</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45812</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45812</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45812</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45812</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45812</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45812</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45812</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45812</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45812</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45812</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45812</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45812</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45812</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45812</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45812</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45812</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45812</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45812</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45812</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45812</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45812</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45812</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45812</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45812</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45812</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45812</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45812</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45812</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45812</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45812</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45812</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45812</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45812</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45812</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45812</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45812</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45812</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45812</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45812</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45812</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45812</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45812</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45812</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45812</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45812</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45812</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45812</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45812</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45812</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45812</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45812</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45812</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45812</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45812</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45812</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45812</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45812</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45812</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45812</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45812</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45812</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45812</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45812</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45812</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45812</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45812</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45812</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45812</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45812</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45812</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45812</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45812</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45812</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45812</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45812</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45812</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45812</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45812</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45812</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45812</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45812</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45812</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45812</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45812</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45812</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45812</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45812</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45812</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45812</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45812</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45812</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45812</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45812</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45812</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45812</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45812</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45812</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45812</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45812</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45812</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45812</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45812</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45812</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45812</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45812</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45812</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45812</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45812</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45812</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45812</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45812</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45812</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45812</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45812</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45812</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45812</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45812</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45812</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45812</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45812</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45812</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45812</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45812</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45812</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45812</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45812</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45812</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45812</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45812</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45812</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45812</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45812</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45812</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45812</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45812</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45812</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45812</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45812</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45812</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45812</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45812</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45812</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45812</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45812</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45812</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45812</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45812</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45812</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45812</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45812</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45812</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45812</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45812</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45812</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45812</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45812</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45812</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45812</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45812</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45812</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45812</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45812</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45812</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45812</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45812</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45812</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45812</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45812</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45812</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45812</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45812</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45812</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45812</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45812</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45812</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45812</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45812</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45812</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45812</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45812</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45812</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45812</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45812</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45812</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45812</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45812</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45812</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45812</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45812</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45812</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45812</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45812</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45812</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45812</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45812</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45812</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45812</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45812</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45812</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45812</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45812</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45812</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45812</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45812</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45812</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45812</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45812</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45812</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45812</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45812</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45812</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45812</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22459-2025</t>
        </is>
      </c>
      <c r="B1183" s="1" t="n">
        <v>45786</v>
      </c>
      <c r="C1183" s="1" t="n">
        <v>45812</v>
      </c>
      <c r="D1183" t="inlineStr">
        <is>
          <t>DALARNAS LÄN</t>
        </is>
      </c>
      <c r="E1183" t="inlineStr">
        <is>
          <t>SMEDJEBACKEN</t>
        </is>
      </c>
      <c r="F1183" t="inlineStr">
        <is>
          <t>Sveaskog</t>
        </is>
      </c>
      <c r="G1183" t="n">
        <v>8.800000000000001</v>
      </c>
      <c r="H1183" t="n">
        <v>0</v>
      </c>
      <c r="I1183" t="n">
        <v>0</v>
      </c>
      <c r="J1183" t="n">
        <v>0</v>
      </c>
      <c r="K1183" t="n">
        <v>0</v>
      </c>
      <c r="L1183" t="n">
        <v>0</v>
      </c>
      <c r="M1183" t="n">
        <v>0</v>
      </c>
      <c r="N1183" t="n">
        <v>0</v>
      </c>
      <c r="O1183" t="n">
        <v>0</v>
      </c>
      <c r="P1183" t="n">
        <v>0</v>
      </c>
      <c r="Q1183" t="n">
        <v>0</v>
      </c>
      <c r="R1183" s="2" t="inlineStr"/>
    </row>
    <row r="1184" ht="15" customHeight="1">
      <c r="A1184" t="inlineStr">
        <is>
          <t>A 22462-2025</t>
        </is>
      </c>
      <c r="B1184" s="1" t="n">
        <v>45786</v>
      </c>
      <c r="C1184" s="1" t="n">
        <v>45812</v>
      </c>
      <c r="D1184" t="inlineStr">
        <is>
          <t>DALARNAS LÄN</t>
        </is>
      </c>
      <c r="E1184" t="inlineStr">
        <is>
          <t>SMEDJEBACKEN</t>
        </is>
      </c>
      <c r="F1184" t="inlineStr">
        <is>
          <t>Sveaskog</t>
        </is>
      </c>
      <c r="G1184" t="n">
        <v>8.800000000000001</v>
      </c>
      <c r="H1184" t="n">
        <v>0</v>
      </c>
      <c r="I1184" t="n">
        <v>0</v>
      </c>
      <c r="J1184" t="n">
        <v>0</v>
      </c>
      <c r="K1184" t="n">
        <v>0</v>
      </c>
      <c r="L1184" t="n">
        <v>0</v>
      </c>
      <c r="M1184" t="n">
        <v>0</v>
      </c>
      <c r="N1184" t="n">
        <v>0</v>
      </c>
      <c r="O1184" t="n">
        <v>0</v>
      </c>
      <c r="P1184" t="n">
        <v>0</v>
      </c>
      <c r="Q1184" t="n">
        <v>0</v>
      </c>
      <c r="R1184" s="2" t="inlineStr"/>
    </row>
    <row r="1185" ht="15" customHeight="1">
      <c r="A1185" t="inlineStr">
        <is>
          <t>A 22294-2025</t>
        </is>
      </c>
      <c r="B1185" s="1" t="n">
        <v>45786</v>
      </c>
      <c r="C1185" s="1" t="n">
        <v>45812</v>
      </c>
      <c r="D1185" t="inlineStr">
        <is>
          <t>DALARNAS LÄN</t>
        </is>
      </c>
      <c r="E1185" t="inlineStr">
        <is>
          <t>SMEDJEBACKEN</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22295-2025</t>
        </is>
      </c>
      <c r="B1186" s="1" t="n">
        <v>45786</v>
      </c>
      <c r="C1186" s="1" t="n">
        <v>45812</v>
      </c>
      <c r="D1186" t="inlineStr">
        <is>
          <t>DALARNAS LÄN</t>
        </is>
      </c>
      <c r="E1186" t="inlineStr">
        <is>
          <t>SMEDJEBACKEN</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45812</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22573-2025</t>
        </is>
      </c>
      <c r="B1188" s="1" t="n">
        <v>45789</v>
      </c>
      <c r="C1188" s="1" t="n">
        <v>45812</v>
      </c>
      <c r="D1188" t="inlineStr">
        <is>
          <t>DALARNAS LÄN</t>
        </is>
      </c>
      <c r="E1188" t="inlineStr">
        <is>
          <t>SMEDJEBACKEN</t>
        </is>
      </c>
      <c r="F1188" t="inlineStr">
        <is>
          <t>Sveaskog</t>
        </is>
      </c>
      <c r="G1188" t="n">
        <v>15.4</v>
      </c>
      <c r="H1188" t="n">
        <v>0</v>
      </c>
      <c r="I1188" t="n">
        <v>0</v>
      </c>
      <c r="J1188" t="n">
        <v>0</v>
      </c>
      <c r="K1188" t="n">
        <v>0</v>
      </c>
      <c r="L1188" t="n">
        <v>0</v>
      </c>
      <c r="M1188" t="n">
        <v>0</v>
      </c>
      <c r="N1188" t="n">
        <v>0</v>
      </c>
      <c r="O1188" t="n">
        <v>0</v>
      </c>
      <c r="P1188" t="n">
        <v>0</v>
      </c>
      <c r="Q1188" t="n">
        <v>0</v>
      </c>
      <c r="R1188" s="2" t="inlineStr"/>
    </row>
    <row r="1189" ht="15" customHeight="1">
      <c r="A1189" t="inlineStr">
        <is>
          <t>A 22568-2025</t>
        </is>
      </c>
      <c r="B1189" s="1" t="n">
        <v>45789</v>
      </c>
      <c r="C1189" s="1" t="n">
        <v>45812</v>
      </c>
      <c r="D1189" t="inlineStr">
        <is>
          <t>DALARNAS LÄN</t>
        </is>
      </c>
      <c r="E1189" t="inlineStr">
        <is>
          <t>SMEDJEBACKEN</t>
        </is>
      </c>
      <c r="F1189" t="inlineStr">
        <is>
          <t>Sveaskog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22809-2025</t>
        </is>
      </c>
      <c r="B1190" s="1" t="n">
        <v>45789</v>
      </c>
      <c r="C1190" s="1" t="n">
        <v>45812</v>
      </c>
      <c r="D1190" t="inlineStr">
        <is>
          <t>DALARNAS LÄN</t>
        </is>
      </c>
      <c r="E1190" t="inlineStr">
        <is>
          <t>SMEDJEBACKEN</t>
        </is>
      </c>
      <c r="G1190" t="n">
        <v>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45812</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22812-2025</t>
        </is>
      </c>
      <c r="B1192" s="1" t="n">
        <v>45789</v>
      </c>
      <c r="C1192" s="1" t="n">
        <v>45812</v>
      </c>
      <c r="D1192" t="inlineStr">
        <is>
          <t>DALARNAS LÄN</t>
        </is>
      </c>
      <c r="E1192" t="inlineStr">
        <is>
          <t>SMEDJEBACKEN</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45812</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23837-2025</t>
        </is>
      </c>
      <c r="B1194" s="1" t="n">
        <v>45793</v>
      </c>
      <c r="C1194" s="1" t="n">
        <v>45812</v>
      </c>
      <c r="D1194" t="inlineStr">
        <is>
          <t>DALARNAS LÄN</t>
        </is>
      </c>
      <c r="E1194" t="inlineStr">
        <is>
          <t>SMEDJEBACKEN</t>
        </is>
      </c>
      <c r="F1194" t="inlineStr">
        <is>
          <t>Sveaskog</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23684-2025</t>
        </is>
      </c>
      <c r="B1195" s="1" t="n">
        <v>45793</v>
      </c>
      <c r="C1195" s="1" t="n">
        <v>45812</v>
      </c>
      <c r="D1195" t="inlineStr">
        <is>
          <t>DALARNAS LÄN</t>
        </is>
      </c>
      <c r="E1195" t="inlineStr">
        <is>
          <t>SMEDJEBACKEN</t>
        </is>
      </c>
      <c r="G1195" t="n">
        <v>2.2</v>
      </c>
      <c r="H1195" t="n">
        <v>0</v>
      </c>
      <c r="I1195" t="n">
        <v>0</v>
      </c>
      <c r="J1195" t="n">
        <v>0</v>
      </c>
      <c r="K1195" t="n">
        <v>0</v>
      </c>
      <c r="L1195" t="n">
        <v>0</v>
      </c>
      <c r="M1195" t="n">
        <v>0</v>
      </c>
      <c r="N1195" t="n">
        <v>0</v>
      </c>
      <c r="O1195" t="n">
        <v>0</v>
      </c>
      <c r="P1195" t="n">
        <v>0</v>
      </c>
      <c r="Q1195" t="n">
        <v>0</v>
      </c>
      <c r="R1195" s="2" t="inlineStr"/>
    </row>
    <row r="1196" ht="15" customHeight="1">
      <c r="A1196" t="inlineStr">
        <is>
          <t>A 23685-2025</t>
        </is>
      </c>
      <c r="B1196" s="1" t="n">
        <v>45793</v>
      </c>
      <c r="C1196" s="1" t="n">
        <v>45812</v>
      </c>
      <c r="D1196" t="inlineStr">
        <is>
          <t>DALARNAS LÄN</t>
        </is>
      </c>
      <c r="E1196" t="inlineStr">
        <is>
          <t>SMEDJEBACKEN</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23843-2025</t>
        </is>
      </c>
      <c r="B1197" s="1" t="n">
        <v>45793</v>
      </c>
      <c r="C1197" s="1" t="n">
        <v>45812</v>
      </c>
      <c r="D1197" t="inlineStr">
        <is>
          <t>DALARNAS LÄN</t>
        </is>
      </c>
      <c r="E1197" t="inlineStr">
        <is>
          <t>SMEDJEBACKEN</t>
        </is>
      </c>
      <c r="F1197" t="inlineStr">
        <is>
          <t>Sveaskog</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45812</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45812</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24361-2025</t>
        </is>
      </c>
      <c r="B1200" s="1" t="n">
        <v>45797</v>
      </c>
      <c r="C1200" s="1" t="n">
        <v>45812</v>
      </c>
      <c r="D1200" t="inlineStr">
        <is>
          <t>DALARNAS LÄN</t>
        </is>
      </c>
      <c r="E1200" t="inlineStr">
        <is>
          <t>SMEDJEBACKEN</t>
        </is>
      </c>
      <c r="G1200" t="n">
        <v>1.7</v>
      </c>
      <c r="H1200" t="n">
        <v>0</v>
      </c>
      <c r="I1200" t="n">
        <v>0</v>
      </c>
      <c r="J1200" t="n">
        <v>0</v>
      </c>
      <c r="K1200" t="n">
        <v>0</v>
      </c>
      <c r="L1200" t="n">
        <v>0</v>
      </c>
      <c r="M1200" t="n">
        <v>0</v>
      </c>
      <c r="N1200" t="n">
        <v>0</v>
      </c>
      <c r="O1200" t="n">
        <v>0</v>
      </c>
      <c r="P1200" t="n">
        <v>0</v>
      </c>
      <c r="Q1200" t="n">
        <v>0</v>
      </c>
      <c r="R1200" s="2" t="inlineStr"/>
    </row>
    <row r="1201" ht="15" customHeight="1">
      <c r="A1201" t="inlineStr">
        <is>
          <t>A 24372-2025</t>
        </is>
      </c>
      <c r="B1201" s="1" t="n">
        <v>45797</v>
      </c>
      <c r="C1201" s="1" t="n">
        <v>45812</v>
      </c>
      <c r="D1201" t="inlineStr">
        <is>
          <t>DALARNAS LÄN</t>
        </is>
      </c>
      <c r="E1201" t="inlineStr">
        <is>
          <t>SMEDJEBACKEN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24558-2025</t>
        </is>
      </c>
      <c r="B1202" s="1" t="n">
        <v>45798</v>
      </c>
      <c r="C1202" s="1" t="n">
        <v>45812</v>
      </c>
      <c r="D1202" t="inlineStr">
        <is>
          <t>DALARNAS LÄN</t>
        </is>
      </c>
      <c r="E1202" t="inlineStr">
        <is>
          <t>SMEDJEBACKEN</t>
        </is>
      </c>
      <c r="F1202" t="inlineStr">
        <is>
          <t>Sveaskog</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24561-2025</t>
        </is>
      </c>
      <c r="B1203" s="1" t="n">
        <v>45798</v>
      </c>
      <c r="C1203" s="1" t="n">
        <v>45812</v>
      </c>
      <c r="D1203" t="inlineStr">
        <is>
          <t>DALARNAS LÄN</t>
        </is>
      </c>
      <c r="E1203" t="inlineStr">
        <is>
          <t>SMEDJEBACKEN</t>
        </is>
      </c>
      <c r="F1203" t="inlineStr">
        <is>
          <t>Sveaskog</t>
        </is>
      </c>
      <c r="G1203" t="n">
        <v>5.5</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45812</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45812</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45812</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45812</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c r="A1208" t="inlineStr">
        <is>
          <t>A 26717-2025</t>
        </is>
      </c>
      <c r="B1208" s="1" t="n">
        <v>45810</v>
      </c>
      <c r="C1208" s="1" t="n">
        <v>45812</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2025-06-04T18:15:18Z</dcterms:created>
  <dcterms:modified xmlns:dcterms="http://purl.org/dc/terms/" xmlns:xsi="http://www.w3.org/2001/XMLSchema-instance" xsi:type="dcterms:W3CDTF">2025-06-04T18:15:19Z</dcterms:modified>
</cp:coreProperties>
</file>