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924-2023</t>
        </is>
      </c>
      <c r="B2" t="inlineStr">
        <is>
          <t>samrådsanmälan</t>
        </is>
      </c>
      <c r="C2" t="inlineStr">
        <is>
          <t>Askåterföring</t>
        </is>
      </c>
      <c r="D2" s="1" t="n">
        <v>44999</v>
      </c>
      <c r="E2" s="1" t="n">
        <v>46223</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V2">
        <f>HYPERLINK("https://klasma.github.io/Logging_2061/artfynd/S 924-2023 artfynd.xlsx", "S 924-2023")</f>
        <v/>
      </c>
      <c r="W2">
        <f>HYPERLINK("https://klasma.github.io/Logging_2061/kartor/S 924-2023 karta.png", "S 924-2023")</f>
        <v/>
      </c>
      <c r="X2">
        <f>HYPERLINK("https://klasma.github.io/Logging_2061/kartor_geotiff/S 924-2023 georefererad karta.tif", "S 924-2023")</f>
        <v/>
      </c>
      <c r="Z2">
        <f>HYPERLINK("https://klasma.github.io/Logging_2061/klagomål/S 924-2023 FSC-klagomål.docx", "S 924-2023")</f>
        <v/>
      </c>
      <c r="AA2">
        <f>HYPERLINK("https://klasma.github.io/Logging_2061/klagomålsmail/S 924-2023 FSC-klagomål mail.docx", "S 924-2023")</f>
        <v/>
      </c>
      <c r="AB2">
        <f>HYPERLINK("https://klasma.github.io/Logging_2061/tillsyn/S 924-2023 tillsynsbegäran.docx", "S 924-2023")</f>
        <v/>
      </c>
      <c r="AC2">
        <f>HYPERLINK("https://klasma.github.io/Logging_2061/tillsynsmail/S 924-2023 tillsynsbegäran mail.docx", "S 924-2023")</f>
        <v/>
      </c>
      <c r="AD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46223</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V3">
        <f>HYPERLINK("https://klasma.github.io/Logging_2061/artfynd/A 45719-2021 artfynd.xlsx", "A 45719-2021")</f>
        <v/>
      </c>
      <c r="W3">
        <f>HYPERLINK("https://klasma.github.io/Logging_2061/kartor/A 45719-2021 karta.png", "A 45719-2021")</f>
        <v/>
      </c>
      <c r="X3">
        <f>HYPERLINK("https://klasma.github.io/Logging_2061/kartor_geotiff/A 45719-2021 georefererad karta.tif", "A 45719-2021")</f>
        <v/>
      </c>
      <c r="Z3">
        <f>HYPERLINK("https://klasma.github.io/Logging_2061/klagomål/A 45719-2021 FSC-klagomål.docx", "A 45719-2021")</f>
        <v/>
      </c>
      <c r="AA3">
        <f>HYPERLINK("https://klasma.github.io/Logging_2061/klagomålsmail/A 45719-2021 FSC-klagomål mail.docx", "A 45719-2021")</f>
        <v/>
      </c>
      <c r="AB3">
        <f>HYPERLINK("https://klasma.github.io/Logging_2061/tillsyn/A 45719-2021 tillsynsbegäran.docx", "A 45719-2021")</f>
        <v/>
      </c>
      <c r="AC3">
        <f>HYPERLINK("https://klasma.github.io/Logging_2061/tillsynsmail/A 45719-2021 tillsynsbegäran mail.docx", "A 45719-2021")</f>
        <v/>
      </c>
      <c r="AD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46223</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s="2" t="inlineStr">
        <is>
          <t>Gul taggsvamp
Knärot
Dofttaggsvamp
Gropticka
Rovspindling
Rynkskinn
Tretåig hackspett
Ullticka
Vedtrappmossa
Vårärt
Blåmossa
Bollvitmossa
Svavelriska
Tibast
Trådticka
Vedticka
Blåsippa
Fläcknycklar
Revlummer</t>
        </is>
      </c>
      <c r="V4">
        <f>HYPERLINK("https://klasma.github.io/Logging_2061/artfynd/A 57321-2024 artfynd.xlsx", "A 57321-2024")</f>
        <v/>
      </c>
      <c r="W4">
        <f>HYPERLINK("https://klasma.github.io/Logging_2061/kartor/A 57321-2024 karta.png", "A 57321-2024")</f>
        <v/>
      </c>
      <c r="X4">
        <f>HYPERLINK("https://klasma.github.io/Logging_2061/kartor_geotiff/A 57321-2024 georefererad karta.tif", "A 57321-2024")</f>
        <v/>
      </c>
      <c r="Y4">
        <f>HYPERLINK("https://klasma.github.io/Logging_2061/knärot/A 57321-2024 karta knärot.png", "A 57321-2024")</f>
        <v/>
      </c>
      <c r="Z4">
        <f>HYPERLINK("https://klasma.github.io/Logging_2061/klagomål/A 57321-2024 FSC-klagomål.docx", "A 57321-2024")</f>
        <v/>
      </c>
      <c r="AA4">
        <f>HYPERLINK("https://klasma.github.io/Logging_2061/klagomålsmail/A 57321-2024 FSC-klagomål mail.docx", "A 57321-2024")</f>
        <v/>
      </c>
      <c r="AB4">
        <f>HYPERLINK("https://klasma.github.io/Logging_2061/tillsyn/A 57321-2024 tillsynsbegäran.docx", "A 57321-2024")</f>
        <v/>
      </c>
      <c r="AC4">
        <f>HYPERLINK("https://klasma.github.io/Logging_2061/tillsynsmail/A 57321-2024 tillsynsbegäran mail.docx", "A 57321-2024")</f>
        <v/>
      </c>
      <c r="AD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46223</v>
      </c>
      <c r="F5" t="inlineStr">
        <is>
          <t>DALARNAS LÄN</t>
        </is>
      </c>
      <c r="G5" t="inlineStr">
        <is>
          <t>SMEDJEBACKEN</t>
        </is>
      </c>
      <c r="I5" t="n">
        <v>1.6</v>
      </c>
      <c r="J5" t="n">
        <v>1</v>
      </c>
      <c r="K5" t="n">
        <v>8</v>
      </c>
      <c r="L5" t="n">
        <v>6</v>
      </c>
      <c r="M5" t="n">
        <v>2</v>
      </c>
      <c r="N5" t="n">
        <v>1</v>
      </c>
      <c r="O5" t="n">
        <v>0</v>
      </c>
      <c r="P5" t="n">
        <v>0</v>
      </c>
      <c r="Q5" t="n">
        <v>9</v>
      </c>
      <c r="R5" t="n">
        <v>3</v>
      </c>
      <c r="S5" t="n">
        <v>17</v>
      </c>
      <c r="T5" t="n">
        <v>54</v>
      </c>
      <c r="U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V5">
        <f>HYPERLINK("https://klasma.github.io/Logging_2061/artfynd/A 36532-2025 artfynd.xlsx", "A 36532-2025")</f>
        <v/>
      </c>
      <c r="W5">
        <f>HYPERLINK("https://klasma.github.io/Logging_2061/kartor/A 36532-2025 karta.png", "A 36532-2025")</f>
        <v/>
      </c>
      <c r="X5">
        <f>HYPERLINK("https://klasma.github.io/Logging_2061/kartor_geotiff/A 36532-2025 georefererad karta.tif", "A 36532-2025")</f>
        <v/>
      </c>
      <c r="Y5">
        <f>HYPERLINK("https://klasma.github.io/Logging_2061/knärot/A 36532-2025 karta knärot.png", "A 36532-2025")</f>
        <v/>
      </c>
      <c r="Z5">
        <f>HYPERLINK("https://klasma.github.io/Logging_2061/klagomål/A 36532-2025 FSC-klagomål.docx", "A 36532-2025")</f>
        <v/>
      </c>
      <c r="AA5">
        <f>HYPERLINK("https://klasma.github.io/Logging_2061/klagomålsmail/A 36532-2025 FSC-klagomål mail.docx", "A 36532-2025")</f>
        <v/>
      </c>
      <c r="AB5">
        <f>HYPERLINK("https://klasma.github.io/Logging_2061/tillsyn/A 36532-2025 tillsynsbegäran.docx", "A 36532-2025")</f>
        <v/>
      </c>
      <c r="AC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46223</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s="2" t="inlineStr">
        <is>
          <t>Vedsäckmossa
Blå säckmossa
Blå taggsvamp
Grantaggsvamp
Gullpudra
Kricka
Bågpraktmossa
Mattlummer
Spillkråka
Tjäder
Vanlig groda
Fläcknycklar
Revlummer</t>
        </is>
      </c>
      <c r="V6">
        <f>HYPERLINK("https://klasma.github.io/Logging_2061/artfynd/S 3569-2025 artfynd.xlsx", "S 3569-2025")</f>
        <v/>
      </c>
      <c r="W6">
        <f>HYPERLINK("https://klasma.github.io/Logging_2061/kartor/S 3569-2025 karta.png", "S 3569-2025")</f>
        <v/>
      </c>
      <c r="X6">
        <f>HYPERLINK("https://klasma.github.io/Logging_2061/kartor_geotiff/S 3569-2025 georefererad karta.tif", "S 3569-2025")</f>
        <v/>
      </c>
      <c r="Z6">
        <f>HYPERLINK("https://klasma.github.io/Logging_2061/klagomål/S 3569-2025 FSC-klagomål.docx", "S 3569-2025")</f>
        <v/>
      </c>
      <c r="AA6">
        <f>HYPERLINK("https://klasma.github.io/Logging_2061/klagomålsmail/S 3569-2025 FSC-klagomål mail.docx", "S 3569-2025")</f>
        <v/>
      </c>
      <c r="AB6">
        <f>HYPERLINK("https://klasma.github.io/Logging_2061/tillsyn/S 3569-2025 tillsynsbegäran.docx", "S 3569-2025")</f>
        <v/>
      </c>
      <c r="AC6">
        <f>HYPERLINK("https://klasma.github.io/Logging_2061/tillsynsmail/S 3569-2025 tillsynsbegäran mail.docx", "S 3569-2025")</f>
        <v/>
      </c>
      <c r="AD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46223</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s="2" t="inlineStr">
        <is>
          <t>Knärot
Rynkskinn
Ullticka
Vedtrappmossa
Flagellkvastmossa
Plattlummer
Skogshakmossa
Svart trolldruva
Vedticka
Vågbandad barkbock
Orre
Lopplummer (aggregat)</t>
        </is>
      </c>
      <c r="V7">
        <f>HYPERLINK("https://klasma.github.io/Logging_2061/artfynd/A 33017-2024 artfynd.xlsx", "A 33017-2024")</f>
        <v/>
      </c>
      <c r="W7">
        <f>HYPERLINK("https://klasma.github.io/Logging_2061/kartor/A 33017-2024 karta.png", "A 33017-2024")</f>
        <v/>
      </c>
      <c r="X7">
        <f>HYPERLINK("https://klasma.github.io/Logging_2061/kartor_geotiff/A 33017-2024 georefererad karta.tif", "A 33017-2024")</f>
        <v/>
      </c>
      <c r="Y7">
        <f>HYPERLINK("https://klasma.github.io/Logging_2061/knärot/A 33017-2024 karta knärot.png", "A 33017-2024")</f>
        <v/>
      </c>
      <c r="Z7">
        <f>HYPERLINK("https://klasma.github.io/Logging_2061/klagomål/A 33017-2024 FSC-klagomål.docx", "A 33017-2024")</f>
        <v/>
      </c>
      <c r="AA7">
        <f>HYPERLINK("https://klasma.github.io/Logging_2061/klagomålsmail/A 33017-2024 FSC-klagomål mail.docx", "A 33017-2024")</f>
        <v/>
      </c>
      <c r="AB7">
        <f>HYPERLINK("https://klasma.github.io/Logging_2061/tillsyn/A 33017-2024 tillsynsbegäran.docx", "A 33017-2024")</f>
        <v/>
      </c>
      <c r="AC7">
        <f>HYPERLINK("https://klasma.github.io/Logging_2061/tillsynsmail/A 33017-2024 tillsynsbegäran mail.docx", "A 33017-2024")</f>
        <v/>
      </c>
      <c r="AD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46223</v>
      </c>
      <c r="F8" t="inlineStr">
        <is>
          <t>DALARNAS LÄN</t>
        </is>
      </c>
      <c r="G8" t="inlineStr">
        <is>
          <t>SMEDJEBACKEN</t>
        </is>
      </c>
      <c r="I8" t="n">
        <v>6.3</v>
      </c>
      <c r="J8" t="n">
        <v>5</v>
      </c>
      <c r="K8" t="n">
        <v>1</v>
      </c>
      <c r="L8" t="n">
        <v>5</v>
      </c>
      <c r="M8" t="n">
        <v>3</v>
      </c>
      <c r="N8" t="n">
        <v>0</v>
      </c>
      <c r="O8" t="n">
        <v>0</v>
      </c>
      <c r="P8" t="n">
        <v>0</v>
      </c>
      <c r="Q8" t="n">
        <v>8</v>
      </c>
      <c r="R8" t="n">
        <v>3</v>
      </c>
      <c r="S8" t="n">
        <v>11</v>
      </c>
      <c r="T8" t="n">
        <v>27</v>
      </c>
      <c r="U8" s="2" t="inlineStr">
        <is>
          <t>Knärot
Läderdoftande fingersvamp
Taggfingersvamp
Fjällig taggsvamp s.str.
Gultoppig fingersvamp
Rynkskinn
Tretåig hackspett
Vågticka
Grönkulla
Blåsippa
Nattviol</t>
        </is>
      </c>
      <c r="V8">
        <f>HYPERLINK("https://klasma.github.io/Logging_2061/artfynd/A 49765-2022 artfynd.xlsx", "A 49765-2022")</f>
        <v/>
      </c>
      <c r="W8">
        <f>HYPERLINK("https://klasma.github.io/Logging_2061/kartor/A 49765-2022 karta.png", "A 49765-2022")</f>
        <v/>
      </c>
      <c r="X8">
        <f>HYPERLINK("https://klasma.github.io/Logging_2061/kartor_geotiff/A 49765-2022 georefererad karta.tif", "A 49765-2022")</f>
        <v/>
      </c>
      <c r="Y8">
        <f>HYPERLINK("https://klasma.github.io/Logging_2061/knärot/A 49765-2022 karta knärot.png", "A 49765-2022")</f>
        <v/>
      </c>
      <c r="Z8">
        <f>HYPERLINK("https://klasma.github.io/Logging_2061/klagomål/A 49765-2022 FSC-klagomål.docx", "A 49765-2022")</f>
        <v/>
      </c>
      <c r="AA8">
        <f>HYPERLINK("https://klasma.github.io/Logging_2061/klagomålsmail/A 49765-2022 FSC-klagomål mail.docx", "A 49765-2022")</f>
        <v/>
      </c>
      <c r="AB8">
        <f>HYPERLINK("https://klasma.github.io/Logging_2061/tillsyn/A 49765-2022 tillsynsbegäran.docx", "A 49765-2022")</f>
        <v/>
      </c>
      <c r="AC8">
        <f>HYPERLINK("https://klasma.github.io/Logging_2061/tillsynsmail/A 49765-2022 tillsynsbegäran mail.docx", "A 49765-2022")</f>
        <v/>
      </c>
      <c r="AD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46223</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s="2" t="inlineStr">
        <is>
          <t>Knärot
Mörk kådsvartspik
Röd kådsvartspik
Kattfotslav
Stjärntagging
Bronshjon
Jättesvampmal
Rostfläck
Vedticka
Kungsfågel
Sångsvan</t>
        </is>
      </c>
      <c r="V9">
        <f>HYPERLINK("https://klasma.github.io/Logging_2061/artfynd/A 42272-2021 artfynd.xlsx", "A 42272-2021")</f>
        <v/>
      </c>
      <c r="W9">
        <f>HYPERLINK("https://klasma.github.io/Logging_2061/kartor/A 42272-2021 karta.png", "A 42272-2021")</f>
        <v/>
      </c>
      <c r="X9">
        <f>HYPERLINK("https://klasma.github.io/Logging_2061/kartor_geotiff/A 42272-2021 georefererad karta.tif", "A 42272-2021")</f>
        <v/>
      </c>
      <c r="Y9">
        <f>HYPERLINK("https://klasma.github.io/Logging_2061/knärot/A 42272-2021 karta knärot.png", "A 42272-2021")</f>
        <v/>
      </c>
      <c r="Z9">
        <f>HYPERLINK("https://klasma.github.io/Logging_2061/klagomål/A 42272-2021 FSC-klagomål.docx", "A 42272-2021")</f>
        <v/>
      </c>
      <c r="AA9">
        <f>HYPERLINK("https://klasma.github.io/Logging_2061/klagomålsmail/A 42272-2021 FSC-klagomål mail.docx", "A 42272-2021")</f>
        <v/>
      </c>
      <c r="AB9">
        <f>HYPERLINK("https://klasma.github.io/Logging_2061/tillsyn/A 42272-2021 tillsynsbegäran.docx", "A 42272-2021")</f>
        <v/>
      </c>
      <c r="AC9">
        <f>HYPERLINK("https://klasma.github.io/Logging_2061/tillsynsmail/A 42272-2021 tillsynsbegäran mail.docx", "A 42272-2021")</f>
        <v/>
      </c>
      <c r="AD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46223</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s="2" t="inlineStr">
        <is>
          <t>Pärluggla
Rynkskinn
Skogshare
Ullticka
Bronshjon
Nattskärra
Spillkråka
Sälg</t>
        </is>
      </c>
      <c r="V10">
        <f>HYPERLINK("https://klasma.github.io/Logging_2061/artfynd/A 25404-2026 artfynd.xlsx", "A 25404-2026")</f>
        <v/>
      </c>
      <c r="W10">
        <f>HYPERLINK("https://klasma.github.io/Logging_2061/kartor/A 25404-2026 karta.png", "A 25404-2026")</f>
        <v/>
      </c>
      <c r="X10">
        <f>HYPERLINK("https://klasma.github.io/Logging_2061/kartor_geotiff/A 25404-2026 georefererad karta.tif", "A 25404-2026")</f>
        <v/>
      </c>
      <c r="Z10">
        <f>HYPERLINK("https://klasma.github.io/Logging_2061/klagomål/A 25404-2026 FSC-klagomål.docx", "A 25404-2026")</f>
        <v/>
      </c>
      <c r="AA10">
        <f>HYPERLINK("https://klasma.github.io/Logging_2061/klagomålsmail/A 25404-2026 FSC-klagomål mail.docx", "A 25404-2026")</f>
        <v/>
      </c>
      <c r="AB10">
        <f>HYPERLINK("https://klasma.github.io/Logging_2061/tillsyn/A 25404-2026 tillsynsbegäran.docx", "A 25404-2026")</f>
        <v/>
      </c>
      <c r="AC10">
        <f>HYPERLINK("https://klasma.github.io/Logging_2061/tillsynsmail/A 25404-2026 tillsynsbegäran mail.docx", "A 25404-2026")</f>
        <v/>
      </c>
      <c r="AD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46223</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s="2" t="inlineStr">
        <is>
          <t>Entita
Gropticka
Motaggsvamp
Gullgröppa
Tjäder
Tofsmes
Smålom
Fläcknycklar</t>
        </is>
      </c>
      <c r="V11">
        <f>HYPERLINK("https://klasma.github.io/Logging_2061/artfynd/S 5222-2022 artfynd.xlsx", "S 5222-2022")</f>
        <v/>
      </c>
      <c r="W11">
        <f>HYPERLINK("https://klasma.github.io/Logging_2061/kartor/S 5222-2022 karta.png", "S 5222-2022")</f>
        <v/>
      </c>
      <c r="X11">
        <f>HYPERLINK("https://klasma.github.io/Logging_2061/kartor_geotiff/S 5222-2022 georefererad karta.tif", "S 5222-2022")</f>
        <v/>
      </c>
      <c r="Z11">
        <f>HYPERLINK("https://klasma.github.io/Logging_2061/klagomål/S 5222-2022 FSC-klagomål.docx", "S 5222-2022")</f>
        <v/>
      </c>
      <c r="AA11">
        <f>HYPERLINK("https://klasma.github.io/Logging_2061/klagomålsmail/S 5222-2022 FSC-klagomål mail.docx", "S 5222-2022")</f>
        <v/>
      </c>
      <c r="AB11">
        <f>HYPERLINK("https://klasma.github.io/Logging_2061/tillsyn/S 5222-2022 tillsynsbegäran.docx", "S 5222-2022")</f>
        <v/>
      </c>
      <c r="AC11">
        <f>HYPERLINK("https://klasma.github.io/Logging_2061/tillsynsmail/S 5222-2022 tillsynsbegäran mail.docx", "S 5222-2022")</f>
        <v/>
      </c>
      <c r="AD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46223</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s="2" t="inlineStr">
        <is>
          <t>Entita
Gropticka
Motaggsvamp
Gullgröppa
Tjäder
Tofsmes
Smålom
Fläcknycklar</t>
        </is>
      </c>
      <c r="V12">
        <f>HYPERLINK("https://klasma.github.io/Logging_2061/artfynd/S 930-2023 artfynd.xlsx", "S 930-2023")</f>
        <v/>
      </c>
      <c r="W12">
        <f>HYPERLINK("https://klasma.github.io/Logging_2061/kartor/S 930-2023 karta.png", "S 930-2023")</f>
        <v/>
      </c>
      <c r="X12">
        <f>HYPERLINK("https://klasma.github.io/Logging_2061/kartor_geotiff/S 930-2023 georefererad karta.tif", "S 930-2023")</f>
        <v/>
      </c>
      <c r="Z12">
        <f>HYPERLINK("https://klasma.github.io/Logging_2061/klagomål/S 930-2023 FSC-klagomål.docx", "S 930-2023")</f>
        <v/>
      </c>
      <c r="AA12">
        <f>HYPERLINK("https://klasma.github.io/Logging_2061/klagomålsmail/S 930-2023 FSC-klagomål mail.docx", "S 930-2023")</f>
        <v/>
      </c>
      <c r="AB12">
        <f>HYPERLINK("https://klasma.github.io/Logging_2061/tillsyn/S 930-2023 tillsynsbegäran.docx", "S 930-2023")</f>
        <v/>
      </c>
      <c r="AC12">
        <f>HYPERLINK("https://klasma.github.io/Logging_2061/tillsynsmail/S 930-2023 tillsynsbegäran mail.docx", "S 930-2023")</f>
        <v/>
      </c>
      <c r="AD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46223</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s="2" t="inlineStr">
        <is>
          <t>Bågpraktmossa
Grov baronmossa
Guldlockmossa
Stenporella
Svart trolldruva
Trädporella
Blåsippa</t>
        </is>
      </c>
      <c r="V13">
        <f>HYPERLINK("https://klasma.github.io/Logging_2061/artfynd/A 35890-2025 artfynd.xlsx", "A 35890-2025")</f>
        <v/>
      </c>
      <c r="W13">
        <f>HYPERLINK("https://klasma.github.io/Logging_2061/kartor/A 35890-2025 karta.png", "A 35890-2025")</f>
        <v/>
      </c>
      <c r="X13">
        <f>HYPERLINK("https://klasma.github.io/Logging_2061/kartor_geotiff/A 35890-2025 georefererad karta.tif", "A 35890-2025")</f>
        <v/>
      </c>
      <c r="Z13">
        <f>HYPERLINK("https://klasma.github.io/Logging_2061/klagomål/A 35890-2025 FSC-klagomål.docx", "A 35890-2025")</f>
        <v/>
      </c>
      <c r="AA13">
        <f>HYPERLINK("https://klasma.github.io/Logging_2061/klagomålsmail/A 35890-2025 FSC-klagomål mail.docx", "A 35890-2025")</f>
        <v/>
      </c>
      <c r="AB13">
        <f>HYPERLINK("https://klasma.github.io/Logging_2061/tillsyn/A 35890-2025 tillsynsbegäran.docx", "A 35890-2025")</f>
        <v/>
      </c>
      <c r="AC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46223</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s="2" t="inlineStr">
        <is>
          <t>Knärot
Motaggsvamp
Tallticka
Vedskivlav
Vedtrappmossa
Vågbandad barkbock
Spillkråka</t>
        </is>
      </c>
      <c r="V14">
        <f>HYPERLINK("https://klasma.github.io/Logging_2061/artfynd/A 52601-2024 artfynd.xlsx", "A 52601-2024")</f>
        <v/>
      </c>
      <c r="W14">
        <f>HYPERLINK("https://klasma.github.io/Logging_2061/kartor/A 52601-2024 karta.png", "A 52601-2024")</f>
        <v/>
      </c>
      <c r="X14">
        <f>HYPERLINK("https://klasma.github.io/Logging_2061/kartor_geotiff/A 52601-2024 georefererad karta.tif", "A 52601-2024")</f>
        <v/>
      </c>
      <c r="Y14">
        <f>HYPERLINK("https://klasma.github.io/Logging_2061/knärot/A 52601-2024 karta knärot.png", "A 52601-2024")</f>
        <v/>
      </c>
      <c r="Z14">
        <f>HYPERLINK("https://klasma.github.io/Logging_2061/klagomål/A 52601-2024 FSC-klagomål.docx", "A 52601-2024")</f>
        <v/>
      </c>
      <c r="AA14">
        <f>HYPERLINK("https://klasma.github.io/Logging_2061/klagomålsmail/A 52601-2024 FSC-klagomål mail.docx", "A 52601-2024")</f>
        <v/>
      </c>
      <c r="AB14">
        <f>HYPERLINK("https://klasma.github.io/Logging_2061/tillsyn/A 52601-2024 tillsynsbegäran.docx", "A 52601-2024")</f>
        <v/>
      </c>
      <c r="AC14">
        <f>HYPERLINK("https://klasma.github.io/Logging_2061/tillsynsmail/A 52601-2024 tillsynsbegäran mail.docx", "A 52601-2024")</f>
        <v/>
      </c>
      <c r="AD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46223</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s="2" t="inlineStr">
        <is>
          <t>Tjockfotad fingersvamp
Vedtrappmossa
Grön sköldmossa
Stubbspretmossa
Tibast
Blåsippa
Kopparödla</t>
        </is>
      </c>
      <c r="V15">
        <f>HYPERLINK("https://klasma.github.io/Logging_2061/artfynd/S 742-2025 artfynd.xlsx", "S 742-2025")</f>
        <v/>
      </c>
      <c r="W15">
        <f>HYPERLINK("https://klasma.github.io/Logging_2061/kartor/S 742-2025 karta.png", "S 742-2025")</f>
        <v/>
      </c>
      <c r="X15">
        <f>HYPERLINK("https://klasma.github.io/Logging_2061/kartor_geotiff/S 742-2025 georefererad karta.tif", "S 742-2025")</f>
        <v/>
      </c>
      <c r="Z15">
        <f>HYPERLINK("https://klasma.github.io/Logging_2061/klagomål/S 742-2025 FSC-klagomål.docx", "S 742-2025")</f>
        <v/>
      </c>
      <c r="AA15">
        <f>HYPERLINK("https://klasma.github.io/Logging_2061/klagomålsmail/S 742-2025 FSC-klagomål mail.docx", "S 742-2025")</f>
        <v/>
      </c>
      <c r="AB15">
        <f>HYPERLINK("https://klasma.github.io/Logging_2061/tillsyn/S 742-2025 tillsynsbegäran.docx", "S 742-2025")</f>
        <v/>
      </c>
      <c r="AC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46223</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s="2" t="inlineStr">
        <is>
          <t>Knärot
Talltita
Bollvitmossa
Tofsmes
Orre
Revlummer</t>
        </is>
      </c>
      <c r="V16">
        <f>HYPERLINK("https://klasma.github.io/Logging_2061/artfynd/A 19410-2023 artfynd.xlsx", "A 19410-2023")</f>
        <v/>
      </c>
      <c r="W16">
        <f>HYPERLINK("https://klasma.github.io/Logging_2061/kartor/A 19410-2023 karta.png", "A 19410-2023")</f>
        <v/>
      </c>
      <c r="X16">
        <f>HYPERLINK("https://klasma.github.io/Logging_2061/kartor_geotiff/A 19410-2023 georefererad karta.tif", "A 19410-2023")</f>
        <v/>
      </c>
      <c r="Y16">
        <f>HYPERLINK("https://klasma.github.io/Logging_2061/knärot/A 19410-2023 karta knärot.png", "A 19410-2023")</f>
        <v/>
      </c>
      <c r="Z16">
        <f>HYPERLINK("https://klasma.github.io/Logging_2061/klagomål/A 19410-2023 FSC-klagomål.docx", "A 19410-2023")</f>
        <v/>
      </c>
      <c r="AA16">
        <f>HYPERLINK("https://klasma.github.io/Logging_2061/klagomålsmail/A 19410-2023 FSC-klagomål mail.docx", "A 19410-2023")</f>
        <v/>
      </c>
      <c r="AB16">
        <f>HYPERLINK("https://klasma.github.io/Logging_2061/tillsyn/A 19410-2023 tillsynsbegäran.docx", "A 19410-2023")</f>
        <v/>
      </c>
      <c r="AC16">
        <f>HYPERLINK("https://klasma.github.io/Logging_2061/tillsynsmail/A 19410-2023 tillsynsbegäran mail.docx", "A 19410-2023")</f>
        <v/>
      </c>
      <c r="AD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46223</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s="2" t="inlineStr">
        <is>
          <t>Knärot
Ullticka
Gullgröppa
Rödgul trumpetsvamp
Svavelriska
Blåsippa</t>
        </is>
      </c>
      <c r="V17">
        <f>HYPERLINK("https://klasma.github.io/Logging_2061/artfynd/A 54940-2025 artfynd.xlsx", "A 54940-2025")</f>
        <v/>
      </c>
      <c r="W17">
        <f>HYPERLINK("https://klasma.github.io/Logging_2061/kartor/A 54940-2025 karta.png", "A 54940-2025")</f>
        <v/>
      </c>
      <c r="X17">
        <f>HYPERLINK("https://klasma.github.io/Logging_2061/kartor_geotiff/A 54940-2025 georefererad karta.tif", "A 54940-2025")</f>
        <v/>
      </c>
      <c r="Y17">
        <f>HYPERLINK("https://klasma.github.io/Logging_2061/knärot/A 54940-2025 karta knärot.png", "A 54940-2025")</f>
        <v/>
      </c>
      <c r="Z17">
        <f>HYPERLINK("https://klasma.github.io/Logging_2061/klagomål/A 54940-2025 FSC-klagomål.docx", "A 54940-2025")</f>
        <v/>
      </c>
      <c r="AA17">
        <f>HYPERLINK("https://klasma.github.io/Logging_2061/klagomålsmail/A 54940-2025 FSC-klagomål mail.docx", "A 54940-2025")</f>
        <v/>
      </c>
      <c r="AB17">
        <f>HYPERLINK("https://klasma.github.io/Logging_2061/tillsyn/A 54940-2025 tillsynsbegäran.docx", "A 54940-2025")</f>
        <v/>
      </c>
      <c r="AC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46223</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s="2" t="inlineStr">
        <is>
          <t>Fjällig taggsvamp s.str.
Sotriska
Strimspindling
Svart trolldruva
Ögonpyrola</t>
        </is>
      </c>
      <c r="V18">
        <f>HYPERLINK("https://klasma.github.io/Logging_2061/artfynd/A 35889-2025 artfynd.xlsx", "A 35889-2025")</f>
        <v/>
      </c>
      <c r="W18">
        <f>HYPERLINK("https://klasma.github.io/Logging_2061/kartor/A 35889-2025 karta.png", "A 35889-2025")</f>
        <v/>
      </c>
      <c r="X18">
        <f>HYPERLINK("https://klasma.github.io/Logging_2061/kartor_geotiff/A 35889-2025 georefererad karta.tif", "A 35889-2025")</f>
        <v/>
      </c>
      <c r="Z18">
        <f>HYPERLINK("https://klasma.github.io/Logging_2061/klagomål/A 35889-2025 FSC-klagomål.docx", "A 35889-2025")</f>
        <v/>
      </c>
      <c r="AA18">
        <f>HYPERLINK("https://klasma.github.io/Logging_2061/klagomålsmail/A 35889-2025 FSC-klagomål mail.docx", "A 35889-2025")</f>
        <v/>
      </c>
      <c r="AB18">
        <f>HYPERLINK("https://klasma.github.io/Logging_2061/tillsyn/A 35889-2025 tillsynsbegäran.docx", "A 35889-2025")</f>
        <v/>
      </c>
      <c r="AC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46223</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s="2" t="inlineStr">
        <is>
          <t>Knärot
Vedskivlav
Barkticka
Vedticka
Vågbandad barkbock</t>
        </is>
      </c>
      <c r="V19">
        <f>HYPERLINK("https://klasma.github.io/Logging_2061/artfynd/A 23498-2024 artfynd.xlsx", "A 23498-2024")</f>
        <v/>
      </c>
      <c r="W19">
        <f>HYPERLINK("https://klasma.github.io/Logging_2061/kartor/A 23498-2024 karta.png", "A 23498-2024")</f>
        <v/>
      </c>
      <c r="X19">
        <f>HYPERLINK("https://klasma.github.io/Logging_2061/kartor_geotiff/A 23498-2024 georefererad karta.tif", "A 23498-2024")</f>
        <v/>
      </c>
      <c r="Y19">
        <f>HYPERLINK("https://klasma.github.io/Logging_2061/knärot/A 23498-2024 karta knärot.png", "A 23498-2024")</f>
        <v/>
      </c>
      <c r="Z19">
        <f>HYPERLINK("https://klasma.github.io/Logging_2061/klagomål/A 23498-2024 FSC-klagomål.docx", "A 23498-2024")</f>
        <v/>
      </c>
      <c r="AA19">
        <f>HYPERLINK("https://klasma.github.io/Logging_2061/klagomålsmail/A 23498-2024 FSC-klagomål mail.docx", "A 23498-2024")</f>
        <v/>
      </c>
      <c r="AB19">
        <f>HYPERLINK("https://klasma.github.io/Logging_2061/tillsyn/A 23498-2024 tillsynsbegäran.docx", "A 23498-2024")</f>
        <v/>
      </c>
      <c r="AC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46223</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s="2" t="inlineStr">
        <is>
          <t>Brun gräsfjäril
Väddnätfjäril
Mattlummer
Fläcknycklar
Revlummer</t>
        </is>
      </c>
      <c r="V20">
        <f>HYPERLINK("https://klasma.github.io/Logging_2061/artfynd/A 60678-2024 artfynd.xlsx", "A 60678-2024")</f>
        <v/>
      </c>
      <c r="W20">
        <f>HYPERLINK("https://klasma.github.io/Logging_2061/kartor/A 60678-2024 karta.png", "A 60678-2024")</f>
        <v/>
      </c>
      <c r="X20">
        <f>HYPERLINK("https://klasma.github.io/Logging_2061/kartor_geotiff/A 60678-2024 georefererad karta.tif", "A 60678-2024")</f>
        <v/>
      </c>
      <c r="Z20">
        <f>HYPERLINK("https://klasma.github.io/Logging_2061/klagomål/A 60678-2024 FSC-klagomål.docx", "A 60678-2024")</f>
        <v/>
      </c>
      <c r="AA20">
        <f>HYPERLINK("https://klasma.github.io/Logging_2061/klagomålsmail/A 60678-2024 FSC-klagomål mail.docx", "A 60678-2024")</f>
        <v/>
      </c>
      <c r="AB20">
        <f>HYPERLINK("https://klasma.github.io/Logging_2061/tillsyn/A 60678-2024 tillsynsbegäran.docx", "A 60678-2024")</f>
        <v/>
      </c>
      <c r="AC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46223</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s="2" t="inlineStr">
        <is>
          <t>Garnlav
Tallticka
Bollvitmossa
Mindre märgborre</t>
        </is>
      </c>
      <c r="V21">
        <f>HYPERLINK("https://klasma.github.io/Logging_2061/artfynd/A 50681-2025 artfynd.xlsx", "A 50681-2025")</f>
        <v/>
      </c>
      <c r="W21">
        <f>HYPERLINK("https://klasma.github.io/Logging_2061/kartor/A 50681-2025 karta.png", "A 50681-2025")</f>
        <v/>
      </c>
      <c r="X21">
        <f>HYPERLINK("https://klasma.github.io/Logging_2061/kartor_geotiff/A 50681-2025 georefererad karta.tif", "A 50681-2025")</f>
        <v/>
      </c>
      <c r="Z21">
        <f>HYPERLINK("https://klasma.github.io/Logging_2061/klagomål/A 50681-2025 FSC-klagomål.docx", "A 50681-2025")</f>
        <v/>
      </c>
      <c r="AA21">
        <f>HYPERLINK("https://klasma.github.io/Logging_2061/klagomålsmail/A 50681-2025 FSC-klagomål mail.docx", "A 50681-2025")</f>
        <v/>
      </c>
      <c r="AB21">
        <f>HYPERLINK("https://klasma.github.io/Logging_2061/tillsyn/A 50681-2025 tillsynsbegäran.docx", "A 50681-2025")</f>
        <v/>
      </c>
      <c r="AC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46223</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s="2" t="inlineStr">
        <is>
          <t>Knärot
Dropptaggsvamp
Plattlummer
Trådticka</t>
        </is>
      </c>
      <c r="V22">
        <f>HYPERLINK("https://klasma.github.io/Logging_2061/artfynd/A 53555-2025 artfynd.xlsx", "A 53555-2025")</f>
        <v/>
      </c>
      <c r="W22">
        <f>HYPERLINK("https://klasma.github.io/Logging_2061/kartor/A 53555-2025 karta.png", "A 53555-2025")</f>
        <v/>
      </c>
      <c r="X22">
        <f>HYPERLINK("https://klasma.github.io/Logging_2061/kartor_geotiff/A 53555-2025 georefererad karta.tif", "A 53555-2025")</f>
        <v/>
      </c>
      <c r="Y22">
        <f>HYPERLINK("https://klasma.github.io/Logging_2061/knärot/A 53555-2025 karta knärot.png", "A 53555-2025")</f>
        <v/>
      </c>
      <c r="Z22">
        <f>HYPERLINK("https://klasma.github.io/Logging_2061/klagomål/A 53555-2025 FSC-klagomål.docx", "A 53555-2025")</f>
        <v/>
      </c>
      <c r="AA22">
        <f>HYPERLINK("https://klasma.github.io/Logging_2061/klagomålsmail/A 53555-2025 FSC-klagomål mail.docx", "A 53555-2025")</f>
        <v/>
      </c>
      <c r="AB22">
        <f>HYPERLINK("https://klasma.github.io/Logging_2061/tillsyn/A 53555-2025 tillsynsbegäran.docx", "A 53555-2025")</f>
        <v/>
      </c>
      <c r="AC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46223</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s="2" t="inlineStr">
        <is>
          <t>Grönsångare
Spillkråka
Buskmus
Svartvit flugsnappare</t>
        </is>
      </c>
      <c r="V23">
        <f>HYPERLINK("https://klasma.github.io/Logging_2061/artfynd/S 4215-2023 artfynd.xlsx", "S 4215-2023")</f>
        <v/>
      </c>
      <c r="W23">
        <f>HYPERLINK("https://klasma.github.io/Logging_2061/kartor/S 4215-2023 karta.png", "S 4215-2023")</f>
        <v/>
      </c>
      <c r="X23">
        <f>HYPERLINK("https://klasma.github.io/Logging_2061/kartor_geotiff/S 4215-2023 georefererad karta.tif", "S 4215-2023")</f>
        <v/>
      </c>
      <c r="Z23">
        <f>HYPERLINK("https://klasma.github.io/Logging_2061/klagomål/S 4215-2023 FSC-klagomål.docx", "S 4215-2023")</f>
        <v/>
      </c>
      <c r="AA23">
        <f>HYPERLINK("https://klasma.github.io/Logging_2061/klagomålsmail/S 4215-2023 FSC-klagomål mail.docx", "S 4215-2023")</f>
        <v/>
      </c>
      <c r="AB23">
        <f>HYPERLINK("https://klasma.github.io/Logging_2061/tillsyn/S 4215-2023 tillsynsbegäran.docx", "S 4215-2023")</f>
        <v/>
      </c>
      <c r="AC23">
        <f>HYPERLINK("https://klasma.github.io/Logging_2061/tillsynsmail/S 4215-2023 tillsynsbegäran mail.docx", "S 4215-2023")</f>
        <v/>
      </c>
      <c r="AD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46223</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s="2" t="inlineStr">
        <is>
          <t>Grönsångare
Talltagel
Blåsippa
Revlummer</t>
        </is>
      </c>
      <c r="V24">
        <f>HYPERLINK("https://klasma.github.io/Logging_2061/artfynd/S 1097-2024 artfynd.xlsx", "S 1097-2024")</f>
        <v/>
      </c>
      <c r="W24">
        <f>HYPERLINK("https://klasma.github.io/Logging_2061/kartor/S 1097-2024 karta.png", "S 1097-2024")</f>
        <v/>
      </c>
      <c r="X24">
        <f>HYPERLINK("https://klasma.github.io/Logging_2061/kartor_geotiff/S 1097-2024 georefererad karta.tif", "S 1097-2024")</f>
        <v/>
      </c>
      <c r="Z24">
        <f>HYPERLINK("https://klasma.github.io/Logging_2061/klagomål/S 1097-2024 FSC-klagomål.docx", "S 1097-2024")</f>
        <v/>
      </c>
      <c r="AA24">
        <f>HYPERLINK("https://klasma.github.io/Logging_2061/klagomålsmail/S 1097-2024 FSC-klagomål mail.docx", "S 1097-2024")</f>
        <v/>
      </c>
      <c r="AB24">
        <f>HYPERLINK("https://klasma.github.io/Logging_2061/tillsyn/S 1097-2024 tillsynsbegäran.docx", "S 1097-2024")</f>
        <v/>
      </c>
      <c r="AC24">
        <f>HYPERLINK("https://klasma.github.io/Logging_2061/tillsynsmail/S 1097-2024 tillsynsbegäran mail.docx", "S 1097-2024")</f>
        <v/>
      </c>
      <c r="AD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46223</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s="2" t="inlineStr">
        <is>
          <t>Bronshjon
Spillkråka
Tjäder</t>
        </is>
      </c>
      <c r="V25">
        <f>HYPERLINK("https://klasma.github.io/Logging_2061/artfynd/A 31791-2022 artfynd.xlsx", "A 31791-2022")</f>
        <v/>
      </c>
      <c r="W25">
        <f>HYPERLINK("https://klasma.github.io/Logging_2061/kartor/A 31791-2022 karta.png", "A 31791-2022")</f>
        <v/>
      </c>
      <c r="X25">
        <f>HYPERLINK("https://klasma.github.io/Logging_2061/kartor_geotiff/A 31791-2022 georefererad karta.tif", "A 31791-2022")</f>
        <v/>
      </c>
      <c r="Z25">
        <f>HYPERLINK("https://klasma.github.io/Logging_2061/klagomål/A 31791-2022 FSC-klagomål.docx", "A 31791-2022")</f>
        <v/>
      </c>
      <c r="AA25">
        <f>HYPERLINK("https://klasma.github.io/Logging_2061/klagomålsmail/A 31791-2022 FSC-klagomål mail.docx", "A 31791-2022")</f>
        <v/>
      </c>
      <c r="AB25">
        <f>HYPERLINK("https://klasma.github.io/Logging_2061/tillsyn/A 31791-2022 tillsynsbegäran.docx", "A 31791-2022")</f>
        <v/>
      </c>
      <c r="AC25">
        <f>HYPERLINK("https://klasma.github.io/Logging_2061/tillsynsmail/A 31791-2022 tillsynsbegäran mail.docx", "A 31791-2022")</f>
        <v/>
      </c>
      <c r="AD25">
        <f>HYPERLINK("https://klasma.github.io/Logging_2061/fåglar/A 31791-2022 prioriterade fågelarter.docx", "A 31791-2022")</f>
        <v/>
      </c>
    </row>
    <row r="26" ht="15" customHeight="1">
      <c r="A26" t="inlineStr">
        <is>
          <t>A 40537-2021</t>
        </is>
      </c>
      <c r="B26" t="inlineStr">
        <is>
          <t>avverkningsanmälan</t>
        </is>
      </c>
      <c r="C26" t="inlineStr">
        <is>
          <t>Föryngringsavverkning</t>
        </is>
      </c>
      <c r="D26" s="1" t="n">
        <v>44420</v>
      </c>
      <c r="E26" s="1" t="n">
        <v>46223</v>
      </c>
      <c r="F26" t="inlineStr">
        <is>
          <t>DALARNAS LÄN</t>
        </is>
      </c>
      <c r="G26" t="inlineStr">
        <is>
          <t>SMEDJEBACKEN</t>
        </is>
      </c>
      <c r="H26" t="inlineStr">
        <is>
          <t>Övriga Aktiebolag</t>
        </is>
      </c>
      <c r="I26" t="n">
        <v>10</v>
      </c>
      <c r="J26" t="n">
        <v>2</v>
      </c>
      <c r="K26" t="n">
        <v>0</v>
      </c>
      <c r="L26" t="n">
        <v>2</v>
      </c>
      <c r="M26" t="n">
        <v>0</v>
      </c>
      <c r="N26" t="n">
        <v>0</v>
      </c>
      <c r="O26" t="n">
        <v>0</v>
      </c>
      <c r="P26" t="n">
        <v>0</v>
      </c>
      <c r="Q26" t="n">
        <v>2</v>
      </c>
      <c r="R26" t="n">
        <v>0</v>
      </c>
      <c r="S26" t="n">
        <v>3</v>
      </c>
      <c r="T26" t="n">
        <v>4</v>
      </c>
      <c r="U26" s="2" t="inlineStr">
        <is>
          <t>Dropptaggsvamp
Tretåig hackspett
Blåsippa</t>
        </is>
      </c>
      <c r="V26">
        <f>HYPERLINK("https://klasma.github.io/Logging_2061/artfynd/A 40537-2021 artfynd.xlsx", "A 40537-2021")</f>
        <v/>
      </c>
      <c r="W26">
        <f>HYPERLINK("https://klasma.github.io/Logging_2061/kartor/A 40537-2021 karta.png", "A 40537-2021")</f>
        <v/>
      </c>
      <c r="X26">
        <f>HYPERLINK("https://klasma.github.io/Logging_2061/kartor_geotiff/A 40537-2021 georefererad karta.tif", "A 40537-2021")</f>
        <v/>
      </c>
      <c r="Z26">
        <f>HYPERLINK("https://klasma.github.io/Logging_2061/klagomål/A 40537-2021 FSC-klagomål.docx", "A 40537-2021")</f>
        <v/>
      </c>
      <c r="AA26">
        <f>HYPERLINK("https://klasma.github.io/Logging_2061/klagomålsmail/A 40537-2021 FSC-klagomål mail.docx", "A 40537-2021")</f>
        <v/>
      </c>
      <c r="AB26">
        <f>HYPERLINK("https://klasma.github.io/Logging_2061/tillsyn/A 40537-2021 tillsynsbegäran.docx", "A 40537-2021")</f>
        <v/>
      </c>
      <c r="AC26">
        <f>HYPERLINK("https://klasma.github.io/Logging_2061/tillsynsmail/A 40537-2021 tillsynsbegäran mail.docx", "A 40537-2021")</f>
        <v/>
      </c>
      <c r="AD26">
        <f>HYPERLINK("https://klasma.github.io/Logging_2061/fåglar/A 40537-2021 prioriterade fågelarter.docx", "A 40537-2021")</f>
        <v/>
      </c>
    </row>
    <row r="27" ht="15" customHeight="1">
      <c r="A27" t="inlineStr">
        <is>
          <t>A 63048-2025</t>
        </is>
      </c>
      <c r="B27" t="inlineStr">
        <is>
          <t>avverkningsanmälan</t>
        </is>
      </c>
      <c r="C27" t="inlineStr">
        <is>
          <t>Föryngringsavverkning</t>
        </is>
      </c>
      <c r="D27" s="1" t="n">
        <v>46009</v>
      </c>
      <c r="E27" s="1" t="n">
        <v>46223</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s="2" t="inlineStr">
        <is>
          <t>Stubbspretmossa
Blåsippa
Revlummer</t>
        </is>
      </c>
      <c r="V27">
        <f>HYPERLINK("https://klasma.github.io/Logging_2061/artfynd/A 63048-2025 artfynd.xlsx", "A 63048-2025")</f>
        <v/>
      </c>
      <c r="W27">
        <f>HYPERLINK("https://klasma.github.io/Logging_2061/kartor/A 63048-2025 karta.png", "A 63048-2025")</f>
        <v/>
      </c>
      <c r="X27">
        <f>HYPERLINK("https://klasma.github.io/Logging_2061/kartor_geotiff/A 63048-2025 georefererad karta.tif", "A 63048-2025")</f>
        <v/>
      </c>
      <c r="Z27">
        <f>HYPERLINK("https://klasma.github.io/Logging_2061/klagomål/A 63048-2025 FSC-klagomål.docx", "A 63048-2025")</f>
        <v/>
      </c>
      <c r="AA27">
        <f>HYPERLINK("https://klasma.github.io/Logging_2061/klagomålsmail/A 63048-2025 FSC-klagomål mail.docx", "A 63048-2025")</f>
        <v/>
      </c>
      <c r="AB27">
        <f>HYPERLINK("https://klasma.github.io/Logging_2061/tillsyn/A 63048-2025 tillsynsbegäran.docx", "A 63048-2025")</f>
        <v/>
      </c>
      <c r="AC27">
        <f>HYPERLINK("https://klasma.github.io/Logging_2061/tillsynsmail/A 63048-2025 tillsynsbegäran mail.docx", "A 63048-2025")</f>
        <v/>
      </c>
    </row>
    <row r="28" ht="15" customHeight="1">
      <c r="A28" t="inlineStr">
        <is>
          <t>A 39832-2024</t>
        </is>
      </c>
      <c r="B28" t="inlineStr">
        <is>
          <t>avverkningsanmälan</t>
        </is>
      </c>
      <c r="C28" t="inlineStr">
        <is>
          <t>Föryngringsavverkning</t>
        </is>
      </c>
      <c r="D28" s="1" t="n">
        <v>45553</v>
      </c>
      <c r="E28" s="1" t="n">
        <v>46223</v>
      </c>
      <c r="F28" t="inlineStr">
        <is>
          <t>DALARNAS LÄN</t>
        </is>
      </c>
      <c r="G28" t="inlineStr">
        <is>
          <t>SMEDJEBACKEN</t>
        </is>
      </c>
      <c r="I28" t="n">
        <v>2.4</v>
      </c>
      <c r="J28" t="n">
        <v>3</v>
      </c>
      <c r="K28" t="n">
        <v>0</v>
      </c>
      <c r="L28" t="n">
        <v>0</v>
      </c>
      <c r="M28" t="n">
        <v>0</v>
      </c>
      <c r="N28" t="n">
        <v>0</v>
      </c>
      <c r="O28" t="n">
        <v>0</v>
      </c>
      <c r="P28" t="n">
        <v>0</v>
      </c>
      <c r="Q28" t="n">
        <v>0</v>
      </c>
      <c r="R28" t="n">
        <v>0</v>
      </c>
      <c r="S28" t="n">
        <v>3</v>
      </c>
      <c r="T28" t="n">
        <v>5</v>
      </c>
      <c r="U28" s="2" t="inlineStr">
        <is>
          <t>Mindre vattensalamander
Vanlig groda
Revlummer</t>
        </is>
      </c>
      <c r="V28">
        <f>HYPERLINK("https://klasma.github.io/Logging_2061/artfynd/A 39832-2024 artfynd.xlsx", "A 39832-2024")</f>
        <v/>
      </c>
      <c r="W28">
        <f>HYPERLINK("https://klasma.github.io/Logging_2061/kartor/A 39832-2024 karta.png", "A 39832-2024")</f>
        <v/>
      </c>
      <c r="X28">
        <f>HYPERLINK("https://klasma.github.io/Logging_2061/kartor_geotiff/A 39832-2024 georefererad karta.tif", "A 39832-2024")</f>
        <v/>
      </c>
      <c r="Z28">
        <f>HYPERLINK("https://klasma.github.io/Logging_2061/klagomål/A 39832-2024 FSC-klagomål.docx", "A 39832-2024")</f>
        <v/>
      </c>
      <c r="AA28">
        <f>HYPERLINK("https://klasma.github.io/Logging_2061/klagomålsmail/A 39832-2024 FSC-klagomål mail.docx", "A 39832-2024")</f>
        <v/>
      </c>
      <c r="AB28">
        <f>HYPERLINK("https://klasma.github.io/Logging_2061/tillsyn/A 39832-2024 tillsynsbegäran.docx", "A 39832-2024")</f>
        <v/>
      </c>
      <c r="AC28">
        <f>HYPERLINK("https://klasma.github.io/Logging_2061/tillsynsmail/A 39832-2024 tillsynsbegäran mail.docx", "A 39832-2024")</f>
        <v/>
      </c>
    </row>
    <row r="29" ht="15" customHeight="1">
      <c r="A29" t="inlineStr">
        <is>
          <t>A 11155-2025</t>
        </is>
      </c>
      <c r="B29" t="inlineStr">
        <is>
          <t>avverkningsanmälan</t>
        </is>
      </c>
      <c r="C29" t="inlineStr">
        <is>
          <t>Föryngringsavverkning</t>
        </is>
      </c>
      <c r="D29" s="1" t="n">
        <v>45723</v>
      </c>
      <c r="E29" s="1" t="n">
        <v>46223</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s="2" t="inlineStr">
        <is>
          <t>Grön sköldmossa
Stubbspretmossa
Blåsippa</t>
        </is>
      </c>
      <c r="V29">
        <f>HYPERLINK("https://klasma.github.io/Logging_2061/artfynd/A 11155-2025 artfynd.xlsx", "A 11155-2025")</f>
        <v/>
      </c>
      <c r="W29">
        <f>HYPERLINK("https://klasma.github.io/Logging_2061/kartor/A 11155-2025 karta.png", "A 11155-2025")</f>
        <v/>
      </c>
      <c r="X29">
        <f>HYPERLINK("https://klasma.github.io/Logging_2061/kartor_geotiff/A 11155-2025 georefererad karta.tif", "A 11155-2025")</f>
        <v/>
      </c>
      <c r="Z29">
        <f>HYPERLINK("https://klasma.github.io/Logging_2061/klagomål/A 11155-2025 FSC-klagomål.docx", "A 11155-2025")</f>
        <v/>
      </c>
      <c r="AA29">
        <f>HYPERLINK("https://klasma.github.io/Logging_2061/klagomålsmail/A 11155-2025 FSC-klagomål mail.docx", "A 11155-2025")</f>
        <v/>
      </c>
      <c r="AB29">
        <f>HYPERLINK("https://klasma.github.io/Logging_2061/tillsyn/A 11155-2025 tillsynsbegäran.docx", "A 11155-2025")</f>
        <v/>
      </c>
      <c r="AC29">
        <f>HYPERLINK("https://klasma.github.io/Logging_2061/tillsynsmail/A 11155-2025 tillsynsbegäran mail.docx", "A 11155-2025")</f>
        <v/>
      </c>
    </row>
    <row r="30" ht="15" customHeight="1">
      <c r="A30" t="inlineStr">
        <is>
          <t>A 22623-2026</t>
        </is>
      </c>
      <c r="B30" t="inlineStr">
        <is>
          <t>avverkningsanmälan</t>
        </is>
      </c>
      <c r="C30" t="inlineStr">
        <is>
          <t>Föryngringsavverkning</t>
        </is>
      </c>
      <c r="D30" s="1" t="n">
        <v>46155</v>
      </c>
      <c r="E30" s="1" t="n">
        <v>46223</v>
      </c>
      <c r="F30" t="inlineStr">
        <is>
          <t>DALARNAS LÄN</t>
        </is>
      </c>
      <c r="G30" t="inlineStr">
        <is>
          <t>SMEDJEBACKEN</t>
        </is>
      </c>
      <c r="H30" t="inlineStr">
        <is>
          <t>Sveaskog</t>
        </is>
      </c>
      <c r="I30" t="n">
        <v>3.1</v>
      </c>
      <c r="J30" t="n">
        <v>0</v>
      </c>
      <c r="K30" t="n">
        <v>2</v>
      </c>
      <c r="L30" t="n">
        <v>0</v>
      </c>
      <c r="M30" t="n">
        <v>0</v>
      </c>
      <c r="N30" t="n">
        <v>1</v>
      </c>
      <c r="O30" t="n">
        <v>0</v>
      </c>
      <c r="P30" t="n">
        <v>0</v>
      </c>
      <c r="Q30" t="n">
        <v>1</v>
      </c>
      <c r="R30" t="n">
        <v>1</v>
      </c>
      <c r="S30" t="n">
        <v>3</v>
      </c>
      <c r="T30" t="n">
        <v>3</v>
      </c>
      <c r="U30" s="2" t="inlineStr">
        <is>
          <t>Skogsalm
Brandticka
Dvärgtufs</t>
        </is>
      </c>
      <c r="V30">
        <f>HYPERLINK("https://klasma.github.io/Logging_2061/artfynd/A 22623-2026 artfynd.xlsx", "A 22623-2026")</f>
        <v/>
      </c>
      <c r="W30">
        <f>HYPERLINK("https://klasma.github.io/Logging_2061/kartor/A 22623-2026 karta.png", "A 22623-2026")</f>
        <v/>
      </c>
      <c r="X30">
        <f>HYPERLINK("https://klasma.github.io/Logging_2061/kartor_geotiff/A 22623-2026 georefererad karta.tif", "A 22623-2026")</f>
        <v/>
      </c>
      <c r="Z30">
        <f>HYPERLINK("https://klasma.github.io/Logging_2061/klagomål/A 22623-2026 FSC-klagomål.docx", "A 22623-2026")</f>
        <v/>
      </c>
      <c r="AA30">
        <f>HYPERLINK("https://klasma.github.io/Logging_2061/klagomålsmail/A 22623-2026 FSC-klagomål mail.docx", "A 22623-2026")</f>
        <v/>
      </c>
      <c r="AB30">
        <f>HYPERLINK("https://klasma.github.io/Logging_2061/tillsyn/A 22623-2026 tillsynsbegäran.docx", "A 22623-2026")</f>
        <v/>
      </c>
      <c r="AC30">
        <f>HYPERLINK("https://klasma.github.io/Logging_2061/tillsynsmail/A 22623-2026 tillsynsbegäran mail.docx", "A 22623-2026")</f>
        <v/>
      </c>
    </row>
    <row r="31" ht="15" customHeight="1">
      <c r="A31" t="inlineStr">
        <is>
          <t>S 1103-2022</t>
        </is>
      </c>
      <c r="B31" t="inlineStr">
        <is>
          <t>samrådsanmälan</t>
        </is>
      </c>
      <c r="C31" t="inlineStr">
        <is>
          <t>Skogsgödsling</t>
        </is>
      </c>
      <c r="D31" s="1" t="n">
        <v>44615</v>
      </c>
      <c r="E31" s="1" t="n">
        <v>46223</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s="2" t="inlineStr">
        <is>
          <t>Bred trollknäppare
Mattlummer
Fläcknycklar</t>
        </is>
      </c>
      <c r="V31">
        <f>HYPERLINK("https://klasma.github.io/Logging_2061/artfynd/S 1103-2022 artfynd.xlsx", "S 1103-2022")</f>
        <v/>
      </c>
      <c r="W31">
        <f>HYPERLINK("https://klasma.github.io/Logging_2061/kartor/S 1103-2022 karta.png", "S 1103-2022")</f>
        <v/>
      </c>
      <c r="X31">
        <f>HYPERLINK("https://klasma.github.io/Logging_2061/kartor_geotiff/S 1103-2022 georefererad karta.tif", "S 1103-2022")</f>
        <v/>
      </c>
      <c r="Z31">
        <f>HYPERLINK("https://klasma.github.io/Logging_2061/klagomål/S 1103-2022 FSC-klagomål.docx", "S 1103-2022")</f>
        <v/>
      </c>
      <c r="AA31">
        <f>HYPERLINK("https://klasma.github.io/Logging_2061/klagomålsmail/S 1103-2022 FSC-klagomål mail.docx", "S 1103-2022")</f>
        <v/>
      </c>
      <c r="AB31">
        <f>HYPERLINK("https://klasma.github.io/Logging_2061/tillsyn/S 1103-2022 tillsynsbegäran.docx", "S 1103-2022")</f>
        <v/>
      </c>
      <c r="AC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46223</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s="2" t="inlineStr">
        <is>
          <t>Bårdlav
Dvärgtufs
Blåsippa</t>
        </is>
      </c>
      <c r="V32">
        <f>HYPERLINK("https://klasma.github.io/Logging_2061/artfynd/S 2703-2022 artfynd.xlsx", "S 2703-2022")</f>
        <v/>
      </c>
      <c r="W32">
        <f>HYPERLINK("https://klasma.github.io/Logging_2061/kartor/S 2703-2022 karta.png", "S 2703-2022")</f>
        <v/>
      </c>
      <c r="X32">
        <f>HYPERLINK("https://klasma.github.io/Logging_2061/kartor_geotiff/S 2703-2022 georefererad karta.tif", "S 2703-2022")</f>
        <v/>
      </c>
      <c r="Z32">
        <f>HYPERLINK("https://klasma.github.io/Logging_2061/klagomål/S 2703-2022 FSC-klagomål.docx", "S 2703-2022")</f>
        <v/>
      </c>
      <c r="AA32">
        <f>HYPERLINK("https://klasma.github.io/Logging_2061/klagomålsmail/S 2703-2022 FSC-klagomål mail.docx", "S 2703-2022")</f>
        <v/>
      </c>
      <c r="AB32">
        <f>HYPERLINK("https://klasma.github.io/Logging_2061/tillsyn/S 2703-2022 tillsynsbegäran.docx", "S 2703-2022")</f>
        <v/>
      </c>
      <c r="AC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46223</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s="2" t="inlineStr">
        <is>
          <t>Bårdlav
Blåsippa</t>
        </is>
      </c>
      <c r="V33">
        <f>HYPERLINK("https://klasma.github.io/Logging_2061/artfynd/A 49834-2021 artfynd.xlsx", "A 49834-2021")</f>
        <v/>
      </c>
      <c r="W33">
        <f>HYPERLINK("https://klasma.github.io/Logging_2061/kartor/A 49834-2021 karta.png", "A 49834-2021")</f>
        <v/>
      </c>
      <c r="X33">
        <f>HYPERLINK("https://klasma.github.io/Logging_2061/kartor_geotiff/A 49834-2021 georefererad karta.tif", "A 49834-2021")</f>
        <v/>
      </c>
      <c r="Z33">
        <f>HYPERLINK("https://klasma.github.io/Logging_2061/klagomål/A 49834-2021 FSC-klagomål.docx", "A 49834-2021")</f>
        <v/>
      </c>
      <c r="AA33">
        <f>HYPERLINK("https://klasma.github.io/Logging_2061/klagomålsmail/A 49834-2021 FSC-klagomål mail.docx", "A 49834-2021")</f>
        <v/>
      </c>
      <c r="AB33">
        <f>HYPERLINK("https://klasma.github.io/Logging_2061/tillsyn/A 49834-2021 tillsynsbegäran.docx", "A 49834-2021")</f>
        <v/>
      </c>
      <c r="AC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46223</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s="2" t="inlineStr">
        <is>
          <t>Knärot
Fjällig taggsvamp s.str.</t>
        </is>
      </c>
      <c r="V34">
        <f>HYPERLINK("https://klasma.github.io/Logging_2061/artfynd/A 43377-2021 artfynd.xlsx", "A 43377-2021")</f>
        <v/>
      </c>
      <c r="W34">
        <f>HYPERLINK("https://klasma.github.io/Logging_2061/kartor/A 43377-2021 karta.png", "A 43377-2021")</f>
        <v/>
      </c>
      <c r="X34">
        <f>HYPERLINK("https://klasma.github.io/Logging_2061/kartor_geotiff/A 43377-2021 georefererad karta.tif", "A 43377-2021")</f>
        <v/>
      </c>
      <c r="Y34">
        <f>HYPERLINK("https://klasma.github.io/Logging_2061/knärot/A 43377-2021 karta knärot.png", "A 43377-2021")</f>
        <v/>
      </c>
      <c r="Z34">
        <f>HYPERLINK("https://klasma.github.io/Logging_2061/klagomål/A 43377-2021 FSC-klagomål.docx", "A 43377-2021")</f>
        <v/>
      </c>
      <c r="AA34">
        <f>HYPERLINK("https://klasma.github.io/Logging_2061/klagomålsmail/A 43377-2021 FSC-klagomål mail.docx", "A 43377-2021")</f>
        <v/>
      </c>
      <c r="AB34">
        <f>HYPERLINK("https://klasma.github.io/Logging_2061/tillsyn/A 43377-2021 tillsynsbegäran.docx", "A 43377-2021")</f>
        <v/>
      </c>
      <c r="AC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46223</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s="2" t="inlineStr">
        <is>
          <t>Dropptaggsvamp
Blomkålssvamp</t>
        </is>
      </c>
      <c r="V35">
        <f>HYPERLINK("https://klasma.github.io/Logging_2061/artfynd/A 41870-2022 artfynd.xlsx", "A 41870-2022")</f>
        <v/>
      </c>
      <c r="W35">
        <f>HYPERLINK("https://klasma.github.io/Logging_2061/kartor/A 41870-2022 karta.png", "A 41870-2022")</f>
        <v/>
      </c>
      <c r="X35">
        <f>HYPERLINK("https://klasma.github.io/Logging_2061/kartor_geotiff/A 41870-2022 georefererad karta.tif", "A 41870-2022")</f>
        <v/>
      </c>
      <c r="Z35">
        <f>HYPERLINK("https://klasma.github.io/Logging_2061/klagomål/A 41870-2022 FSC-klagomål.docx", "A 41870-2022")</f>
        <v/>
      </c>
      <c r="AA35">
        <f>HYPERLINK("https://klasma.github.io/Logging_2061/klagomålsmail/A 41870-2022 FSC-klagomål mail.docx", "A 41870-2022")</f>
        <v/>
      </c>
      <c r="AB35">
        <f>HYPERLINK("https://klasma.github.io/Logging_2061/tillsyn/A 41870-2022 tillsynsbegäran.docx", "A 41870-2022")</f>
        <v/>
      </c>
      <c r="AC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46223</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s="2" t="inlineStr">
        <is>
          <t>Tallkötticka
Törnskata</t>
        </is>
      </c>
      <c r="V36">
        <f>HYPERLINK("https://klasma.github.io/Logging_2061/artfynd/A 21423-2023 artfynd.xlsx", "A 21423-2023")</f>
        <v/>
      </c>
      <c r="W36">
        <f>HYPERLINK("https://klasma.github.io/Logging_2061/kartor/A 21423-2023 karta.png", "A 21423-2023")</f>
        <v/>
      </c>
      <c r="X36">
        <f>HYPERLINK("https://klasma.github.io/Logging_2061/kartor_geotiff/A 21423-2023 georefererad karta.tif", "A 21423-2023")</f>
        <v/>
      </c>
      <c r="Z36">
        <f>HYPERLINK("https://klasma.github.io/Logging_2061/klagomål/A 21423-2023 FSC-klagomål.docx", "A 21423-2023")</f>
        <v/>
      </c>
      <c r="AA36">
        <f>HYPERLINK("https://klasma.github.io/Logging_2061/klagomålsmail/A 21423-2023 FSC-klagomål mail.docx", "A 21423-2023")</f>
        <v/>
      </c>
      <c r="AB36">
        <f>HYPERLINK("https://klasma.github.io/Logging_2061/tillsyn/A 21423-2023 tillsynsbegäran.docx", "A 21423-2023")</f>
        <v/>
      </c>
      <c r="AC36">
        <f>HYPERLINK("https://klasma.github.io/Logging_2061/tillsynsmail/A 21423-2023 tillsynsbegäran mail.docx", "A 21423-2023")</f>
        <v/>
      </c>
      <c r="AD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46223</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s="2" t="inlineStr">
        <is>
          <t>Knärot
Dropptaggsvamp</t>
        </is>
      </c>
      <c r="V37">
        <f>HYPERLINK("https://klasma.github.io/Logging_2061/artfynd/A 23619-2024 artfynd.xlsx", "A 23619-2024")</f>
        <v/>
      </c>
      <c r="W37">
        <f>HYPERLINK("https://klasma.github.io/Logging_2061/kartor/A 23619-2024 karta.png", "A 23619-2024")</f>
        <v/>
      </c>
      <c r="X37">
        <f>HYPERLINK("https://klasma.github.io/Logging_2061/kartor_geotiff/A 23619-2024 georefererad karta.tif", "A 23619-2024")</f>
        <v/>
      </c>
      <c r="Y37">
        <f>HYPERLINK("https://klasma.github.io/Logging_2061/knärot/A 23619-2024 karta knärot.png", "A 23619-2024")</f>
        <v/>
      </c>
      <c r="Z37">
        <f>HYPERLINK("https://klasma.github.io/Logging_2061/klagomål/A 23619-2024 FSC-klagomål.docx", "A 23619-2024")</f>
        <v/>
      </c>
      <c r="AA37">
        <f>HYPERLINK("https://klasma.github.io/Logging_2061/klagomålsmail/A 23619-2024 FSC-klagomål mail.docx", "A 23619-2024")</f>
        <v/>
      </c>
      <c r="AB37">
        <f>HYPERLINK("https://klasma.github.io/Logging_2061/tillsyn/A 23619-2024 tillsynsbegäran.docx", "A 23619-2024")</f>
        <v/>
      </c>
      <c r="AC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46223</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s="2" t="inlineStr">
        <is>
          <t>Barrpraktbagge
Tallkötticka</t>
        </is>
      </c>
      <c r="V38">
        <f>HYPERLINK("https://klasma.github.io/Logging_2061/artfynd/A 21421-2023 artfynd.xlsx", "A 21421-2023")</f>
        <v/>
      </c>
      <c r="W38">
        <f>HYPERLINK("https://klasma.github.io/Logging_2061/kartor/A 21421-2023 karta.png", "A 21421-2023")</f>
        <v/>
      </c>
      <c r="X38">
        <f>HYPERLINK("https://klasma.github.io/Logging_2061/kartor_geotiff/A 21421-2023 georefererad karta.tif", "A 21421-2023")</f>
        <v/>
      </c>
      <c r="Z38">
        <f>HYPERLINK("https://klasma.github.io/Logging_2061/klagomål/A 21421-2023 FSC-klagomål.docx", "A 21421-2023")</f>
        <v/>
      </c>
      <c r="AA38">
        <f>HYPERLINK("https://klasma.github.io/Logging_2061/klagomålsmail/A 21421-2023 FSC-klagomål mail.docx", "A 21421-2023")</f>
        <v/>
      </c>
      <c r="AB38">
        <f>HYPERLINK("https://klasma.github.io/Logging_2061/tillsyn/A 21421-2023 tillsynsbegäran.docx", "A 21421-2023")</f>
        <v/>
      </c>
      <c r="AC38">
        <f>HYPERLINK("https://klasma.github.io/Logging_2061/tillsynsmail/A 21421-2023 tillsynsbegäran mail.docx", "A 21421-2023")</f>
        <v/>
      </c>
    </row>
    <row r="39" ht="15" customHeight="1">
      <c r="A39" t="inlineStr">
        <is>
          <t>A 63082-2025</t>
        </is>
      </c>
      <c r="B39" t="inlineStr">
        <is>
          <t>avverkningsanmälan</t>
        </is>
      </c>
      <c r="C39" t="inlineStr">
        <is>
          <t>Föryngringsavverkning</t>
        </is>
      </c>
      <c r="D39" s="1" t="n">
        <v>46009</v>
      </c>
      <c r="E39" s="1" t="n">
        <v>46223</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s="2" t="inlineStr">
        <is>
          <t>Tallticka
Tretåig hackspett</t>
        </is>
      </c>
      <c r="V39">
        <f>HYPERLINK("https://klasma.github.io/Logging_2061/artfynd/A 63082-2025 artfynd.xlsx", "A 63082-2025")</f>
        <v/>
      </c>
      <c r="W39">
        <f>HYPERLINK("https://klasma.github.io/Logging_2061/kartor/A 63082-2025 karta.png", "A 63082-2025")</f>
        <v/>
      </c>
      <c r="X39">
        <f>HYPERLINK("https://klasma.github.io/Logging_2061/kartor_geotiff/A 63082-2025 georefererad karta.tif", "A 63082-2025")</f>
        <v/>
      </c>
      <c r="Z39">
        <f>HYPERLINK("https://klasma.github.io/Logging_2061/klagomål/A 63082-2025 FSC-klagomål.docx", "A 63082-2025")</f>
        <v/>
      </c>
      <c r="AA39">
        <f>HYPERLINK("https://klasma.github.io/Logging_2061/klagomålsmail/A 63082-2025 FSC-klagomål mail.docx", "A 63082-2025")</f>
        <v/>
      </c>
      <c r="AB39">
        <f>HYPERLINK("https://klasma.github.io/Logging_2061/tillsyn/A 63082-2025 tillsynsbegäran.docx", "A 63082-2025")</f>
        <v/>
      </c>
      <c r="AC39">
        <f>HYPERLINK("https://klasma.github.io/Logging_2061/tillsynsmail/A 63082-2025 tillsynsbegäran mail.docx", "A 63082-2025")</f>
        <v/>
      </c>
      <c r="AD39">
        <f>HYPERLINK("https://klasma.github.io/Logging_2061/fåglar/A 63082-2025 prioriterade fågelarter.docx", "A 63082-2025")</f>
        <v/>
      </c>
    </row>
    <row r="40" ht="15" customHeight="1">
      <c r="A40" t="inlineStr">
        <is>
          <t>A 57246-2021</t>
        </is>
      </c>
      <c r="B40" t="inlineStr">
        <is>
          <t>avverkningsanmälan</t>
        </is>
      </c>
      <c r="C40" t="inlineStr">
        <is>
          <t>Föryngringsavverkning</t>
        </is>
      </c>
      <c r="D40" s="1" t="n">
        <v>44482</v>
      </c>
      <c r="E40" s="1" t="n">
        <v>46223</v>
      </c>
      <c r="F40" t="inlineStr">
        <is>
          <t>DALARNAS LÄN</t>
        </is>
      </c>
      <c r="G40" t="inlineStr">
        <is>
          <t>SMEDJEBACKEN</t>
        </is>
      </c>
      <c r="H40" t="inlineStr">
        <is>
          <t>Bergvik skog väst AB</t>
        </is>
      </c>
      <c r="I40" t="n">
        <v>10.2</v>
      </c>
      <c r="J40" t="n">
        <v>0</v>
      </c>
      <c r="K40" t="n">
        <v>1</v>
      </c>
      <c r="L40" t="n">
        <v>1</v>
      </c>
      <c r="M40" t="n">
        <v>0</v>
      </c>
      <c r="N40" t="n">
        <v>0</v>
      </c>
      <c r="O40" t="n">
        <v>0</v>
      </c>
      <c r="P40" t="n">
        <v>0</v>
      </c>
      <c r="Q40" t="n">
        <v>1</v>
      </c>
      <c r="R40" t="n">
        <v>0</v>
      </c>
      <c r="S40" t="n">
        <v>2</v>
      </c>
      <c r="T40" t="n">
        <v>2</v>
      </c>
      <c r="U40" s="2" t="inlineStr">
        <is>
          <t>Vedtrappmossa
Flagellkvastmossa</t>
        </is>
      </c>
      <c r="V40">
        <f>HYPERLINK("https://klasma.github.io/Logging_2061/artfynd/A 57246-2021 artfynd.xlsx", "A 57246-2021")</f>
        <v/>
      </c>
      <c r="W40">
        <f>HYPERLINK("https://klasma.github.io/Logging_2061/kartor/A 57246-2021 karta.png", "A 57246-2021")</f>
        <v/>
      </c>
      <c r="X40">
        <f>HYPERLINK("https://klasma.github.io/Logging_2061/kartor_geotiff/A 57246-2021 georefererad karta.tif", "A 57246-2021")</f>
        <v/>
      </c>
      <c r="Z40">
        <f>HYPERLINK("https://klasma.github.io/Logging_2061/klagomål/A 57246-2021 FSC-klagomål.docx", "A 57246-2021")</f>
        <v/>
      </c>
      <c r="AA40">
        <f>HYPERLINK("https://klasma.github.io/Logging_2061/klagomålsmail/A 57246-2021 FSC-klagomål mail.docx", "A 57246-2021")</f>
        <v/>
      </c>
      <c r="AB40">
        <f>HYPERLINK("https://klasma.github.io/Logging_2061/tillsyn/A 57246-2021 tillsynsbegäran.docx", "A 57246-2021")</f>
        <v/>
      </c>
      <c r="AC40">
        <f>HYPERLINK("https://klasma.github.io/Logging_2061/tillsynsmail/A 57246-2021 tillsynsbegäran mail.docx", "A 57246-2021")</f>
        <v/>
      </c>
    </row>
    <row r="41" ht="15" customHeight="1">
      <c r="A41" t="inlineStr">
        <is>
          <t>A 18745-2025</t>
        </is>
      </c>
      <c r="B41" t="inlineStr">
        <is>
          <t>avverkningsanmälan</t>
        </is>
      </c>
      <c r="C41" t="inlineStr">
        <is>
          <t>Föryngringsavverkning</t>
        </is>
      </c>
      <c r="D41" s="1" t="n">
        <v>45763</v>
      </c>
      <c r="E41" s="1" t="n">
        <v>46223</v>
      </c>
      <c r="F41" t="inlineStr">
        <is>
          <t>DALARNAS LÄN</t>
        </is>
      </c>
      <c r="G41" t="inlineStr">
        <is>
          <t>SMEDJEBACKEN</t>
        </is>
      </c>
      <c r="H41" t="inlineStr">
        <is>
          <t>Övriga Aktiebolag</t>
        </is>
      </c>
      <c r="I41" t="n">
        <v>2.9</v>
      </c>
      <c r="J41" t="n">
        <v>1</v>
      </c>
      <c r="K41" t="n">
        <v>1</v>
      </c>
      <c r="L41" t="n">
        <v>0</v>
      </c>
      <c r="M41" t="n">
        <v>0</v>
      </c>
      <c r="N41" t="n">
        <v>0</v>
      </c>
      <c r="O41" t="n">
        <v>0</v>
      </c>
      <c r="P41" t="n">
        <v>0</v>
      </c>
      <c r="Q41" t="n">
        <v>0</v>
      </c>
      <c r="R41" t="n">
        <v>0</v>
      </c>
      <c r="S41" t="n">
        <v>2</v>
      </c>
      <c r="T41" t="n">
        <v>2</v>
      </c>
      <c r="U41" s="2" t="inlineStr">
        <is>
          <t>Jättesvampmal
Spillkråka</t>
        </is>
      </c>
      <c r="V41">
        <f>HYPERLINK("https://klasma.github.io/Logging_2061/artfynd/A 18745-2025 artfynd.xlsx", "A 18745-2025")</f>
        <v/>
      </c>
      <c r="W41">
        <f>HYPERLINK("https://klasma.github.io/Logging_2061/kartor/A 18745-2025 karta.png", "A 18745-2025")</f>
        <v/>
      </c>
      <c r="X41">
        <f>HYPERLINK("https://klasma.github.io/Logging_2061/kartor_geotiff/A 18745-2025 georefererad karta.tif", "A 18745-2025")</f>
        <v/>
      </c>
      <c r="Z41">
        <f>HYPERLINK("https://klasma.github.io/Logging_2061/klagomål/A 18745-2025 FSC-klagomål.docx", "A 18745-2025")</f>
        <v/>
      </c>
      <c r="AA41">
        <f>HYPERLINK("https://klasma.github.io/Logging_2061/klagomålsmail/A 18745-2025 FSC-klagomål mail.docx", "A 18745-2025")</f>
        <v/>
      </c>
      <c r="AB41">
        <f>HYPERLINK("https://klasma.github.io/Logging_2061/tillsyn/A 18745-2025 tillsynsbegäran.docx", "A 18745-2025")</f>
        <v/>
      </c>
      <c r="AC41">
        <f>HYPERLINK("https://klasma.github.io/Logging_2061/tillsynsmail/A 18745-2025 tillsynsbegäran mail.docx", "A 18745-2025")</f>
        <v/>
      </c>
      <c r="AD41">
        <f>HYPERLINK("https://klasma.github.io/Logging_2061/fåglar/A 18745-2025 prioriterade fågelarter.docx", "A 18745-2025")</f>
        <v/>
      </c>
    </row>
    <row r="42" ht="15" customHeight="1">
      <c r="A42" t="inlineStr">
        <is>
          <t>A 52242-2024</t>
        </is>
      </c>
      <c r="B42" t="inlineStr">
        <is>
          <t>avverkningsanmälan</t>
        </is>
      </c>
      <c r="C42" t="inlineStr">
        <is>
          <t>Föryngringsavverkning</t>
        </is>
      </c>
      <c r="D42" s="1" t="n">
        <v>45607</v>
      </c>
      <c r="E42" s="1" t="n">
        <v>46223</v>
      </c>
      <c r="F42" t="inlineStr">
        <is>
          <t>DALARNAS LÄN</t>
        </is>
      </c>
      <c r="G42" t="inlineStr">
        <is>
          <t>SMEDJEBACKEN</t>
        </is>
      </c>
      <c r="H42" t="inlineStr">
        <is>
          <t>Bergvik skog väst AB</t>
        </is>
      </c>
      <c r="I42" t="n">
        <v>26.2</v>
      </c>
      <c r="J42" t="n">
        <v>2</v>
      </c>
      <c r="K42" t="n">
        <v>0</v>
      </c>
      <c r="L42" t="n">
        <v>0</v>
      </c>
      <c r="M42" t="n">
        <v>0</v>
      </c>
      <c r="N42" t="n">
        <v>0</v>
      </c>
      <c r="O42" t="n">
        <v>0</v>
      </c>
      <c r="P42" t="n">
        <v>0</v>
      </c>
      <c r="Q42" t="n">
        <v>0</v>
      </c>
      <c r="R42" t="n">
        <v>0</v>
      </c>
      <c r="S42" t="n">
        <v>2</v>
      </c>
      <c r="T42" t="n">
        <v>2</v>
      </c>
      <c r="U42" s="2" t="inlineStr">
        <is>
          <t>Blåsippa
Havsörn</t>
        </is>
      </c>
      <c r="V42">
        <f>HYPERLINK("https://klasma.github.io/Logging_2061/artfynd/A 52242-2024 artfynd.xlsx", "A 52242-2024")</f>
        <v/>
      </c>
      <c r="W42">
        <f>HYPERLINK("https://klasma.github.io/Logging_2061/kartor/A 52242-2024 karta.png", "A 52242-2024")</f>
        <v/>
      </c>
      <c r="X42">
        <f>HYPERLINK("https://klasma.github.io/Logging_2061/kartor_geotiff/A 52242-2024 georefererad karta.tif", "A 52242-2024")</f>
        <v/>
      </c>
      <c r="Z42">
        <f>HYPERLINK("https://klasma.github.io/Logging_2061/klagomål/A 52242-2024 FSC-klagomål.docx", "A 52242-2024")</f>
        <v/>
      </c>
      <c r="AA42">
        <f>HYPERLINK("https://klasma.github.io/Logging_2061/klagomålsmail/A 52242-2024 FSC-klagomål mail.docx", "A 52242-2024")</f>
        <v/>
      </c>
      <c r="AB42">
        <f>HYPERLINK("https://klasma.github.io/Logging_2061/tillsyn/A 52242-2024 tillsynsbegäran.docx", "A 52242-2024")</f>
        <v/>
      </c>
      <c r="AC42">
        <f>HYPERLINK("https://klasma.github.io/Logging_2061/tillsynsmail/A 52242-2024 tillsynsbegäran mail.docx", "A 52242-2024")</f>
        <v/>
      </c>
      <c r="AD42">
        <f>HYPERLINK("https://klasma.github.io/Logging_2061/fåglar/A 52242-2024 prioriterade fågelarter.docx", "A 52242-2024")</f>
        <v/>
      </c>
    </row>
    <row r="43" ht="15" customHeight="1">
      <c r="A43" t="inlineStr">
        <is>
          <t>A 29660-2026</t>
        </is>
      </c>
      <c r="B43" t="inlineStr">
        <is>
          <t>avverkningsanmälan</t>
        </is>
      </c>
      <c r="C43" t="inlineStr">
        <is>
          <t>Föryngringsavverkning</t>
        </is>
      </c>
      <c r="D43" s="1" t="n">
        <v>46204</v>
      </c>
      <c r="E43" s="1" t="n">
        <v>46223</v>
      </c>
      <c r="F43" t="inlineStr">
        <is>
          <t>DALARNAS LÄN</t>
        </is>
      </c>
      <c r="G43" t="inlineStr">
        <is>
          <t>SMEDJEBACKEN</t>
        </is>
      </c>
      <c r="I43" t="n">
        <v>0.6</v>
      </c>
      <c r="J43" t="n">
        <v>1</v>
      </c>
      <c r="K43" t="n">
        <v>0</v>
      </c>
      <c r="L43" t="n">
        <v>1</v>
      </c>
      <c r="M43" t="n">
        <v>0</v>
      </c>
      <c r="N43" t="n">
        <v>0</v>
      </c>
      <c r="O43" t="n">
        <v>0</v>
      </c>
      <c r="P43" t="n">
        <v>0</v>
      </c>
      <c r="Q43" t="n">
        <v>1</v>
      </c>
      <c r="R43" t="n">
        <v>0</v>
      </c>
      <c r="S43" t="n">
        <v>2</v>
      </c>
      <c r="T43" t="n">
        <v>2</v>
      </c>
      <c r="U43" s="2" t="inlineStr">
        <is>
          <t>Ullticka
Blåsippa</t>
        </is>
      </c>
      <c r="V43">
        <f>HYPERLINK("https://klasma.github.io/Logging_2061/artfynd/A 29660-2026 artfynd.xlsx", "A 29660-2026")</f>
        <v/>
      </c>
      <c r="W43">
        <f>HYPERLINK("https://klasma.github.io/Logging_2061/kartor/A 29660-2026 karta.png", "A 29660-2026")</f>
        <v/>
      </c>
      <c r="X43">
        <f>HYPERLINK("https://klasma.github.io/Logging_2061/kartor_geotiff/A 29660-2026 georefererad karta.tif", "A 29660-2026")</f>
        <v/>
      </c>
      <c r="Z43">
        <f>HYPERLINK("https://klasma.github.io/Logging_2061/klagomål/A 29660-2026 FSC-klagomål.docx", "A 29660-2026")</f>
        <v/>
      </c>
      <c r="AA43">
        <f>HYPERLINK("https://klasma.github.io/Logging_2061/klagomålsmail/A 29660-2026 FSC-klagomål mail.docx", "A 29660-2026")</f>
        <v/>
      </c>
      <c r="AB43">
        <f>HYPERLINK("https://klasma.github.io/Logging_2061/tillsyn/A 29660-2026 tillsynsbegäran.docx", "A 29660-2026")</f>
        <v/>
      </c>
      <c r="AC43">
        <f>HYPERLINK("https://klasma.github.io/Logging_2061/tillsynsmail/A 29660-2026 tillsynsbegäran mail.docx", "A 29660-2026")</f>
        <v/>
      </c>
    </row>
    <row r="44" ht="15" customHeight="1">
      <c r="A44" t="inlineStr">
        <is>
          <t>A 23645-2026</t>
        </is>
      </c>
      <c r="B44" t="inlineStr">
        <is>
          <t>avverkningsanmälan</t>
        </is>
      </c>
      <c r="C44" t="inlineStr">
        <is>
          <t>Föryngringsavverkning</t>
        </is>
      </c>
      <c r="D44" s="1" t="n">
        <v>46163</v>
      </c>
      <c r="E44" s="1" t="n">
        <v>46223</v>
      </c>
      <c r="F44" t="inlineStr">
        <is>
          <t>DALARNAS LÄN</t>
        </is>
      </c>
      <c r="G44" t="inlineStr">
        <is>
          <t>SMEDJEBACKEN</t>
        </is>
      </c>
      <c r="I44" t="n">
        <v>7.4</v>
      </c>
      <c r="J44" t="n">
        <v>1</v>
      </c>
      <c r="K44" t="n">
        <v>2</v>
      </c>
      <c r="L44" t="n">
        <v>0</v>
      </c>
      <c r="M44" t="n">
        <v>0</v>
      </c>
      <c r="N44" t="n">
        <v>0</v>
      </c>
      <c r="O44" t="n">
        <v>0</v>
      </c>
      <c r="P44" t="n">
        <v>0</v>
      </c>
      <c r="Q44" t="n">
        <v>0</v>
      </c>
      <c r="R44" t="n">
        <v>0</v>
      </c>
      <c r="S44" t="n">
        <v>2</v>
      </c>
      <c r="T44" t="n">
        <v>2</v>
      </c>
      <c r="U44" s="2" t="inlineStr">
        <is>
          <t>Korallrot
Ögonpyrola</t>
        </is>
      </c>
      <c r="V44">
        <f>HYPERLINK("https://klasma.github.io/Logging_2061/artfynd/A 23645-2026 artfynd.xlsx", "A 23645-2026")</f>
        <v/>
      </c>
      <c r="W44">
        <f>HYPERLINK("https://klasma.github.io/Logging_2061/kartor/A 23645-2026 karta.png", "A 23645-2026")</f>
        <v/>
      </c>
      <c r="X44">
        <f>HYPERLINK("https://klasma.github.io/Logging_2061/kartor_geotiff/A 23645-2026 georefererad karta.tif", "A 23645-2026")</f>
        <v/>
      </c>
      <c r="Z44">
        <f>HYPERLINK("https://klasma.github.io/Logging_2061/klagomål/A 23645-2026 FSC-klagomål.docx", "A 23645-2026")</f>
        <v/>
      </c>
      <c r="AA44">
        <f>HYPERLINK("https://klasma.github.io/Logging_2061/klagomålsmail/A 23645-2026 FSC-klagomål mail.docx", "A 23645-2026")</f>
        <v/>
      </c>
      <c r="AB44">
        <f>HYPERLINK("https://klasma.github.io/Logging_2061/tillsyn/A 23645-2026 tillsynsbegäran.docx", "A 23645-2026")</f>
        <v/>
      </c>
      <c r="AC44">
        <f>HYPERLINK("https://klasma.github.io/Logging_2061/tillsynsmail/A 23645-2026 tillsynsbegäran mail.docx", "A 23645-2026")</f>
        <v/>
      </c>
    </row>
    <row r="45" ht="15" customHeight="1">
      <c r="A45" t="inlineStr">
        <is>
          <t>S 702-2025</t>
        </is>
      </c>
      <c r="B45" t="inlineStr">
        <is>
          <t>samrådsanmälan</t>
        </is>
      </c>
      <c r="C45" t="inlineStr">
        <is>
          <t>Skogsgödsling</t>
        </is>
      </c>
      <c r="D45" s="1" t="n">
        <v>45720</v>
      </c>
      <c r="E45" s="1" t="n">
        <v>46223</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s="2" t="inlineStr">
        <is>
          <t>Kungsörn
Tjäder</t>
        </is>
      </c>
      <c r="V45">
        <f>HYPERLINK("https://klasma.github.io/Logging_2061/artfynd/S 702-2025 artfynd.xlsx", "S 702-2025")</f>
        <v/>
      </c>
      <c r="W45">
        <f>HYPERLINK("https://klasma.github.io/Logging_2061/kartor/S 702-2025 karta.png", "S 702-2025")</f>
        <v/>
      </c>
      <c r="X45">
        <f>HYPERLINK("https://klasma.github.io/Logging_2061/kartor_geotiff/S 702-2025 georefererad karta.tif", "S 702-2025")</f>
        <v/>
      </c>
      <c r="Z45">
        <f>HYPERLINK("https://klasma.github.io/Logging_2061/klagomål/S 702-2025 FSC-klagomål.docx", "S 702-2025")</f>
        <v/>
      </c>
      <c r="AA45">
        <f>HYPERLINK("https://klasma.github.io/Logging_2061/klagomålsmail/S 702-2025 FSC-klagomål mail.docx", "S 702-2025")</f>
        <v/>
      </c>
      <c r="AB45">
        <f>HYPERLINK("https://klasma.github.io/Logging_2061/tillsyn/S 702-2025 tillsynsbegäran.docx", "S 702-2025")</f>
        <v/>
      </c>
      <c r="AC45">
        <f>HYPERLINK("https://klasma.github.io/Logging_2061/tillsynsmail/S 702-2025 tillsynsbegäran mail.docx", "S 702-2025")</f>
        <v/>
      </c>
      <c r="AD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46223</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s="2" t="inlineStr">
        <is>
          <t>Fläcknycklar
Revlummer</t>
        </is>
      </c>
      <c r="V46">
        <f>HYPERLINK("https://klasma.github.io/Logging_2061/artfynd/S 608-2026 artfynd.xlsx", "S 608-2026")</f>
        <v/>
      </c>
      <c r="W46">
        <f>HYPERLINK("https://klasma.github.io/Logging_2061/kartor/S 608-2026 karta.png", "S 608-2026")</f>
        <v/>
      </c>
      <c r="X46">
        <f>HYPERLINK("https://klasma.github.io/Logging_2061/kartor_geotiff/S 608-2026 georefererad karta.tif", "S 608-2026")</f>
        <v/>
      </c>
      <c r="Z46">
        <f>HYPERLINK("https://klasma.github.io/Logging_2061/klagomål/S 608-2026 FSC-klagomål.docx", "S 608-2026")</f>
        <v/>
      </c>
      <c r="AA46">
        <f>HYPERLINK("https://klasma.github.io/Logging_2061/klagomålsmail/S 608-2026 FSC-klagomål mail.docx", "S 608-2026")</f>
        <v/>
      </c>
      <c r="AB46">
        <f>HYPERLINK("https://klasma.github.io/Logging_2061/tillsyn/S 608-2026 tillsynsbegäran.docx", "S 608-2026")</f>
        <v/>
      </c>
      <c r="AC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46223</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s="2" t="inlineStr">
        <is>
          <t>Fläcknycklar</t>
        </is>
      </c>
      <c r="V47">
        <f>HYPERLINK("https://klasma.github.io/Logging_2061/artfynd/A 39816-2021 artfynd.xlsx", "A 39816-2021")</f>
        <v/>
      </c>
      <c r="W47">
        <f>HYPERLINK("https://klasma.github.io/Logging_2061/kartor/A 39816-2021 karta.png", "A 39816-2021")</f>
        <v/>
      </c>
      <c r="X47">
        <f>HYPERLINK("https://klasma.github.io/Logging_2061/kartor_geotiff/A 39816-2021 georefererad karta.tif", "A 39816-2021")</f>
        <v/>
      </c>
      <c r="Z47">
        <f>HYPERLINK("https://klasma.github.io/Logging_2061/klagomål/A 39816-2021 FSC-klagomål.docx", "A 39816-2021")</f>
        <v/>
      </c>
      <c r="AA47">
        <f>HYPERLINK("https://klasma.github.io/Logging_2061/klagomålsmail/A 39816-2021 FSC-klagomål mail.docx", "A 39816-2021")</f>
        <v/>
      </c>
      <c r="AB47">
        <f>HYPERLINK("https://klasma.github.io/Logging_2061/tillsyn/A 39816-2021 tillsynsbegäran.docx", "A 39816-2021")</f>
        <v/>
      </c>
      <c r="AC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46223</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s="2" t="inlineStr">
        <is>
          <t>Sparvuggla</t>
        </is>
      </c>
      <c r="V48">
        <f>HYPERLINK("https://klasma.github.io/Logging_2061/artfynd/A 34382-2022 artfynd.xlsx", "A 34382-2022")</f>
        <v/>
      </c>
      <c r="W48">
        <f>HYPERLINK("https://klasma.github.io/Logging_2061/kartor/A 34382-2022 karta.png", "A 34382-2022")</f>
        <v/>
      </c>
      <c r="X48">
        <f>HYPERLINK("https://klasma.github.io/Logging_2061/kartor_geotiff/A 34382-2022 georefererad karta.tif", "A 34382-2022")</f>
        <v/>
      </c>
      <c r="Z48">
        <f>HYPERLINK("https://klasma.github.io/Logging_2061/klagomål/A 34382-2022 FSC-klagomål.docx", "A 34382-2022")</f>
        <v/>
      </c>
      <c r="AA48">
        <f>HYPERLINK("https://klasma.github.io/Logging_2061/klagomålsmail/A 34382-2022 FSC-klagomål mail.docx", "A 34382-2022")</f>
        <v/>
      </c>
      <c r="AB48">
        <f>HYPERLINK("https://klasma.github.io/Logging_2061/tillsyn/A 34382-2022 tillsynsbegäran.docx", "A 34382-2022")</f>
        <v/>
      </c>
      <c r="AC48">
        <f>HYPERLINK("https://klasma.github.io/Logging_2061/tillsynsmail/A 34382-2022 tillsynsbegäran mail.docx", "A 34382-2022")</f>
        <v/>
      </c>
      <c r="AD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46223</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s="2" t="inlineStr">
        <is>
          <t>Tibast</t>
        </is>
      </c>
      <c r="V49">
        <f>HYPERLINK("https://klasma.github.io/Logging_2061/artfynd/A 11154-2025 artfynd.xlsx", "A 11154-2025")</f>
        <v/>
      </c>
      <c r="W49">
        <f>HYPERLINK("https://klasma.github.io/Logging_2061/kartor/A 11154-2025 karta.png", "A 11154-2025")</f>
        <v/>
      </c>
      <c r="X49">
        <f>HYPERLINK("https://klasma.github.io/Logging_2061/kartor_geotiff/A 11154-2025 georefererad karta.tif", "A 11154-2025")</f>
        <v/>
      </c>
      <c r="Z49">
        <f>HYPERLINK("https://klasma.github.io/Logging_2061/klagomål/A 11154-2025 FSC-klagomål.docx", "A 11154-2025")</f>
        <v/>
      </c>
      <c r="AA49">
        <f>HYPERLINK("https://klasma.github.io/Logging_2061/klagomålsmail/A 11154-2025 FSC-klagomål mail.docx", "A 11154-2025")</f>
        <v/>
      </c>
      <c r="AB49">
        <f>HYPERLINK("https://klasma.github.io/Logging_2061/tillsyn/A 11154-2025 tillsynsbegäran.docx", "A 11154-2025")</f>
        <v/>
      </c>
      <c r="AC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46223</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s="2" t="inlineStr">
        <is>
          <t>Ullticka</t>
        </is>
      </c>
      <c r="V50">
        <f>HYPERLINK("https://klasma.github.io/Logging_2061/artfynd/A 21507-2024 artfynd.xlsx", "A 21507-2024")</f>
        <v/>
      </c>
      <c r="W50">
        <f>HYPERLINK("https://klasma.github.io/Logging_2061/kartor/A 21507-2024 karta.png", "A 21507-2024")</f>
        <v/>
      </c>
      <c r="X50">
        <f>HYPERLINK("https://klasma.github.io/Logging_2061/kartor_geotiff/A 21507-2024 georefererad karta.tif", "A 21507-2024")</f>
        <v/>
      </c>
      <c r="Z50">
        <f>HYPERLINK("https://klasma.github.io/Logging_2061/klagomål/A 21507-2024 FSC-klagomål.docx", "A 21507-2024")</f>
        <v/>
      </c>
      <c r="AA50">
        <f>HYPERLINK("https://klasma.github.io/Logging_2061/klagomålsmail/A 21507-2024 FSC-klagomål mail.docx", "A 21507-2024")</f>
        <v/>
      </c>
      <c r="AB50">
        <f>HYPERLINK("https://klasma.github.io/Logging_2061/tillsyn/A 21507-2024 tillsynsbegäran.docx", "A 21507-2024")</f>
        <v/>
      </c>
      <c r="AC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46223</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s="2" t="inlineStr">
        <is>
          <t>Tibast</t>
        </is>
      </c>
      <c r="V51">
        <f>HYPERLINK("https://klasma.github.io/Logging_2061/artfynd/A 6280-2025 artfynd.xlsx", "A 6280-2025")</f>
        <v/>
      </c>
      <c r="W51">
        <f>HYPERLINK("https://klasma.github.io/Logging_2061/kartor/A 6280-2025 karta.png", "A 6280-2025")</f>
        <v/>
      </c>
      <c r="X51">
        <f>HYPERLINK("https://klasma.github.io/Logging_2061/kartor_geotiff/A 6280-2025 georefererad karta.tif", "A 6280-2025")</f>
        <v/>
      </c>
      <c r="Z51">
        <f>HYPERLINK("https://klasma.github.io/Logging_2061/klagomål/A 6280-2025 FSC-klagomål.docx", "A 6280-2025")</f>
        <v/>
      </c>
      <c r="AA51">
        <f>HYPERLINK("https://klasma.github.io/Logging_2061/klagomålsmail/A 6280-2025 FSC-klagomål mail.docx", "A 6280-2025")</f>
        <v/>
      </c>
      <c r="AB51">
        <f>HYPERLINK("https://klasma.github.io/Logging_2061/tillsyn/A 6280-2025 tillsynsbegäran.docx", "A 6280-2025")</f>
        <v/>
      </c>
      <c r="AC51">
        <f>HYPERLINK("https://klasma.github.io/Logging_2061/tillsynsmail/A 6280-2025 tillsynsbegäran mail.docx", "A 6280-2025")</f>
        <v/>
      </c>
    </row>
    <row r="52" ht="15" customHeight="1">
      <c r="A52" t="inlineStr">
        <is>
          <t>A 45577-2024</t>
        </is>
      </c>
      <c r="B52" t="inlineStr">
        <is>
          <t>avverkningsanmälan</t>
        </is>
      </c>
      <c r="C52" t="inlineStr">
        <is>
          <t>Föryngringsavverkning</t>
        </is>
      </c>
      <c r="D52" s="1" t="n">
        <v>45579</v>
      </c>
      <c r="E52" s="1" t="n">
        <v>46223</v>
      </c>
      <c r="F52" t="inlineStr">
        <is>
          <t>DALARNAS LÄN</t>
        </is>
      </c>
      <c r="G52" t="inlineStr">
        <is>
          <t>SMEDJEBACKEN</t>
        </is>
      </c>
      <c r="H52" t="inlineStr">
        <is>
          <t>Sveaskog</t>
        </is>
      </c>
      <c r="I52" t="n">
        <v>18.6</v>
      </c>
      <c r="J52" t="n">
        <v>1</v>
      </c>
      <c r="K52" t="n">
        <v>0</v>
      </c>
      <c r="L52" t="n">
        <v>0</v>
      </c>
      <c r="M52" t="n">
        <v>0</v>
      </c>
      <c r="N52" t="n">
        <v>0</v>
      </c>
      <c r="O52" t="n">
        <v>0</v>
      </c>
      <c r="P52" t="n">
        <v>0</v>
      </c>
      <c r="Q52" t="n">
        <v>0</v>
      </c>
      <c r="R52" t="n">
        <v>0</v>
      </c>
      <c r="S52" t="n">
        <v>1</v>
      </c>
      <c r="T52" t="n">
        <v>1</v>
      </c>
      <c r="U52" s="2" t="inlineStr">
        <is>
          <t>Tjäder</t>
        </is>
      </c>
      <c r="V52">
        <f>HYPERLINK("https://klasma.github.io/Logging_2061/artfynd/A 45577-2024 artfynd.xlsx", "A 45577-2024")</f>
        <v/>
      </c>
      <c r="W52">
        <f>HYPERLINK("https://klasma.github.io/Logging_2061/kartor/A 45577-2024 karta.png", "A 45577-2024")</f>
        <v/>
      </c>
      <c r="X52">
        <f>HYPERLINK("https://klasma.github.io/Logging_2061/kartor_geotiff/A 45577-2024 georefererad karta.tif", "A 45577-2024")</f>
        <v/>
      </c>
      <c r="Z52">
        <f>HYPERLINK("https://klasma.github.io/Logging_2061/klagomål/A 45577-2024 FSC-klagomål.docx", "A 45577-2024")</f>
        <v/>
      </c>
      <c r="AA52">
        <f>HYPERLINK("https://klasma.github.io/Logging_2061/klagomålsmail/A 45577-2024 FSC-klagomål mail.docx", "A 45577-2024")</f>
        <v/>
      </c>
      <c r="AB52">
        <f>HYPERLINK("https://klasma.github.io/Logging_2061/tillsyn/A 45577-2024 tillsynsbegäran.docx", "A 45577-2024")</f>
        <v/>
      </c>
      <c r="AC52">
        <f>HYPERLINK("https://klasma.github.io/Logging_2061/tillsynsmail/A 45577-2024 tillsynsbegäran mail.docx", "A 45577-2024")</f>
        <v/>
      </c>
      <c r="AD52">
        <f>HYPERLINK("https://klasma.github.io/Logging_2061/fåglar/A 45577-2024 prioriterade fågelarter.docx", "A 45577-2024")</f>
        <v/>
      </c>
    </row>
    <row r="53" ht="15" customHeight="1">
      <c r="A53" t="inlineStr">
        <is>
          <t>A 55851-2021</t>
        </is>
      </c>
      <c r="B53" t="inlineStr">
        <is>
          <t>avverkningsanmälan</t>
        </is>
      </c>
      <c r="C53" t="inlineStr">
        <is>
          <t>Föryngringsavverkning</t>
        </is>
      </c>
      <c r="D53" s="1" t="n">
        <v>44476</v>
      </c>
      <c r="E53" s="1" t="n">
        <v>46223</v>
      </c>
      <c r="F53" t="inlineStr">
        <is>
          <t>DALARNAS LÄN</t>
        </is>
      </c>
      <c r="G53" t="inlineStr">
        <is>
          <t>SMEDJEBACKEN</t>
        </is>
      </c>
      <c r="H53" t="inlineStr">
        <is>
          <t>Övriga Aktiebolag</t>
        </is>
      </c>
      <c r="I53" t="n">
        <v>2.6</v>
      </c>
      <c r="J53" t="n">
        <v>1</v>
      </c>
      <c r="K53" t="n">
        <v>0</v>
      </c>
      <c r="L53" t="n">
        <v>1</v>
      </c>
      <c r="M53" t="n">
        <v>0</v>
      </c>
      <c r="N53" t="n">
        <v>0</v>
      </c>
      <c r="O53" t="n">
        <v>0</v>
      </c>
      <c r="P53" t="n">
        <v>0</v>
      </c>
      <c r="Q53" t="n">
        <v>1</v>
      </c>
      <c r="R53" t="n">
        <v>0</v>
      </c>
      <c r="S53" t="n">
        <v>1</v>
      </c>
      <c r="T53" t="n">
        <v>1</v>
      </c>
      <c r="U53" s="2" t="inlineStr">
        <is>
          <t>Talltita</t>
        </is>
      </c>
      <c r="V53">
        <f>HYPERLINK("https://klasma.github.io/Logging_2061/artfynd/A 55851-2021 artfynd.xlsx", "A 55851-2021")</f>
        <v/>
      </c>
      <c r="W53">
        <f>HYPERLINK("https://klasma.github.io/Logging_2061/kartor/A 55851-2021 karta.png", "A 55851-2021")</f>
        <v/>
      </c>
      <c r="X53">
        <f>HYPERLINK("https://klasma.github.io/Logging_2061/kartor_geotiff/A 55851-2021 georefererad karta.tif", "A 55851-2021")</f>
        <v/>
      </c>
      <c r="Z53">
        <f>HYPERLINK("https://klasma.github.io/Logging_2061/klagomål/A 55851-2021 FSC-klagomål.docx", "A 55851-2021")</f>
        <v/>
      </c>
      <c r="AA53">
        <f>HYPERLINK("https://klasma.github.io/Logging_2061/klagomålsmail/A 55851-2021 FSC-klagomål mail.docx", "A 55851-2021")</f>
        <v/>
      </c>
      <c r="AB53">
        <f>HYPERLINK("https://klasma.github.io/Logging_2061/tillsyn/A 55851-2021 tillsynsbegäran.docx", "A 55851-2021")</f>
        <v/>
      </c>
      <c r="AC53">
        <f>HYPERLINK("https://klasma.github.io/Logging_2061/tillsynsmail/A 55851-2021 tillsynsbegäran mail.docx", "A 55851-2021")</f>
        <v/>
      </c>
      <c r="AD53">
        <f>HYPERLINK("https://klasma.github.io/Logging_2061/fåglar/A 55851-2021 prioriterade fågelarter.docx", "A 55851-2021")</f>
        <v/>
      </c>
    </row>
    <row r="54" ht="15" customHeight="1">
      <c r="A54" t="inlineStr">
        <is>
          <t>A 21703-2023</t>
        </is>
      </c>
      <c r="B54" t="inlineStr">
        <is>
          <t>avverkningsanmälan</t>
        </is>
      </c>
      <c r="C54" t="inlineStr">
        <is>
          <t>Föryngringsavverkning</t>
        </is>
      </c>
      <c r="D54" s="1" t="n">
        <v>45064</v>
      </c>
      <c r="E54" s="1" t="n">
        <v>46223</v>
      </c>
      <c r="F54" t="inlineStr">
        <is>
          <t>DALARNAS LÄN</t>
        </is>
      </c>
      <c r="G54" t="inlineStr">
        <is>
          <t>SMEDJEBACKEN</t>
        </is>
      </c>
      <c r="H54" t="inlineStr">
        <is>
          <t>Övriga Aktiebolag</t>
        </is>
      </c>
      <c r="I54" t="n">
        <v>4.1</v>
      </c>
      <c r="J54" t="n">
        <v>0</v>
      </c>
      <c r="K54" t="n">
        <v>0</v>
      </c>
      <c r="L54" t="n">
        <v>1</v>
      </c>
      <c r="M54" t="n">
        <v>0</v>
      </c>
      <c r="N54" t="n">
        <v>0</v>
      </c>
      <c r="O54" t="n">
        <v>0</v>
      </c>
      <c r="P54" t="n">
        <v>0</v>
      </c>
      <c r="Q54" t="n">
        <v>1</v>
      </c>
      <c r="R54" t="n">
        <v>0</v>
      </c>
      <c r="S54" t="n">
        <v>1</v>
      </c>
      <c r="T54" t="n">
        <v>1</v>
      </c>
      <c r="U54" s="2" t="inlineStr">
        <is>
          <t>Älg</t>
        </is>
      </c>
      <c r="V54">
        <f>HYPERLINK("https://klasma.github.io/Logging_2061/artfynd/A 21703-2023 artfynd.xlsx", "A 21703-2023")</f>
        <v/>
      </c>
      <c r="W54">
        <f>HYPERLINK("https://klasma.github.io/Logging_2061/kartor/A 21703-2023 karta.png", "A 21703-2023")</f>
        <v/>
      </c>
      <c r="X54">
        <f>HYPERLINK("https://klasma.github.io/Logging_2061/kartor_geotiff/A 21703-2023 georefererad karta.tif", "A 21703-2023")</f>
        <v/>
      </c>
      <c r="Z54">
        <f>HYPERLINK("https://klasma.github.io/Logging_2061/klagomål/A 21703-2023 FSC-klagomål.docx", "A 21703-2023")</f>
        <v/>
      </c>
      <c r="AA54">
        <f>HYPERLINK("https://klasma.github.io/Logging_2061/klagomålsmail/A 21703-2023 FSC-klagomål mail.docx", "A 21703-2023")</f>
        <v/>
      </c>
      <c r="AB54">
        <f>HYPERLINK("https://klasma.github.io/Logging_2061/tillsyn/A 21703-2023 tillsynsbegäran.docx", "A 21703-2023")</f>
        <v/>
      </c>
      <c r="AC54">
        <f>HYPERLINK("https://klasma.github.io/Logging_2061/tillsynsmail/A 21703-2023 tillsynsbegäran mail.docx", "A 21703-2023")</f>
        <v/>
      </c>
    </row>
    <row r="55" ht="15" customHeight="1">
      <c r="A55" t="inlineStr">
        <is>
          <t>A 42523-2024</t>
        </is>
      </c>
      <c r="B55" t="inlineStr">
        <is>
          <t>avverkningsanmälan</t>
        </is>
      </c>
      <c r="C55" t="inlineStr">
        <is>
          <t>Avverkning för annat ändamål</t>
        </is>
      </c>
      <c r="D55" s="1" t="n">
        <v>45565</v>
      </c>
      <c r="E55" s="1" t="n">
        <v>46223</v>
      </c>
      <c r="F55" t="inlineStr">
        <is>
          <t>DALARNAS LÄN</t>
        </is>
      </c>
      <c r="G55" t="inlineStr">
        <is>
          <t>SMEDJEBACKEN</t>
        </is>
      </c>
      <c r="I55" t="n">
        <v>3.5</v>
      </c>
      <c r="J55" t="n">
        <v>0</v>
      </c>
      <c r="K55" t="n">
        <v>0</v>
      </c>
      <c r="L55" t="n">
        <v>1</v>
      </c>
      <c r="M55" t="n">
        <v>0</v>
      </c>
      <c r="N55" t="n">
        <v>0</v>
      </c>
      <c r="O55" t="n">
        <v>0</v>
      </c>
      <c r="P55" t="n">
        <v>0</v>
      </c>
      <c r="Q55" t="n">
        <v>1</v>
      </c>
      <c r="R55" t="n">
        <v>0</v>
      </c>
      <c r="S55" t="n">
        <v>1</v>
      </c>
      <c r="T55" t="n">
        <v>1</v>
      </c>
      <c r="U55" s="2" t="inlineStr">
        <is>
          <t>Vedskivlav</t>
        </is>
      </c>
      <c r="V55">
        <f>HYPERLINK("https://klasma.github.io/Logging_2061/artfynd/A 42523-2024 artfynd.xlsx", "A 42523-2024")</f>
        <v/>
      </c>
      <c r="W55">
        <f>HYPERLINK("https://klasma.github.io/Logging_2061/kartor/A 42523-2024 karta.png", "A 42523-2024")</f>
        <v/>
      </c>
      <c r="X55">
        <f>HYPERLINK("https://klasma.github.io/Logging_2061/kartor_geotiff/A 42523-2024 georefererad karta.tif", "A 42523-2024")</f>
        <v/>
      </c>
      <c r="Z55">
        <f>HYPERLINK("https://klasma.github.io/Logging_2061/klagomål/A 42523-2024 FSC-klagomål.docx", "A 42523-2024")</f>
        <v/>
      </c>
      <c r="AA55">
        <f>HYPERLINK("https://klasma.github.io/Logging_2061/klagomålsmail/A 42523-2024 FSC-klagomål mail.docx", "A 42523-2024")</f>
        <v/>
      </c>
      <c r="AB55">
        <f>HYPERLINK("https://klasma.github.io/Logging_2061/tillsyn/A 42523-2024 tillsynsbegäran.docx", "A 42523-2024")</f>
        <v/>
      </c>
      <c r="AC55">
        <f>HYPERLINK("https://klasma.github.io/Logging_2061/tillsynsmail/A 42523-2024 tillsynsbegäran mail.docx", "A 42523-2024")</f>
        <v/>
      </c>
    </row>
    <row r="56" ht="15" customHeight="1">
      <c r="A56" t="inlineStr">
        <is>
          <t>A 56659-2025</t>
        </is>
      </c>
      <c r="B56" t="inlineStr">
        <is>
          <t>avverkningsanmälan</t>
        </is>
      </c>
      <c r="C56" t="inlineStr">
        <is>
          <t>Föryngringsavverkning</t>
        </is>
      </c>
      <c r="D56" s="1" t="n">
        <v>45975</v>
      </c>
      <c r="E56" s="1" t="n">
        <v>46223</v>
      </c>
      <c r="F56" t="inlineStr">
        <is>
          <t>DALARNAS LÄN</t>
        </is>
      </c>
      <c r="G56" t="inlineStr">
        <is>
          <t>SMEDJEBACKEN</t>
        </is>
      </c>
      <c r="I56" t="n">
        <v>1.7</v>
      </c>
      <c r="J56" t="n">
        <v>0</v>
      </c>
      <c r="K56" t="n">
        <v>0</v>
      </c>
      <c r="L56" t="n">
        <v>1</v>
      </c>
      <c r="M56" t="n">
        <v>0</v>
      </c>
      <c r="N56" t="n">
        <v>0</v>
      </c>
      <c r="O56" t="n">
        <v>0</v>
      </c>
      <c r="P56" t="n">
        <v>0</v>
      </c>
      <c r="Q56" t="n">
        <v>1</v>
      </c>
      <c r="R56" t="n">
        <v>0</v>
      </c>
      <c r="S56" t="n">
        <v>1</v>
      </c>
      <c r="T56" t="n">
        <v>1</v>
      </c>
      <c r="U56" s="2" t="inlineStr">
        <is>
          <t>Grentaggsvamp</t>
        </is>
      </c>
      <c r="V56">
        <f>HYPERLINK("https://klasma.github.io/Logging_2061/artfynd/A 56659-2025 artfynd.xlsx", "A 56659-2025")</f>
        <v/>
      </c>
      <c r="W56">
        <f>HYPERLINK("https://klasma.github.io/Logging_2061/kartor/A 56659-2025 karta.png", "A 56659-2025")</f>
        <v/>
      </c>
      <c r="X56">
        <f>HYPERLINK("https://klasma.github.io/Logging_2061/kartor_geotiff/A 56659-2025 georefererad karta.tif", "A 56659-2025")</f>
        <v/>
      </c>
      <c r="Z56">
        <f>HYPERLINK("https://klasma.github.io/Logging_2061/klagomål/A 56659-2025 FSC-klagomål.docx", "A 56659-2025")</f>
        <v/>
      </c>
      <c r="AA56">
        <f>HYPERLINK("https://klasma.github.io/Logging_2061/klagomålsmail/A 56659-2025 FSC-klagomål mail.docx", "A 56659-2025")</f>
        <v/>
      </c>
      <c r="AB56">
        <f>HYPERLINK("https://klasma.github.io/Logging_2061/tillsyn/A 56659-2025 tillsynsbegäran.docx", "A 56659-2025")</f>
        <v/>
      </c>
      <c r="AC56">
        <f>HYPERLINK("https://klasma.github.io/Logging_2061/tillsynsmail/A 56659-2025 tillsynsbegäran mail.docx", "A 56659-2025")</f>
        <v/>
      </c>
    </row>
    <row r="57" ht="15" customHeight="1">
      <c r="A57" t="inlineStr">
        <is>
          <t>A 37313-2024</t>
        </is>
      </c>
      <c r="B57" t="inlineStr">
        <is>
          <t>avverkningsanmälan</t>
        </is>
      </c>
      <c r="C57" t="inlineStr">
        <is>
          <t>Föryngringsavverkning</t>
        </is>
      </c>
      <c r="D57" s="1" t="n">
        <v>45540</v>
      </c>
      <c r="E57" s="1" t="n">
        <v>46223</v>
      </c>
      <c r="F57" t="inlineStr">
        <is>
          <t>DALARNAS LÄN</t>
        </is>
      </c>
      <c r="G57" t="inlineStr">
        <is>
          <t>SMEDJEBACKEN</t>
        </is>
      </c>
      <c r="H57" t="inlineStr">
        <is>
          <t>Bergvik skog väst AB</t>
        </is>
      </c>
      <c r="I57" t="n">
        <v>46.5</v>
      </c>
      <c r="J57" t="n">
        <v>0</v>
      </c>
      <c r="K57" t="n">
        <v>0</v>
      </c>
      <c r="L57" t="n">
        <v>1</v>
      </c>
      <c r="M57" t="n">
        <v>0</v>
      </c>
      <c r="N57" t="n">
        <v>0</v>
      </c>
      <c r="O57" t="n">
        <v>0</v>
      </c>
      <c r="P57" t="n">
        <v>0</v>
      </c>
      <c r="Q57" t="n">
        <v>1</v>
      </c>
      <c r="R57" t="n">
        <v>0</v>
      </c>
      <c r="S57" t="n">
        <v>1</v>
      </c>
      <c r="T57" t="n">
        <v>1</v>
      </c>
      <c r="U57" s="2" t="inlineStr">
        <is>
          <t>Fjällig taggsvamp s.str.</t>
        </is>
      </c>
      <c r="V57">
        <f>HYPERLINK("https://klasma.github.io/Logging_2061/artfynd/A 37313-2024 artfynd.xlsx", "A 37313-2024")</f>
        <v/>
      </c>
      <c r="W57">
        <f>HYPERLINK("https://klasma.github.io/Logging_2061/kartor/A 37313-2024 karta.png", "A 37313-2024")</f>
        <v/>
      </c>
      <c r="X57">
        <f>HYPERLINK("https://klasma.github.io/Logging_2061/kartor_geotiff/A 37313-2024 georefererad karta.tif", "A 37313-2024")</f>
        <v/>
      </c>
      <c r="Z57">
        <f>HYPERLINK("https://klasma.github.io/Logging_2061/klagomål/A 37313-2024 FSC-klagomål.docx", "A 37313-2024")</f>
        <v/>
      </c>
      <c r="AA57">
        <f>HYPERLINK("https://klasma.github.io/Logging_2061/klagomålsmail/A 37313-2024 FSC-klagomål mail.docx", "A 37313-2024")</f>
        <v/>
      </c>
      <c r="AB57">
        <f>HYPERLINK("https://klasma.github.io/Logging_2061/tillsyn/A 37313-2024 tillsynsbegäran.docx", "A 37313-2024")</f>
        <v/>
      </c>
      <c r="AC57">
        <f>HYPERLINK("https://klasma.github.io/Logging_2061/tillsynsmail/A 37313-2024 tillsynsbegäran mail.docx", "A 37313-2024")</f>
        <v/>
      </c>
    </row>
    <row r="58" ht="15" customHeight="1">
      <c r="A58" t="inlineStr">
        <is>
          <t>A 60816-2025</t>
        </is>
      </c>
      <c r="B58" t="inlineStr">
        <is>
          <t>avverkningsanmälan</t>
        </is>
      </c>
      <c r="C58" t="inlineStr">
        <is>
          <t>Föryngringsavverkning</t>
        </is>
      </c>
      <c r="D58" s="1" t="n">
        <v>45999</v>
      </c>
      <c r="E58" s="1" t="n">
        <v>46223</v>
      </c>
      <c r="F58" t="inlineStr">
        <is>
          <t>DALARNAS LÄN</t>
        </is>
      </c>
      <c r="G58" t="inlineStr">
        <is>
          <t>SMEDJEBACKEN</t>
        </is>
      </c>
      <c r="I58" t="n">
        <v>2.3</v>
      </c>
      <c r="J58" t="n">
        <v>0</v>
      </c>
      <c r="K58" t="n">
        <v>1</v>
      </c>
      <c r="L58" t="n">
        <v>0</v>
      </c>
      <c r="M58" t="n">
        <v>0</v>
      </c>
      <c r="N58" t="n">
        <v>0</v>
      </c>
      <c r="O58" t="n">
        <v>0</v>
      </c>
      <c r="P58" t="n">
        <v>0</v>
      </c>
      <c r="Q58" t="n">
        <v>0</v>
      </c>
      <c r="R58" t="n">
        <v>0</v>
      </c>
      <c r="S58" t="n">
        <v>1</v>
      </c>
      <c r="T58" t="n">
        <v>1</v>
      </c>
      <c r="U58" s="2" t="inlineStr">
        <is>
          <t>Jättesvampmal</t>
        </is>
      </c>
      <c r="V58">
        <f>HYPERLINK("https://klasma.github.io/Logging_2061/artfynd/A 60816-2025 artfynd.xlsx", "A 60816-2025")</f>
        <v/>
      </c>
      <c r="W58">
        <f>HYPERLINK("https://klasma.github.io/Logging_2061/kartor/A 60816-2025 karta.png", "A 60816-2025")</f>
        <v/>
      </c>
      <c r="X58">
        <f>HYPERLINK("https://klasma.github.io/Logging_2061/kartor_geotiff/A 60816-2025 georefererad karta.tif", "A 60816-2025")</f>
        <v/>
      </c>
      <c r="Z58">
        <f>HYPERLINK("https://klasma.github.io/Logging_2061/klagomål/A 60816-2025 FSC-klagomål.docx", "A 60816-2025")</f>
        <v/>
      </c>
      <c r="AA58">
        <f>HYPERLINK("https://klasma.github.io/Logging_2061/klagomålsmail/A 60816-2025 FSC-klagomål mail.docx", "A 60816-2025")</f>
        <v/>
      </c>
      <c r="AB58">
        <f>HYPERLINK("https://klasma.github.io/Logging_2061/tillsyn/A 60816-2025 tillsynsbegäran.docx", "A 60816-2025")</f>
        <v/>
      </c>
      <c r="AC58">
        <f>HYPERLINK("https://klasma.github.io/Logging_2061/tillsynsmail/A 60816-2025 tillsynsbegäran mail.docx", "A 60816-2025")</f>
        <v/>
      </c>
    </row>
    <row r="59" ht="15" customHeight="1">
      <c r="A59" t="inlineStr">
        <is>
          <t>A 54156-2023</t>
        </is>
      </c>
      <c r="B59" t="inlineStr">
        <is>
          <t>avverkningsanmälan</t>
        </is>
      </c>
      <c r="C59" t="inlineStr">
        <is>
          <t>Föryngringsavverkning</t>
        </is>
      </c>
      <c r="D59" s="1" t="n">
        <v>45225</v>
      </c>
      <c r="E59" s="1" t="n">
        <v>46223</v>
      </c>
      <c r="F59" t="inlineStr">
        <is>
          <t>DALARNAS LÄN</t>
        </is>
      </c>
      <c r="G59" t="inlineStr">
        <is>
          <t>SMEDJEBACKEN</t>
        </is>
      </c>
      <c r="H59" t="inlineStr">
        <is>
          <t>Bergvik skog väst AB</t>
        </is>
      </c>
      <c r="I59" t="n">
        <v>26.3</v>
      </c>
      <c r="J59" t="n">
        <v>1</v>
      </c>
      <c r="K59" t="n">
        <v>0</v>
      </c>
      <c r="L59" t="n">
        <v>0</v>
      </c>
      <c r="M59" t="n">
        <v>0</v>
      </c>
      <c r="N59" t="n">
        <v>0</v>
      </c>
      <c r="O59" t="n">
        <v>0</v>
      </c>
      <c r="P59" t="n">
        <v>0</v>
      </c>
      <c r="Q59" t="n">
        <v>0</v>
      </c>
      <c r="R59" t="n">
        <v>0</v>
      </c>
      <c r="S59" t="n">
        <v>1</v>
      </c>
      <c r="T59" t="n">
        <v>1</v>
      </c>
      <c r="U59" s="2" t="inlineStr">
        <is>
          <t>Revlummer</t>
        </is>
      </c>
      <c r="V59">
        <f>HYPERLINK("https://klasma.github.io/Logging_2061/artfynd/A 54156-2023 artfynd.xlsx", "A 54156-2023")</f>
        <v/>
      </c>
      <c r="W59">
        <f>HYPERLINK("https://klasma.github.io/Logging_2061/kartor/A 54156-2023 karta.png", "A 54156-2023")</f>
        <v/>
      </c>
      <c r="X59">
        <f>HYPERLINK("https://klasma.github.io/Logging_2061/kartor_geotiff/A 54156-2023 georefererad karta.tif", "A 54156-2023")</f>
        <v/>
      </c>
      <c r="Z59">
        <f>HYPERLINK("https://klasma.github.io/Logging_2061/klagomål/A 54156-2023 FSC-klagomål.docx", "A 54156-2023")</f>
        <v/>
      </c>
      <c r="AA59">
        <f>HYPERLINK("https://klasma.github.io/Logging_2061/klagomålsmail/A 54156-2023 FSC-klagomål mail.docx", "A 54156-2023")</f>
        <v/>
      </c>
      <c r="AB59">
        <f>HYPERLINK("https://klasma.github.io/Logging_2061/tillsyn/A 54156-2023 tillsynsbegäran.docx", "A 54156-2023")</f>
        <v/>
      </c>
      <c r="AC59">
        <f>HYPERLINK("https://klasma.github.io/Logging_2061/tillsynsmail/A 54156-2023 tillsynsbegäran mail.docx", "A 54156-2023")</f>
        <v/>
      </c>
    </row>
    <row r="60" ht="15" customHeight="1">
      <c r="A60" t="inlineStr">
        <is>
          <t>A 30003-2023</t>
        </is>
      </c>
      <c r="B60" t="inlineStr">
        <is>
          <t>avverkningsanmälan</t>
        </is>
      </c>
      <c r="C60" t="inlineStr">
        <is>
          <t>Föryngringsavverkning</t>
        </is>
      </c>
      <c r="D60" s="1" t="n">
        <v>45109</v>
      </c>
      <c r="E60" s="1" t="n">
        <v>46223</v>
      </c>
      <c r="F60" t="inlineStr">
        <is>
          <t>DALARNAS LÄN</t>
        </is>
      </c>
      <c r="G60" t="inlineStr">
        <is>
          <t>SMEDJEBACKEN</t>
        </is>
      </c>
      <c r="I60" t="n">
        <v>1.6</v>
      </c>
      <c r="J60" t="n">
        <v>1</v>
      </c>
      <c r="K60" t="n">
        <v>0</v>
      </c>
      <c r="L60" t="n">
        <v>0</v>
      </c>
      <c r="M60" t="n">
        <v>0</v>
      </c>
      <c r="N60" t="n">
        <v>0</v>
      </c>
      <c r="O60" t="n">
        <v>0</v>
      </c>
      <c r="P60" t="n">
        <v>0</v>
      </c>
      <c r="Q60" t="n">
        <v>0</v>
      </c>
      <c r="R60" t="n">
        <v>0</v>
      </c>
      <c r="S60" t="n">
        <v>1</v>
      </c>
      <c r="T60" t="n">
        <v>1</v>
      </c>
      <c r="U60" s="2" t="inlineStr">
        <is>
          <t>Fläcknycklar</t>
        </is>
      </c>
      <c r="V60">
        <f>HYPERLINK("https://klasma.github.io/Logging_2061/artfynd/A 30003-2023 artfynd.xlsx", "A 30003-2023")</f>
        <v/>
      </c>
      <c r="W60">
        <f>HYPERLINK("https://klasma.github.io/Logging_2061/kartor/A 30003-2023 karta.png", "A 30003-2023")</f>
        <v/>
      </c>
      <c r="X60">
        <f>HYPERLINK("https://klasma.github.io/Logging_2061/kartor_geotiff/A 30003-2023 georefererad karta.tif", "A 30003-2023")</f>
        <v/>
      </c>
      <c r="Z60">
        <f>HYPERLINK("https://klasma.github.io/Logging_2061/klagomål/A 30003-2023 FSC-klagomål.docx", "A 30003-2023")</f>
        <v/>
      </c>
      <c r="AA60">
        <f>HYPERLINK("https://klasma.github.io/Logging_2061/klagomålsmail/A 30003-2023 FSC-klagomål mail.docx", "A 30003-2023")</f>
        <v/>
      </c>
      <c r="AB60">
        <f>HYPERLINK("https://klasma.github.io/Logging_2061/tillsyn/A 30003-2023 tillsynsbegäran.docx", "A 30003-2023")</f>
        <v/>
      </c>
      <c r="AC60">
        <f>HYPERLINK("https://klasma.github.io/Logging_2061/tillsynsmail/A 30003-2023 tillsynsbegäran mail.docx", "A 30003-2023")</f>
        <v/>
      </c>
    </row>
    <row r="61" ht="15" customHeight="1">
      <c r="A61" t="inlineStr">
        <is>
          <t>A 18878-2026</t>
        </is>
      </c>
      <c r="B61" t="inlineStr">
        <is>
          <t>avverkningsanmälan</t>
        </is>
      </c>
      <c r="C61" t="inlineStr">
        <is>
          <t>Föryngringsavverkning</t>
        </is>
      </c>
      <c r="D61" s="1" t="n">
        <v>46129</v>
      </c>
      <c r="E61" s="1" t="n">
        <v>46223</v>
      </c>
      <c r="F61" t="inlineStr">
        <is>
          <t>DALARNAS LÄN</t>
        </is>
      </c>
      <c r="G61" t="inlineStr">
        <is>
          <t>SMEDJEBACKEN</t>
        </is>
      </c>
      <c r="H61" t="inlineStr">
        <is>
          <t>Sveaskog</t>
        </is>
      </c>
      <c r="I61" t="n">
        <v>8.6</v>
      </c>
      <c r="J61" t="n">
        <v>0</v>
      </c>
      <c r="K61" t="n">
        <v>0</v>
      </c>
      <c r="L61" t="n">
        <v>1</v>
      </c>
      <c r="M61" t="n">
        <v>0</v>
      </c>
      <c r="N61" t="n">
        <v>0</v>
      </c>
      <c r="O61" t="n">
        <v>0</v>
      </c>
      <c r="P61" t="n">
        <v>0</v>
      </c>
      <c r="Q61" t="n">
        <v>1</v>
      </c>
      <c r="R61" t="n">
        <v>0</v>
      </c>
      <c r="S61" t="n">
        <v>1</v>
      </c>
      <c r="T61" t="n">
        <v>1</v>
      </c>
      <c r="U61" s="2" t="inlineStr">
        <is>
          <t>Motaggsvamp</t>
        </is>
      </c>
      <c r="V61">
        <f>HYPERLINK("https://klasma.github.io/Logging_2061/artfynd/A 18878-2026 artfynd.xlsx", "A 18878-2026")</f>
        <v/>
      </c>
      <c r="W61">
        <f>HYPERLINK("https://klasma.github.io/Logging_2061/kartor/A 18878-2026 karta.png", "A 18878-2026")</f>
        <v/>
      </c>
      <c r="X61">
        <f>HYPERLINK("https://klasma.github.io/Logging_2061/kartor_geotiff/A 18878-2026 georefererad karta.tif", "A 18878-2026")</f>
        <v/>
      </c>
      <c r="Z61">
        <f>HYPERLINK("https://klasma.github.io/Logging_2061/klagomål/A 18878-2026 FSC-klagomål.docx", "A 18878-2026")</f>
        <v/>
      </c>
      <c r="AA61">
        <f>HYPERLINK("https://klasma.github.io/Logging_2061/klagomålsmail/A 18878-2026 FSC-klagomål mail.docx", "A 18878-2026")</f>
        <v/>
      </c>
      <c r="AB61">
        <f>HYPERLINK("https://klasma.github.io/Logging_2061/tillsyn/A 18878-2026 tillsynsbegäran.docx", "A 18878-2026")</f>
        <v/>
      </c>
      <c r="AC61">
        <f>HYPERLINK("https://klasma.github.io/Logging_2061/tillsynsmail/A 18878-2026 tillsynsbegäran mail.docx", "A 18878-2026")</f>
        <v/>
      </c>
    </row>
    <row r="62" ht="15" customHeight="1">
      <c r="A62" t="inlineStr">
        <is>
          <t>A 15389-2024</t>
        </is>
      </c>
      <c r="B62" t="inlineStr">
        <is>
          <t>avverkningsanmälan</t>
        </is>
      </c>
      <c r="C62" t="inlineStr">
        <is>
          <t>Föryngringsavverkning</t>
        </is>
      </c>
      <c r="D62" s="1" t="n">
        <v>45401</v>
      </c>
      <c r="E62" s="1" t="n">
        <v>46223</v>
      </c>
      <c r="F62" t="inlineStr">
        <is>
          <t>DALARNAS LÄN</t>
        </is>
      </c>
      <c r="G62" t="inlineStr">
        <is>
          <t>SMEDJEBACKEN</t>
        </is>
      </c>
      <c r="H62" t="inlineStr">
        <is>
          <t>Sveaskog</t>
        </is>
      </c>
      <c r="I62" t="n">
        <v>2.8</v>
      </c>
      <c r="J62" t="n">
        <v>0</v>
      </c>
      <c r="K62" t="n">
        <v>1</v>
      </c>
      <c r="L62" t="n">
        <v>0</v>
      </c>
      <c r="M62" t="n">
        <v>0</v>
      </c>
      <c r="N62" t="n">
        <v>0</v>
      </c>
      <c r="O62" t="n">
        <v>0</v>
      </c>
      <c r="P62" t="n">
        <v>0</v>
      </c>
      <c r="Q62" t="n">
        <v>0</v>
      </c>
      <c r="R62" t="n">
        <v>0</v>
      </c>
      <c r="S62" t="n">
        <v>1</v>
      </c>
      <c r="T62" t="n">
        <v>2</v>
      </c>
      <c r="U62" s="2" t="inlineStr">
        <is>
          <t>Svavelriska</t>
        </is>
      </c>
      <c r="V62">
        <f>HYPERLINK("https://klasma.github.io/Logging_2061/artfynd/A 15389-2024 artfynd.xlsx", "A 15389-2024")</f>
        <v/>
      </c>
      <c r="W62">
        <f>HYPERLINK("https://klasma.github.io/Logging_2061/kartor/A 15389-2024 karta.png", "A 15389-2024")</f>
        <v/>
      </c>
      <c r="X62">
        <f>HYPERLINK("https://klasma.github.io/Logging_2061/kartor_geotiff/A 15389-2024 georefererad karta.tif", "A 15389-2024")</f>
        <v/>
      </c>
      <c r="Z62">
        <f>HYPERLINK("https://klasma.github.io/Logging_2061/klagomål/A 15389-2024 FSC-klagomål.docx", "A 15389-2024")</f>
        <v/>
      </c>
      <c r="AA62">
        <f>HYPERLINK("https://klasma.github.io/Logging_2061/klagomålsmail/A 15389-2024 FSC-klagomål mail.docx", "A 15389-2024")</f>
        <v/>
      </c>
      <c r="AB62">
        <f>HYPERLINK("https://klasma.github.io/Logging_2061/tillsyn/A 15389-2024 tillsynsbegäran.docx", "A 15389-2024")</f>
        <v/>
      </c>
      <c r="AC62">
        <f>HYPERLINK("https://klasma.github.io/Logging_2061/tillsynsmail/A 15389-2024 tillsynsbegäran mail.docx", "A 15389-2024")</f>
        <v/>
      </c>
    </row>
    <row r="63" ht="15" customHeight="1">
      <c r="A63" t="inlineStr">
        <is>
          <t>A 53977-2023</t>
        </is>
      </c>
      <c r="B63" t="inlineStr">
        <is>
          <t>avverkningsanmälan</t>
        </is>
      </c>
      <c r="C63" t="inlineStr">
        <is>
          <t>Föryngringsavverkning</t>
        </is>
      </c>
      <c r="D63" s="1" t="n">
        <v>45225</v>
      </c>
      <c r="E63" s="1" t="n">
        <v>46223</v>
      </c>
      <c r="F63" t="inlineStr">
        <is>
          <t>DALARNAS LÄN</t>
        </is>
      </c>
      <c r="G63" t="inlineStr">
        <is>
          <t>SMEDJEBACKEN</t>
        </is>
      </c>
      <c r="H63" t="inlineStr">
        <is>
          <t>Bergvik skog väst AB</t>
        </is>
      </c>
      <c r="I63" t="n">
        <v>7.1</v>
      </c>
      <c r="J63" t="n">
        <v>1</v>
      </c>
      <c r="K63" t="n">
        <v>0</v>
      </c>
      <c r="L63" t="n">
        <v>0</v>
      </c>
      <c r="M63" t="n">
        <v>0</v>
      </c>
      <c r="N63" t="n">
        <v>0</v>
      </c>
      <c r="O63" t="n">
        <v>0</v>
      </c>
      <c r="P63" t="n">
        <v>0</v>
      </c>
      <c r="Q63" t="n">
        <v>0</v>
      </c>
      <c r="R63" t="n">
        <v>0</v>
      </c>
      <c r="S63" t="n">
        <v>1</v>
      </c>
      <c r="T63" t="n">
        <v>2</v>
      </c>
      <c r="U63" s="2" t="inlineStr">
        <is>
          <t>Nattskärra</t>
        </is>
      </c>
      <c r="V63">
        <f>HYPERLINK("https://klasma.github.io/Logging_2061/artfynd/A 53977-2023 artfynd.xlsx", "A 53977-2023")</f>
        <v/>
      </c>
      <c r="W63">
        <f>HYPERLINK("https://klasma.github.io/Logging_2061/kartor/A 53977-2023 karta.png", "A 53977-2023")</f>
        <v/>
      </c>
      <c r="X63">
        <f>HYPERLINK("https://klasma.github.io/Logging_2061/kartor_geotiff/A 53977-2023 georefererad karta.tif", "A 53977-2023")</f>
        <v/>
      </c>
      <c r="Z63">
        <f>HYPERLINK("https://klasma.github.io/Logging_2061/klagomål/A 53977-2023 FSC-klagomål.docx", "A 53977-2023")</f>
        <v/>
      </c>
      <c r="AA63">
        <f>HYPERLINK("https://klasma.github.io/Logging_2061/klagomålsmail/A 53977-2023 FSC-klagomål mail.docx", "A 53977-2023")</f>
        <v/>
      </c>
      <c r="AB63">
        <f>HYPERLINK("https://klasma.github.io/Logging_2061/tillsyn/A 53977-2023 tillsynsbegäran.docx", "A 53977-2023")</f>
        <v/>
      </c>
      <c r="AC63">
        <f>HYPERLINK("https://klasma.github.io/Logging_2061/tillsynsmail/A 53977-2023 tillsynsbegäran mail.docx", "A 53977-2023")</f>
        <v/>
      </c>
      <c r="AD63">
        <f>HYPERLINK("https://klasma.github.io/Logging_2061/fåglar/A 53977-2023 prioriterade fågelarter.docx", "A 53977-2023")</f>
        <v/>
      </c>
    </row>
    <row r="64" ht="15" customHeight="1">
      <c r="A64" t="inlineStr">
        <is>
          <t>A 20019-2024</t>
        </is>
      </c>
      <c r="B64" t="inlineStr">
        <is>
          <t>avverkningsanmälan</t>
        </is>
      </c>
      <c r="C64" t="inlineStr">
        <is>
          <t>Föryngringsavverkning</t>
        </is>
      </c>
      <c r="D64" s="1" t="n">
        <v>45433</v>
      </c>
      <c r="E64" s="1" t="n">
        <v>46223</v>
      </c>
      <c r="F64" t="inlineStr">
        <is>
          <t>DALARNAS LÄN</t>
        </is>
      </c>
      <c r="G64" t="inlineStr">
        <is>
          <t>SMEDJEBACKEN</t>
        </is>
      </c>
      <c r="H64" t="inlineStr">
        <is>
          <t>Övriga Aktiebolag</t>
        </is>
      </c>
      <c r="I64" t="n">
        <v>3.3</v>
      </c>
      <c r="J64" t="n">
        <v>0</v>
      </c>
      <c r="K64" t="n">
        <v>0</v>
      </c>
      <c r="L64" t="n">
        <v>0</v>
      </c>
      <c r="M64" t="n">
        <v>1</v>
      </c>
      <c r="N64" t="n">
        <v>0</v>
      </c>
      <c r="O64" t="n">
        <v>0</v>
      </c>
      <c r="P64" t="n">
        <v>0</v>
      </c>
      <c r="Q64" t="n">
        <v>1</v>
      </c>
      <c r="R64" t="n">
        <v>1</v>
      </c>
      <c r="S64" t="n">
        <v>1</v>
      </c>
      <c r="T64" t="n">
        <v>1</v>
      </c>
      <c r="U64" s="2" t="inlineStr">
        <is>
          <t>Violettkantad guldvinge</t>
        </is>
      </c>
      <c r="V64">
        <f>HYPERLINK("https://klasma.github.io/Logging_2061/artfynd/A 20019-2024 artfynd.xlsx", "A 20019-2024")</f>
        <v/>
      </c>
      <c r="W64">
        <f>HYPERLINK("https://klasma.github.io/Logging_2061/kartor/A 20019-2024 karta.png", "A 20019-2024")</f>
        <v/>
      </c>
      <c r="X64">
        <f>HYPERLINK("https://klasma.github.io/Logging_2061/kartor_geotiff/A 20019-2024 georefererad karta.tif", "A 20019-2024")</f>
        <v/>
      </c>
      <c r="Z64">
        <f>HYPERLINK("https://klasma.github.io/Logging_2061/klagomål/A 20019-2024 FSC-klagomål.docx", "A 20019-2024")</f>
        <v/>
      </c>
      <c r="AA64">
        <f>HYPERLINK("https://klasma.github.io/Logging_2061/klagomålsmail/A 20019-2024 FSC-klagomål mail.docx", "A 20019-2024")</f>
        <v/>
      </c>
      <c r="AB64">
        <f>HYPERLINK("https://klasma.github.io/Logging_2061/tillsyn/A 20019-2024 tillsynsbegäran.docx", "A 20019-2024")</f>
        <v/>
      </c>
      <c r="AC64">
        <f>HYPERLINK("https://klasma.github.io/Logging_2061/tillsynsmail/A 20019-2024 tillsynsbegäran mail.docx", "A 20019-2024")</f>
        <v/>
      </c>
    </row>
    <row r="65" ht="15" customHeight="1">
      <c r="A65" t="inlineStr">
        <is>
          <t>A 10340-2022</t>
        </is>
      </c>
      <c r="B65" t="inlineStr">
        <is>
          <t>avverkningsanmälan</t>
        </is>
      </c>
      <c r="C65" t="inlineStr">
        <is>
          <t>Föryngringsavverkning</t>
        </is>
      </c>
      <c r="D65" s="1" t="n">
        <v>44623</v>
      </c>
      <c r="E65" s="1" t="n">
        <v>46223</v>
      </c>
      <c r="F65" t="inlineStr">
        <is>
          <t>DALARNAS LÄN</t>
        </is>
      </c>
      <c r="G65" t="inlineStr">
        <is>
          <t>SMEDJEBACKEN</t>
        </is>
      </c>
      <c r="I65" t="n">
        <v>2.5</v>
      </c>
      <c r="J65" t="n">
        <v>1</v>
      </c>
      <c r="K65" t="n">
        <v>0</v>
      </c>
      <c r="L65" t="n">
        <v>0</v>
      </c>
      <c r="M65" t="n">
        <v>0</v>
      </c>
      <c r="N65" t="n">
        <v>0</v>
      </c>
      <c r="O65" t="n">
        <v>0</v>
      </c>
      <c r="P65" t="n">
        <v>0</v>
      </c>
      <c r="Q65" t="n">
        <v>0</v>
      </c>
      <c r="R65" t="n">
        <v>0</v>
      </c>
      <c r="S65" t="n">
        <v>1</v>
      </c>
      <c r="T65" t="n">
        <v>2</v>
      </c>
      <c r="U65" s="2" t="inlineStr">
        <is>
          <t>Smålom</t>
        </is>
      </c>
      <c r="V65">
        <f>HYPERLINK("https://klasma.github.io/Logging_2061/artfynd/A 10340-2022 artfynd.xlsx", "A 10340-2022")</f>
        <v/>
      </c>
      <c r="W65">
        <f>HYPERLINK("https://klasma.github.io/Logging_2061/kartor/A 10340-2022 karta.png", "A 10340-2022")</f>
        <v/>
      </c>
      <c r="X65">
        <f>HYPERLINK("https://klasma.github.io/Logging_2061/kartor_geotiff/A 10340-2022 georefererad karta.tif", "A 10340-2022")</f>
        <v/>
      </c>
      <c r="Z65">
        <f>HYPERLINK("https://klasma.github.io/Logging_2061/klagomål/A 10340-2022 FSC-klagomål.docx", "A 10340-2022")</f>
        <v/>
      </c>
      <c r="AA65">
        <f>HYPERLINK("https://klasma.github.io/Logging_2061/klagomålsmail/A 10340-2022 FSC-klagomål mail.docx", "A 10340-2022")</f>
        <v/>
      </c>
      <c r="AB65">
        <f>HYPERLINK("https://klasma.github.io/Logging_2061/tillsyn/A 10340-2022 tillsynsbegäran.docx", "A 10340-2022")</f>
        <v/>
      </c>
      <c r="AC65">
        <f>HYPERLINK("https://klasma.github.io/Logging_2061/tillsynsmail/A 10340-2022 tillsynsbegäran mail.docx", "A 10340-2022")</f>
        <v/>
      </c>
      <c r="AD65">
        <f>HYPERLINK("https://klasma.github.io/Logging_2061/fåglar/A 10340-2022 prioriterade fågelarter.docx", "A 10340-2022")</f>
        <v/>
      </c>
    </row>
    <row r="66" ht="15" customHeight="1">
      <c r="A66" t="inlineStr">
        <is>
          <t>A 52953-2023</t>
        </is>
      </c>
      <c r="B66" t="inlineStr">
        <is>
          <t>avverkningsanmälan</t>
        </is>
      </c>
      <c r="C66" t="inlineStr">
        <is>
          <t>Föryngringsavverkning</t>
        </is>
      </c>
      <c r="D66" s="1" t="n">
        <v>45226</v>
      </c>
      <c r="E66" s="1" t="n">
        <v>46223</v>
      </c>
      <c r="F66" t="inlineStr">
        <is>
          <t>DALARNAS LÄN</t>
        </is>
      </c>
      <c r="G66" t="inlineStr">
        <is>
          <t>SMEDJEBACKEN</t>
        </is>
      </c>
      <c r="H66" t="inlineStr">
        <is>
          <t>Sveaskog</t>
        </is>
      </c>
      <c r="I66" t="n">
        <v>0.9</v>
      </c>
      <c r="J66" t="n">
        <v>0</v>
      </c>
      <c r="K66" t="n">
        <v>0</v>
      </c>
      <c r="L66" t="n">
        <v>1</v>
      </c>
      <c r="M66" t="n">
        <v>0</v>
      </c>
      <c r="N66" t="n">
        <v>0</v>
      </c>
      <c r="O66" t="n">
        <v>0</v>
      </c>
      <c r="P66" t="n">
        <v>0</v>
      </c>
      <c r="Q66" t="n">
        <v>1</v>
      </c>
      <c r="R66" t="n">
        <v>0</v>
      </c>
      <c r="S66" t="n">
        <v>1</v>
      </c>
      <c r="T66" t="n">
        <v>1</v>
      </c>
      <c r="U66" s="2" t="inlineStr">
        <is>
          <t>Motaggsvamp</t>
        </is>
      </c>
      <c r="V66">
        <f>HYPERLINK("https://klasma.github.io/Logging_2061/artfynd/A 52953-2023 artfynd.xlsx", "A 52953-2023")</f>
        <v/>
      </c>
      <c r="W66">
        <f>HYPERLINK("https://klasma.github.io/Logging_2061/kartor/A 52953-2023 karta.png", "A 52953-2023")</f>
        <v/>
      </c>
      <c r="X66">
        <f>HYPERLINK("https://klasma.github.io/Logging_2061/kartor_geotiff/A 52953-2023 georefererad karta.tif", "A 52953-2023")</f>
        <v/>
      </c>
      <c r="Z66">
        <f>HYPERLINK("https://klasma.github.io/Logging_2061/klagomål/A 52953-2023 FSC-klagomål.docx", "A 52953-2023")</f>
        <v/>
      </c>
      <c r="AA66">
        <f>HYPERLINK("https://klasma.github.io/Logging_2061/klagomålsmail/A 52953-2023 FSC-klagomål mail.docx", "A 52953-2023")</f>
        <v/>
      </c>
      <c r="AB66">
        <f>HYPERLINK("https://klasma.github.io/Logging_2061/tillsyn/A 52953-2023 tillsynsbegäran.docx", "A 52953-2023")</f>
        <v/>
      </c>
      <c r="AC66">
        <f>HYPERLINK("https://klasma.github.io/Logging_2061/tillsynsmail/A 52953-2023 tillsynsbegäran mail.docx", "A 52953-2023")</f>
        <v/>
      </c>
    </row>
    <row r="67" ht="15" customHeight="1">
      <c r="A67" t="inlineStr">
        <is>
          <t>A 41336-2022</t>
        </is>
      </c>
      <c r="B67" t="inlineStr">
        <is>
          <t>avverkningsanmälan</t>
        </is>
      </c>
      <c r="C67" t="inlineStr">
        <is>
          <t>Föryngringsavverkning</t>
        </is>
      </c>
      <c r="D67" s="1" t="n">
        <v>44826</v>
      </c>
      <c r="E67" s="1" t="n">
        <v>46223</v>
      </c>
      <c r="F67" t="inlineStr">
        <is>
          <t>DALARNAS LÄN</t>
        </is>
      </c>
      <c r="G67" t="inlineStr">
        <is>
          <t>SMEDJEBACKEN</t>
        </is>
      </c>
      <c r="I67" t="n">
        <v>2.3</v>
      </c>
      <c r="J67" t="n">
        <v>1</v>
      </c>
      <c r="K67" t="n">
        <v>0</v>
      </c>
      <c r="L67" t="n">
        <v>0</v>
      </c>
      <c r="M67" t="n">
        <v>0</v>
      </c>
      <c r="N67" t="n">
        <v>0</v>
      </c>
      <c r="O67" t="n">
        <v>0</v>
      </c>
      <c r="P67" t="n">
        <v>0</v>
      </c>
      <c r="Q67" t="n">
        <v>0</v>
      </c>
      <c r="R67" t="n">
        <v>0</v>
      </c>
      <c r="S67" t="n">
        <v>1</v>
      </c>
      <c r="T67" t="n">
        <v>1</v>
      </c>
      <c r="U67" s="2" t="inlineStr">
        <is>
          <t>Spillkråka</t>
        </is>
      </c>
      <c r="V67">
        <f>HYPERLINK("https://klasma.github.io/Logging_2061/artfynd/A 41336-2022 artfynd.xlsx", "A 41336-2022")</f>
        <v/>
      </c>
      <c r="W67">
        <f>HYPERLINK("https://klasma.github.io/Logging_2061/kartor/A 41336-2022 karta.png", "A 41336-2022")</f>
        <v/>
      </c>
      <c r="X67">
        <f>HYPERLINK("https://klasma.github.io/Logging_2061/kartor_geotiff/A 41336-2022 georefererad karta.tif", "A 41336-2022")</f>
        <v/>
      </c>
      <c r="Z67">
        <f>HYPERLINK("https://klasma.github.io/Logging_2061/klagomål/A 41336-2022 FSC-klagomål.docx", "A 41336-2022")</f>
        <v/>
      </c>
      <c r="AA67">
        <f>HYPERLINK("https://klasma.github.io/Logging_2061/klagomålsmail/A 41336-2022 FSC-klagomål mail.docx", "A 41336-2022")</f>
        <v/>
      </c>
      <c r="AB67">
        <f>HYPERLINK("https://klasma.github.io/Logging_2061/tillsyn/A 41336-2022 tillsynsbegäran.docx", "A 41336-2022")</f>
        <v/>
      </c>
      <c r="AC67">
        <f>HYPERLINK("https://klasma.github.io/Logging_2061/tillsynsmail/A 41336-2022 tillsynsbegäran mail.docx", "A 41336-2022")</f>
        <v/>
      </c>
      <c r="AD67">
        <f>HYPERLINK("https://klasma.github.io/Logging_2061/fåglar/A 41336-2022 prioriterade fågelarter.docx", "A 41336-2022")</f>
        <v/>
      </c>
    </row>
    <row r="68" ht="15" customHeight="1">
      <c r="A68" t="inlineStr">
        <is>
          <t>A 32954-2024</t>
        </is>
      </c>
      <c r="B68" t="inlineStr">
        <is>
          <t>avverkningsanmälan</t>
        </is>
      </c>
      <c r="C68" t="inlineStr">
        <is>
          <t>Föryngringsavverkning</t>
        </is>
      </c>
      <c r="D68" s="1" t="n">
        <v>45517</v>
      </c>
      <c r="E68" s="1" t="n">
        <v>46223</v>
      </c>
      <c r="F68" t="inlineStr">
        <is>
          <t>DALARNAS LÄN</t>
        </is>
      </c>
      <c r="G68" t="inlineStr">
        <is>
          <t>SMEDJEBACKEN</t>
        </is>
      </c>
      <c r="H68" t="inlineStr">
        <is>
          <t>Övriga Aktiebolag</t>
        </is>
      </c>
      <c r="I68" t="n">
        <v>5.9</v>
      </c>
      <c r="J68" t="n">
        <v>1</v>
      </c>
      <c r="K68" t="n">
        <v>0</v>
      </c>
      <c r="L68" t="n">
        <v>0</v>
      </c>
      <c r="M68" t="n">
        <v>0</v>
      </c>
      <c r="N68" t="n">
        <v>0</v>
      </c>
      <c r="O68" t="n">
        <v>0</v>
      </c>
      <c r="P68" t="n">
        <v>0</v>
      </c>
      <c r="Q68" t="n">
        <v>0</v>
      </c>
      <c r="R68" t="n">
        <v>0</v>
      </c>
      <c r="S68" t="n">
        <v>1</v>
      </c>
      <c r="T68" t="n">
        <v>2</v>
      </c>
      <c r="U68" s="2" t="inlineStr">
        <is>
          <t>Fläcknycklar</t>
        </is>
      </c>
      <c r="V68">
        <f>HYPERLINK("https://klasma.github.io/Logging_2061/artfynd/A 32954-2024 artfynd.xlsx", "A 32954-2024")</f>
        <v/>
      </c>
      <c r="W68">
        <f>HYPERLINK("https://klasma.github.io/Logging_2061/kartor/A 32954-2024 karta.png", "A 32954-2024")</f>
        <v/>
      </c>
      <c r="X68">
        <f>HYPERLINK("https://klasma.github.io/Logging_2061/kartor_geotiff/A 32954-2024 georefererad karta.tif", "A 32954-2024")</f>
        <v/>
      </c>
      <c r="Z68">
        <f>HYPERLINK("https://klasma.github.io/Logging_2061/klagomål/A 32954-2024 FSC-klagomål.docx", "A 32954-2024")</f>
        <v/>
      </c>
      <c r="AA68">
        <f>HYPERLINK("https://klasma.github.io/Logging_2061/klagomålsmail/A 32954-2024 FSC-klagomål mail.docx", "A 32954-2024")</f>
        <v/>
      </c>
      <c r="AB68">
        <f>HYPERLINK("https://klasma.github.io/Logging_2061/tillsyn/A 32954-2024 tillsynsbegäran.docx", "A 32954-2024")</f>
        <v/>
      </c>
      <c r="AC68">
        <f>HYPERLINK("https://klasma.github.io/Logging_2061/tillsynsmail/A 32954-2024 tillsynsbegäran mail.docx", "A 32954-2024")</f>
        <v/>
      </c>
    </row>
    <row r="69" ht="15" customHeight="1">
      <c r="A69" t="inlineStr">
        <is>
          <t>A 24549-2022</t>
        </is>
      </c>
      <c r="B69" t="inlineStr">
        <is>
          <t>avverkningsanmälan</t>
        </is>
      </c>
      <c r="C69" t="inlineStr">
        <is>
          <t>Föryngringsavverkning</t>
        </is>
      </c>
      <c r="D69" s="1" t="n">
        <v>44727</v>
      </c>
      <c r="E69" s="1" t="n">
        <v>46223</v>
      </c>
      <c r="F69" t="inlineStr">
        <is>
          <t>DALARNAS LÄN</t>
        </is>
      </c>
      <c r="G69" t="inlineStr">
        <is>
          <t>SMEDJEBACKEN</t>
        </is>
      </c>
      <c r="H69" t="inlineStr">
        <is>
          <t>Bergvik skog väst AB</t>
        </is>
      </c>
      <c r="I69" t="n">
        <v>3.3</v>
      </c>
      <c r="J69" t="n">
        <v>1</v>
      </c>
      <c r="K69" t="n">
        <v>0</v>
      </c>
      <c r="L69" t="n">
        <v>0</v>
      </c>
      <c r="M69" t="n">
        <v>0</v>
      </c>
      <c r="N69" t="n">
        <v>0</v>
      </c>
      <c r="O69" t="n">
        <v>0</v>
      </c>
      <c r="P69" t="n">
        <v>0</v>
      </c>
      <c r="Q69" t="n">
        <v>0</v>
      </c>
      <c r="R69" t="n">
        <v>0</v>
      </c>
      <c r="S69" t="n">
        <v>1</v>
      </c>
      <c r="T69" t="n">
        <v>1</v>
      </c>
      <c r="U69" s="2" t="inlineStr">
        <is>
          <t>Blåsippa</t>
        </is>
      </c>
      <c r="V69">
        <f>HYPERLINK("https://klasma.github.io/Logging_2061/artfynd/A 24549-2022 artfynd.xlsx", "A 24549-2022")</f>
        <v/>
      </c>
      <c r="W69">
        <f>HYPERLINK("https://klasma.github.io/Logging_2061/kartor/A 24549-2022 karta.png", "A 24549-2022")</f>
        <v/>
      </c>
      <c r="X69">
        <f>HYPERLINK("https://klasma.github.io/Logging_2061/kartor_geotiff/A 24549-2022 georefererad karta.tif", "A 24549-2022")</f>
        <v/>
      </c>
      <c r="Z69">
        <f>HYPERLINK("https://klasma.github.io/Logging_2061/klagomål/A 24549-2022 FSC-klagomål.docx", "A 24549-2022")</f>
        <v/>
      </c>
      <c r="AA69">
        <f>HYPERLINK("https://klasma.github.io/Logging_2061/klagomålsmail/A 24549-2022 FSC-klagomål mail.docx", "A 24549-2022")</f>
        <v/>
      </c>
      <c r="AB69">
        <f>HYPERLINK("https://klasma.github.io/Logging_2061/tillsyn/A 24549-2022 tillsynsbegäran.docx", "A 24549-2022")</f>
        <v/>
      </c>
      <c r="AC69">
        <f>HYPERLINK("https://klasma.github.io/Logging_2061/tillsynsmail/A 24549-2022 tillsynsbegäran mail.docx", "A 24549-2022")</f>
        <v/>
      </c>
    </row>
    <row r="70" ht="15" customHeight="1">
      <c r="A70" t="inlineStr">
        <is>
          <t>A 11145-2025</t>
        </is>
      </c>
      <c r="B70" t="inlineStr">
        <is>
          <t>avverkningsanmälan</t>
        </is>
      </c>
      <c r="C70" t="inlineStr">
        <is>
          <t>Föryngringsavverkning</t>
        </is>
      </c>
      <c r="D70" s="1" t="n">
        <v>45723</v>
      </c>
      <c r="E70" s="1" t="n">
        <v>46223</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s="2" t="inlineStr">
        <is>
          <t>Kopparödla</t>
        </is>
      </c>
      <c r="V70">
        <f>HYPERLINK("https://klasma.github.io/Logging_2061/artfynd/A 11145-2025 artfynd.xlsx", "A 11145-2025")</f>
        <v/>
      </c>
      <c r="W70">
        <f>HYPERLINK("https://klasma.github.io/Logging_2061/kartor/A 11145-2025 karta.png", "A 11145-2025")</f>
        <v/>
      </c>
      <c r="X70">
        <f>HYPERLINK("https://klasma.github.io/Logging_2061/kartor_geotiff/A 11145-2025 georefererad karta.tif", "A 11145-2025")</f>
        <v/>
      </c>
      <c r="Z70">
        <f>HYPERLINK("https://klasma.github.io/Logging_2061/klagomål/A 11145-2025 FSC-klagomål.docx", "A 11145-2025")</f>
        <v/>
      </c>
      <c r="AA70">
        <f>HYPERLINK("https://klasma.github.io/Logging_2061/klagomålsmail/A 11145-2025 FSC-klagomål mail.docx", "A 11145-2025")</f>
        <v/>
      </c>
      <c r="AB70">
        <f>HYPERLINK("https://klasma.github.io/Logging_2061/tillsyn/A 11145-2025 tillsynsbegäran.docx", "A 11145-2025")</f>
        <v/>
      </c>
      <c r="AC70">
        <f>HYPERLINK("https://klasma.github.io/Logging_2061/tillsynsmail/A 11145-2025 tillsynsbegäran mail.docx", "A 11145-2025")</f>
        <v/>
      </c>
    </row>
    <row r="71" ht="15" customHeight="1">
      <c r="A71" t="inlineStr">
        <is>
          <t>A 29065-2026</t>
        </is>
      </c>
      <c r="B71" t="inlineStr">
        <is>
          <t>avverkningsanmälan</t>
        </is>
      </c>
      <c r="C71" t="inlineStr">
        <is>
          <t>Föryngringsavverkning</t>
        </is>
      </c>
      <c r="D71" s="1" t="n">
        <v>46199</v>
      </c>
      <c r="E71" s="1" t="n">
        <v>46223</v>
      </c>
      <c r="F71" t="inlineStr">
        <is>
          <t>DALARNAS LÄN</t>
        </is>
      </c>
      <c r="G71" t="inlineStr">
        <is>
          <t>SMEDJEBACKEN</t>
        </is>
      </c>
      <c r="H71" t="inlineStr">
        <is>
          <t>Sveaskog</t>
        </is>
      </c>
      <c r="I71" t="n">
        <v>3.4</v>
      </c>
      <c r="J71" t="n">
        <v>0</v>
      </c>
      <c r="K71" t="n">
        <v>0</v>
      </c>
      <c r="L71" t="n">
        <v>1</v>
      </c>
      <c r="M71" t="n">
        <v>0</v>
      </c>
      <c r="N71" t="n">
        <v>0</v>
      </c>
      <c r="O71" t="n">
        <v>0</v>
      </c>
      <c r="P71" t="n">
        <v>0</v>
      </c>
      <c r="Q71" t="n">
        <v>1</v>
      </c>
      <c r="R71" t="n">
        <v>0</v>
      </c>
      <c r="S71" t="n">
        <v>1</v>
      </c>
      <c r="T71" t="n">
        <v>1</v>
      </c>
      <c r="U71" s="2" t="inlineStr">
        <is>
          <t>Kandelabersvamp</t>
        </is>
      </c>
      <c r="V71">
        <f>HYPERLINK("https://klasma.github.io/Logging_2061/artfynd/A 29065-2026 artfynd.xlsx", "A 29065-2026")</f>
        <v/>
      </c>
      <c r="W71">
        <f>HYPERLINK("https://klasma.github.io/Logging_2061/kartor/A 29065-2026 karta.png", "A 29065-2026")</f>
        <v/>
      </c>
      <c r="X71">
        <f>HYPERLINK("https://klasma.github.io/Logging_2061/kartor_geotiff/A 29065-2026 georefererad karta.tif", "A 29065-2026")</f>
        <v/>
      </c>
      <c r="Z71">
        <f>HYPERLINK("https://klasma.github.io/Logging_2061/klagomål/A 29065-2026 FSC-klagomål.docx", "A 29065-2026")</f>
        <v/>
      </c>
      <c r="AA71">
        <f>HYPERLINK("https://klasma.github.io/Logging_2061/klagomålsmail/A 29065-2026 FSC-klagomål mail.docx", "A 29065-2026")</f>
        <v/>
      </c>
      <c r="AB71">
        <f>HYPERLINK("https://klasma.github.io/Logging_2061/tillsyn/A 29065-2026 tillsynsbegäran.docx", "A 29065-2026")</f>
        <v/>
      </c>
      <c r="AC71">
        <f>HYPERLINK("https://klasma.github.io/Logging_2061/tillsynsmail/A 29065-2026 tillsynsbegäran mail.docx", "A 29065-2026")</f>
        <v/>
      </c>
    </row>
    <row r="72" ht="15" customHeight="1">
      <c r="A72" t="inlineStr">
        <is>
          <t>A 29070-2026</t>
        </is>
      </c>
      <c r="B72" t="inlineStr">
        <is>
          <t>avverkningsanmälan</t>
        </is>
      </c>
      <c r="C72" t="inlineStr">
        <is>
          <t>Föryngringsavverkning</t>
        </is>
      </c>
      <c r="D72" s="1" t="n">
        <v>46199</v>
      </c>
      <c r="E72" s="1" t="n">
        <v>46223</v>
      </c>
      <c r="F72" t="inlineStr">
        <is>
          <t>DALARNAS LÄN</t>
        </is>
      </c>
      <c r="G72" t="inlineStr">
        <is>
          <t>SMEDJEBACKEN</t>
        </is>
      </c>
      <c r="H72" t="inlineStr">
        <is>
          <t>Sveaskog</t>
        </is>
      </c>
      <c r="I72" t="n">
        <v>1.6</v>
      </c>
      <c r="J72" t="n">
        <v>0</v>
      </c>
      <c r="K72" t="n">
        <v>0</v>
      </c>
      <c r="L72" t="n">
        <v>1</v>
      </c>
      <c r="M72" t="n">
        <v>0</v>
      </c>
      <c r="N72" t="n">
        <v>0</v>
      </c>
      <c r="O72" t="n">
        <v>0</v>
      </c>
      <c r="P72" t="n">
        <v>0</v>
      </c>
      <c r="Q72" t="n">
        <v>1</v>
      </c>
      <c r="R72" t="n">
        <v>0</v>
      </c>
      <c r="S72" t="n">
        <v>1</v>
      </c>
      <c r="T72" t="n">
        <v>1</v>
      </c>
      <c r="U72" s="2" t="inlineStr">
        <is>
          <t>Vit vedfingersvamp</t>
        </is>
      </c>
      <c r="V72">
        <f>HYPERLINK("https://klasma.github.io/Logging_2061/artfynd/A 29070-2026 artfynd.xlsx", "A 29070-2026")</f>
        <v/>
      </c>
      <c r="W72">
        <f>HYPERLINK("https://klasma.github.io/Logging_2061/kartor/A 29070-2026 karta.png", "A 29070-2026")</f>
        <v/>
      </c>
      <c r="X72">
        <f>HYPERLINK("https://klasma.github.io/Logging_2061/kartor_geotiff/A 29070-2026 georefererad karta.tif", "A 29070-2026")</f>
        <v/>
      </c>
      <c r="Z72">
        <f>HYPERLINK("https://klasma.github.io/Logging_2061/klagomål/A 29070-2026 FSC-klagomål.docx", "A 29070-2026")</f>
        <v/>
      </c>
      <c r="AA72">
        <f>HYPERLINK("https://klasma.github.io/Logging_2061/klagomålsmail/A 29070-2026 FSC-klagomål mail.docx", "A 29070-2026")</f>
        <v/>
      </c>
      <c r="AB72">
        <f>HYPERLINK("https://klasma.github.io/Logging_2061/tillsyn/A 29070-2026 tillsynsbegäran.docx", "A 29070-2026")</f>
        <v/>
      </c>
      <c r="AC72">
        <f>HYPERLINK("https://klasma.github.io/Logging_2061/tillsynsmail/A 29070-2026 tillsynsbegäran mail.docx", "A 29070-2026")</f>
        <v/>
      </c>
    </row>
    <row r="73" ht="15" customHeight="1">
      <c r="A73" t="inlineStr">
        <is>
          <t>A 19529-2026</t>
        </is>
      </c>
      <c r="B73" t="inlineStr">
        <is>
          <t>avverkningsanmälan</t>
        </is>
      </c>
      <c r="C73" t="inlineStr">
        <is>
          <t>Föryngringsavverkning</t>
        </is>
      </c>
      <c r="D73" s="1" t="n">
        <v>46134</v>
      </c>
      <c r="E73" s="1" t="n">
        <v>46223</v>
      </c>
      <c r="F73" t="inlineStr">
        <is>
          <t>DALARNAS LÄN</t>
        </is>
      </c>
      <c r="G73" t="inlineStr">
        <is>
          <t>SMEDJEBACKEN</t>
        </is>
      </c>
      <c r="H73" t="inlineStr">
        <is>
          <t>Sveaskog</t>
        </is>
      </c>
      <c r="I73" t="n">
        <v>3.1</v>
      </c>
      <c r="J73" t="n">
        <v>1</v>
      </c>
      <c r="K73" t="n">
        <v>0</v>
      </c>
      <c r="L73" t="n">
        <v>0</v>
      </c>
      <c r="M73" t="n">
        <v>0</v>
      </c>
      <c r="N73" t="n">
        <v>0</v>
      </c>
      <c r="O73" t="n">
        <v>0</v>
      </c>
      <c r="P73" t="n">
        <v>0</v>
      </c>
      <c r="Q73" t="n">
        <v>0</v>
      </c>
      <c r="R73" t="n">
        <v>0</v>
      </c>
      <c r="S73" t="n">
        <v>1</v>
      </c>
      <c r="T73" t="n">
        <v>1</v>
      </c>
      <c r="U73" s="2" t="inlineStr">
        <is>
          <t>Mattlummer</t>
        </is>
      </c>
      <c r="V73">
        <f>HYPERLINK("https://klasma.github.io/Logging_2061/artfynd/A 19529-2026 artfynd.xlsx", "A 19529-2026")</f>
        <v/>
      </c>
      <c r="W73">
        <f>HYPERLINK("https://klasma.github.io/Logging_2061/kartor/A 19529-2026 karta.png", "A 19529-2026")</f>
        <v/>
      </c>
      <c r="X73">
        <f>HYPERLINK("https://klasma.github.io/Logging_2061/kartor_geotiff/A 19529-2026 georefererad karta.tif", "A 19529-2026")</f>
        <v/>
      </c>
      <c r="Z73">
        <f>HYPERLINK("https://klasma.github.io/Logging_2061/klagomål/A 19529-2026 FSC-klagomål.docx", "A 19529-2026")</f>
        <v/>
      </c>
      <c r="AA73">
        <f>HYPERLINK("https://klasma.github.io/Logging_2061/klagomålsmail/A 19529-2026 FSC-klagomål mail.docx", "A 19529-2026")</f>
        <v/>
      </c>
      <c r="AB73">
        <f>HYPERLINK("https://klasma.github.io/Logging_2061/tillsyn/A 19529-2026 tillsynsbegäran.docx", "A 19529-2026")</f>
        <v/>
      </c>
      <c r="AC73">
        <f>HYPERLINK("https://klasma.github.io/Logging_2061/tillsynsmail/A 19529-2026 tillsynsbegäran mail.docx", "A 19529-2026")</f>
        <v/>
      </c>
    </row>
    <row r="74" ht="15" customHeight="1">
      <c r="A74" t="inlineStr">
        <is>
          <t>A 23370-2026</t>
        </is>
      </c>
      <c r="B74" t="inlineStr">
        <is>
          <t>avverkningsanmälan</t>
        </is>
      </c>
      <c r="C74" t="inlineStr">
        <is>
          <t>Föryngringsavverkning</t>
        </is>
      </c>
      <c r="D74" s="1" t="n">
        <v>46162</v>
      </c>
      <c r="E74" s="1" t="n">
        <v>46223</v>
      </c>
      <c r="F74" t="inlineStr">
        <is>
          <t>DALARNAS LÄN</t>
        </is>
      </c>
      <c r="G74" t="inlineStr">
        <is>
          <t>SMEDJEBACKEN</t>
        </is>
      </c>
      <c r="H74" t="inlineStr">
        <is>
          <t>Sveaskog</t>
        </is>
      </c>
      <c r="I74" t="n">
        <v>2.3</v>
      </c>
      <c r="J74" t="n">
        <v>1</v>
      </c>
      <c r="K74" t="n">
        <v>0</v>
      </c>
      <c r="L74" t="n">
        <v>0</v>
      </c>
      <c r="M74" t="n">
        <v>0</v>
      </c>
      <c r="N74" t="n">
        <v>1</v>
      </c>
      <c r="O74" t="n">
        <v>0</v>
      </c>
      <c r="P74" t="n">
        <v>0</v>
      </c>
      <c r="Q74" t="n">
        <v>1</v>
      </c>
      <c r="R74" t="n">
        <v>1</v>
      </c>
      <c r="S74" t="n">
        <v>1</v>
      </c>
      <c r="T74" t="n">
        <v>1</v>
      </c>
      <c r="U74" s="2" t="inlineStr">
        <is>
          <t>Pärluggla</t>
        </is>
      </c>
      <c r="V74">
        <f>HYPERLINK("https://klasma.github.io/Logging_2061/artfynd/A 23370-2026 artfynd.xlsx", "A 23370-2026")</f>
        <v/>
      </c>
      <c r="W74">
        <f>HYPERLINK("https://klasma.github.io/Logging_2061/kartor/A 23370-2026 karta.png", "A 23370-2026")</f>
        <v/>
      </c>
      <c r="X74">
        <f>HYPERLINK("https://klasma.github.io/Logging_2061/kartor_geotiff/A 23370-2026 georefererad karta.tif", "A 23370-2026")</f>
        <v/>
      </c>
      <c r="Z74">
        <f>HYPERLINK("https://klasma.github.io/Logging_2061/klagomål/A 23370-2026 FSC-klagomål.docx", "A 23370-2026")</f>
        <v/>
      </c>
      <c r="AA74">
        <f>HYPERLINK("https://klasma.github.io/Logging_2061/klagomålsmail/A 23370-2026 FSC-klagomål mail.docx", "A 23370-2026")</f>
        <v/>
      </c>
      <c r="AB74">
        <f>HYPERLINK("https://klasma.github.io/Logging_2061/tillsyn/A 23370-2026 tillsynsbegäran.docx", "A 23370-2026")</f>
        <v/>
      </c>
      <c r="AC74">
        <f>HYPERLINK("https://klasma.github.io/Logging_2061/tillsynsmail/A 23370-2026 tillsynsbegäran mail.docx", "A 23370-2026")</f>
        <v/>
      </c>
      <c r="AD74">
        <f>HYPERLINK("https://klasma.github.io/Logging_2061/fåglar/A 23370-2026 prioriterade fågelarter.docx", "A 23370-2026")</f>
        <v/>
      </c>
    </row>
    <row r="75" ht="15" customHeight="1">
      <c r="A75" t="inlineStr">
        <is>
          <t>A 11364-2025</t>
        </is>
      </c>
      <c r="B75" t="inlineStr">
        <is>
          <t>avverkningsanmälan</t>
        </is>
      </c>
      <c r="C75" t="inlineStr">
        <is>
          <t>Föryngringsavverkning</t>
        </is>
      </c>
      <c r="D75" s="1" t="n">
        <v>45726</v>
      </c>
      <c r="E75" s="1" t="n">
        <v>46223</v>
      </c>
      <c r="F75" t="inlineStr">
        <is>
          <t>DALARNAS LÄN</t>
        </is>
      </c>
      <c r="G75" t="inlineStr">
        <is>
          <t>SMEDJEBACKEN</t>
        </is>
      </c>
      <c r="H75" t="inlineStr">
        <is>
          <t>Bergvik skog väst AB</t>
        </is>
      </c>
      <c r="I75" t="n">
        <v>3.5</v>
      </c>
      <c r="J75" t="n">
        <v>1</v>
      </c>
      <c r="K75" t="n">
        <v>0</v>
      </c>
      <c r="L75" t="n">
        <v>0</v>
      </c>
      <c r="M75" t="n">
        <v>0</v>
      </c>
      <c r="N75" t="n">
        <v>0</v>
      </c>
      <c r="O75" t="n">
        <v>0</v>
      </c>
      <c r="P75" t="n">
        <v>0</v>
      </c>
      <c r="Q75" t="n">
        <v>0</v>
      </c>
      <c r="R75" t="n">
        <v>0</v>
      </c>
      <c r="S75" t="n">
        <v>1</v>
      </c>
      <c r="T75" t="n">
        <v>1</v>
      </c>
      <c r="U75" s="2" t="inlineStr">
        <is>
          <t>Blåsippa</t>
        </is>
      </c>
      <c r="V75">
        <f>HYPERLINK("https://klasma.github.io/Logging_2061/artfynd/A 11364-2025 artfynd.xlsx", "A 11364-2025")</f>
        <v/>
      </c>
      <c r="W75">
        <f>HYPERLINK("https://klasma.github.io/Logging_2061/kartor/A 11364-2025 karta.png", "A 11364-2025")</f>
        <v/>
      </c>
      <c r="X75">
        <f>HYPERLINK("https://klasma.github.io/Logging_2061/kartor_geotiff/A 11364-2025 georefererad karta.tif", "A 11364-2025")</f>
        <v/>
      </c>
      <c r="Z75">
        <f>HYPERLINK("https://klasma.github.io/Logging_2061/klagomål/A 11364-2025 FSC-klagomål.docx", "A 11364-2025")</f>
        <v/>
      </c>
      <c r="AA75">
        <f>HYPERLINK("https://klasma.github.io/Logging_2061/klagomålsmail/A 11364-2025 FSC-klagomål mail.docx", "A 11364-2025")</f>
        <v/>
      </c>
      <c r="AB75">
        <f>HYPERLINK("https://klasma.github.io/Logging_2061/tillsyn/A 11364-2025 tillsynsbegäran.docx", "A 11364-2025")</f>
        <v/>
      </c>
      <c r="AC75">
        <f>HYPERLINK("https://klasma.github.io/Logging_2061/tillsynsmail/A 11364-2025 tillsynsbegäran mail.docx", "A 11364-2025")</f>
        <v/>
      </c>
    </row>
    <row r="76" ht="15" customHeight="1">
      <c r="A76" t="inlineStr">
        <is>
          <t>A 22462-2025</t>
        </is>
      </c>
      <c r="B76" t="inlineStr">
        <is>
          <t>avverkningsanmälan</t>
        </is>
      </c>
      <c r="C76" t="inlineStr">
        <is>
          <t>Föryngringsavverkning</t>
        </is>
      </c>
      <c r="D76" s="1" t="n">
        <v>45786</v>
      </c>
      <c r="E76" s="1" t="n">
        <v>46223</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s="2" t="inlineStr">
        <is>
          <t>Garnlav</t>
        </is>
      </c>
      <c r="V76">
        <f>HYPERLINK("https://klasma.github.io/Logging_2061/artfynd/A 22462-2025 artfynd.xlsx", "A 22462-2025")</f>
        <v/>
      </c>
      <c r="W76">
        <f>HYPERLINK("https://klasma.github.io/Logging_2061/kartor/A 22462-2025 karta.png", "A 22462-2025")</f>
        <v/>
      </c>
      <c r="X76">
        <f>HYPERLINK("https://klasma.github.io/Logging_2061/kartor_geotiff/A 22462-2025 georefererad karta.tif", "A 22462-2025")</f>
        <v/>
      </c>
      <c r="Z76">
        <f>HYPERLINK("https://klasma.github.io/Logging_2061/klagomål/A 22462-2025 FSC-klagomål.docx", "A 22462-2025")</f>
        <v/>
      </c>
      <c r="AA76">
        <f>HYPERLINK("https://klasma.github.io/Logging_2061/klagomålsmail/A 22462-2025 FSC-klagomål mail.docx", "A 22462-2025")</f>
        <v/>
      </c>
      <c r="AB76">
        <f>HYPERLINK("https://klasma.github.io/Logging_2061/tillsyn/A 22462-2025 tillsynsbegäran.docx", "A 22462-2025")</f>
        <v/>
      </c>
      <c r="AC76">
        <f>HYPERLINK("https://klasma.github.io/Logging_2061/tillsynsmail/A 22462-2025 tillsynsbegäran mail.docx", "A 22462-2025")</f>
        <v/>
      </c>
    </row>
    <row r="77" ht="15" customHeight="1">
      <c r="A77" t="inlineStr">
        <is>
          <t>A 34942-2024</t>
        </is>
      </c>
      <c r="B77" t="inlineStr">
        <is>
          <t>avverkningsanmälan</t>
        </is>
      </c>
      <c r="C77" t="inlineStr">
        <is>
          <t>Föryngringsavverkning</t>
        </is>
      </c>
      <c r="D77" s="1" t="n">
        <v>45527</v>
      </c>
      <c r="E77" s="1" t="n">
        <v>46223</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s="2" t="inlineStr">
        <is>
          <t>Skogsklocka</t>
        </is>
      </c>
      <c r="V77">
        <f>HYPERLINK("https://klasma.github.io/Logging_2061/artfynd/A 34942-2024 artfynd.xlsx", "A 34942-2024")</f>
        <v/>
      </c>
      <c r="W77">
        <f>HYPERLINK("https://klasma.github.io/Logging_2061/kartor/A 34942-2024 karta.png", "A 34942-2024")</f>
        <v/>
      </c>
      <c r="X77">
        <f>HYPERLINK("https://klasma.github.io/Logging_2061/kartor_geotiff/A 34942-2024 georefererad karta.tif", "A 34942-2024")</f>
        <v/>
      </c>
      <c r="Z77">
        <f>HYPERLINK("https://klasma.github.io/Logging_2061/klagomål/A 34942-2024 FSC-klagomål.docx", "A 34942-2024")</f>
        <v/>
      </c>
      <c r="AA77">
        <f>HYPERLINK("https://klasma.github.io/Logging_2061/klagomålsmail/A 34942-2024 FSC-klagomål mail.docx", "A 34942-2024")</f>
        <v/>
      </c>
      <c r="AB77">
        <f>HYPERLINK("https://klasma.github.io/Logging_2061/tillsyn/A 34942-2024 tillsynsbegäran.docx", "A 34942-2024")</f>
        <v/>
      </c>
      <c r="AC77">
        <f>HYPERLINK("https://klasma.github.io/Logging_2061/tillsynsmail/A 34942-2024 tillsynsbegäran mail.docx", "A 34942-2024")</f>
        <v/>
      </c>
    </row>
    <row r="78" ht="15" customHeight="1">
      <c r="A78" t="inlineStr">
        <is>
          <t>A 22459-2025</t>
        </is>
      </c>
      <c r="B78" t="inlineStr">
        <is>
          <t>avverkningsanmälan</t>
        </is>
      </c>
      <c r="C78" t="inlineStr">
        <is>
          <t>Föryngringsavverkning</t>
        </is>
      </c>
      <c r="D78" s="1" t="n">
        <v>45786</v>
      </c>
      <c r="E78" s="1" t="n">
        <v>46223</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s="2" t="inlineStr">
        <is>
          <t>Garnlav</t>
        </is>
      </c>
      <c r="V78">
        <f>HYPERLINK("https://klasma.github.io/Logging_2061/artfynd/A 22459-2025 artfynd.xlsx", "A 22459-2025")</f>
        <v/>
      </c>
      <c r="W78">
        <f>HYPERLINK("https://klasma.github.io/Logging_2061/kartor/A 22459-2025 karta.png", "A 22459-2025")</f>
        <v/>
      </c>
      <c r="X78">
        <f>HYPERLINK("https://klasma.github.io/Logging_2061/kartor_geotiff/A 22459-2025 georefererad karta.tif", "A 22459-2025")</f>
        <v/>
      </c>
      <c r="Z78">
        <f>HYPERLINK("https://klasma.github.io/Logging_2061/klagomål/A 22459-2025 FSC-klagomål.docx", "A 22459-2025")</f>
        <v/>
      </c>
      <c r="AA78">
        <f>HYPERLINK("https://klasma.github.io/Logging_2061/klagomålsmail/A 22459-2025 FSC-klagomål mail.docx", "A 22459-2025")</f>
        <v/>
      </c>
      <c r="AB78">
        <f>HYPERLINK("https://klasma.github.io/Logging_2061/tillsyn/A 22459-2025 tillsynsbegäran.docx", "A 22459-2025")</f>
        <v/>
      </c>
      <c r="AC78">
        <f>HYPERLINK("https://klasma.github.io/Logging_2061/tillsynsmail/A 22459-2025 tillsynsbegäran mail.docx", "A 22459-2025")</f>
        <v/>
      </c>
    </row>
    <row r="79" ht="15" customHeight="1">
      <c r="A79" t="inlineStr">
        <is>
          <t>A 39536-2021</t>
        </is>
      </c>
      <c r="B79" t="inlineStr">
        <is>
          <t>avverkningsanmälan</t>
        </is>
      </c>
      <c r="C79" t="inlineStr">
        <is>
          <t>Föryngringsavverkning</t>
        </is>
      </c>
      <c r="D79" s="1" t="n">
        <v>44415</v>
      </c>
      <c r="E79" s="1" t="n">
        <v>46223</v>
      </c>
      <c r="F79" t="inlineStr">
        <is>
          <t>DALARNAS LÄN</t>
        </is>
      </c>
      <c r="G79" t="inlineStr">
        <is>
          <t>SMEDJEBACKEN</t>
        </is>
      </c>
      <c r="I79" t="n">
        <v>5.1</v>
      </c>
      <c r="J79" t="n">
        <v>1</v>
      </c>
      <c r="K79" t="n">
        <v>0</v>
      </c>
      <c r="L79" t="n">
        <v>0</v>
      </c>
      <c r="M79" t="n">
        <v>0</v>
      </c>
      <c r="N79" t="n">
        <v>0</v>
      </c>
      <c r="O79" t="n">
        <v>0</v>
      </c>
      <c r="P79" t="n">
        <v>0</v>
      </c>
      <c r="Q79" t="n">
        <v>0</v>
      </c>
      <c r="R79" t="n">
        <v>0</v>
      </c>
      <c r="S79" t="n">
        <v>1</v>
      </c>
      <c r="T79" t="n">
        <v>1</v>
      </c>
      <c r="U79" s="2" t="inlineStr">
        <is>
          <t>Fläcknycklar</t>
        </is>
      </c>
      <c r="V79">
        <f>HYPERLINK("https://klasma.github.io/Logging_2061/artfynd/A 39536-2021 artfynd.xlsx", "A 39536-2021")</f>
        <v/>
      </c>
      <c r="W79">
        <f>HYPERLINK("https://klasma.github.io/Logging_2061/kartor/A 39536-2021 karta.png", "A 39536-2021")</f>
        <v/>
      </c>
      <c r="X79">
        <f>HYPERLINK("https://klasma.github.io/Logging_2061/kartor_geotiff/A 39536-2021 georefererad karta.tif", "A 39536-2021")</f>
        <v/>
      </c>
      <c r="Z79">
        <f>HYPERLINK("https://klasma.github.io/Logging_2061/klagomål/A 39536-2021 FSC-klagomål.docx", "A 39536-2021")</f>
        <v/>
      </c>
      <c r="AA79">
        <f>HYPERLINK("https://klasma.github.io/Logging_2061/klagomålsmail/A 39536-2021 FSC-klagomål mail.docx", "A 39536-2021")</f>
        <v/>
      </c>
      <c r="AB79">
        <f>HYPERLINK("https://klasma.github.io/Logging_2061/tillsyn/A 39536-2021 tillsynsbegäran.docx", "A 39536-2021")</f>
        <v/>
      </c>
      <c r="AC79">
        <f>HYPERLINK("https://klasma.github.io/Logging_2061/tillsynsmail/A 39536-2021 tillsynsbegäran mail.docx", "A 39536-2021")</f>
        <v/>
      </c>
    </row>
    <row r="80" ht="15" customHeight="1">
      <c r="A80" t="inlineStr">
        <is>
          <t>A 32934-2024</t>
        </is>
      </c>
      <c r="B80" t="inlineStr">
        <is>
          <t>avverkningsanmälan</t>
        </is>
      </c>
      <c r="C80" t="inlineStr">
        <is>
          <t>Föryngringsavverkning</t>
        </is>
      </c>
      <c r="D80" s="1" t="n">
        <v>45517</v>
      </c>
      <c r="E80" s="1" t="n">
        <v>46223</v>
      </c>
      <c r="F80" t="inlineStr">
        <is>
          <t>DALARNAS LÄN</t>
        </is>
      </c>
      <c r="G80" t="inlineStr">
        <is>
          <t>SMEDJEBACKEN</t>
        </is>
      </c>
      <c r="H80" t="inlineStr">
        <is>
          <t>Sveaskog</t>
        </is>
      </c>
      <c r="I80" t="n">
        <v>4.8</v>
      </c>
      <c r="J80" t="n">
        <v>1</v>
      </c>
      <c r="K80" t="n">
        <v>0</v>
      </c>
      <c r="L80" t="n">
        <v>1</v>
      </c>
      <c r="M80" t="n">
        <v>0</v>
      </c>
      <c r="N80" t="n">
        <v>0</v>
      </c>
      <c r="O80" t="n">
        <v>0</v>
      </c>
      <c r="P80" t="n">
        <v>0</v>
      </c>
      <c r="Q80" t="n">
        <v>1</v>
      </c>
      <c r="R80" t="n">
        <v>0</v>
      </c>
      <c r="S80" t="n">
        <v>1</v>
      </c>
      <c r="T80" t="n">
        <v>1</v>
      </c>
      <c r="U80" s="2" t="inlineStr">
        <is>
          <t>Talltita</t>
        </is>
      </c>
      <c r="V80">
        <f>HYPERLINK("https://klasma.github.io/Logging_2061/artfynd/A 32934-2024 artfynd.xlsx", "A 32934-2024")</f>
        <v/>
      </c>
      <c r="W80">
        <f>HYPERLINK("https://klasma.github.io/Logging_2061/kartor/A 32934-2024 karta.png", "A 32934-2024")</f>
        <v/>
      </c>
      <c r="X80">
        <f>HYPERLINK("https://klasma.github.io/Logging_2061/kartor_geotiff/A 32934-2024 georefererad karta.tif", "A 32934-2024")</f>
        <v/>
      </c>
      <c r="Z80">
        <f>HYPERLINK("https://klasma.github.io/Logging_2061/klagomål/A 32934-2024 FSC-klagomål.docx", "A 32934-2024")</f>
        <v/>
      </c>
      <c r="AA80">
        <f>HYPERLINK("https://klasma.github.io/Logging_2061/klagomålsmail/A 32934-2024 FSC-klagomål mail.docx", "A 32934-2024")</f>
        <v/>
      </c>
      <c r="AB80">
        <f>HYPERLINK("https://klasma.github.io/Logging_2061/tillsyn/A 32934-2024 tillsynsbegäran.docx", "A 32934-2024")</f>
        <v/>
      </c>
      <c r="AC80">
        <f>HYPERLINK("https://klasma.github.io/Logging_2061/tillsynsmail/A 32934-2024 tillsynsbegäran mail.docx", "A 32934-2024")</f>
        <v/>
      </c>
      <c r="AD80">
        <f>HYPERLINK("https://klasma.github.io/Logging_2061/fåglar/A 32934-2024 prioriterade fågelarter.docx", "A 32934-2024")</f>
        <v/>
      </c>
    </row>
    <row r="81" ht="15" customHeight="1">
      <c r="A81" t="inlineStr">
        <is>
          <t>A 23547-2025</t>
        </is>
      </c>
      <c r="B81" t="inlineStr">
        <is>
          <t>avverkningsanmälan</t>
        </is>
      </c>
      <c r="C81" t="inlineStr">
        <is>
          <t>Föryngringsavverkning</t>
        </is>
      </c>
      <c r="D81" s="1" t="n">
        <v>45792</v>
      </c>
      <c r="E81" s="1" t="n">
        <v>46223</v>
      </c>
      <c r="F81" t="inlineStr">
        <is>
          <t>DALARNAS LÄN</t>
        </is>
      </c>
      <c r="G81" t="inlineStr">
        <is>
          <t>SMEDJEBACKEN</t>
        </is>
      </c>
      <c r="I81" t="n">
        <v>3.8</v>
      </c>
      <c r="J81" t="n">
        <v>0</v>
      </c>
      <c r="K81" t="n">
        <v>1</v>
      </c>
      <c r="L81" t="n">
        <v>0</v>
      </c>
      <c r="M81" t="n">
        <v>0</v>
      </c>
      <c r="N81" t="n">
        <v>0</v>
      </c>
      <c r="O81" t="n">
        <v>0</v>
      </c>
      <c r="P81" t="n">
        <v>0</v>
      </c>
      <c r="Q81" t="n">
        <v>0</v>
      </c>
      <c r="R81" t="n">
        <v>0</v>
      </c>
      <c r="S81" t="n">
        <v>1</v>
      </c>
      <c r="T81" t="n">
        <v>1</v>
      </c>
      <c r="U81" s="2" t="inlineStr">
        <is>
          <t>Tibast</t>
        </is>
      </c>
      <c r="V81">
        <f>HYPERLINK("https://klasma.github.io/Logging_2061/artfynd/A 23547-2025 artfynd.xlsx", "A 23547-2025")</f>
        <v/>
      </c>
      <c r="W81">
        <f>HYPERLINK("https://klasma.github.io/Logging_2061/kartor/A 23547-2025 karta.png", "A 23547-2025")</f>
        <v/>
      </c>
      <c r="X81">
        <f>HYPERLINK("https://klasma.github.io/Logging_2061/kartor_geotiff/A 23547-2025 georefererad karta.tif", "A 23547-2025")</f>
        <v/>
      </c>
      <c r="Z81">
        <f>HYPERLINK("https://klasma.github.io/Logging_2061/klagomål/A 23547-2025 FSC-klagomål.docx", "A 23547-2025")</f>
        <v/>
      </c>
      <c r="AA81">
        <f>HYPERLINK("https://klasma.github.io/Logging_2061/klagomålsmail/A 23547-2025 FSC-klagomål mail.docx", "A 23547-2025")</f>
        <v/>
      </c>
      <c r="AB81">
        <f>HYPERLINK("https://klasma.github.io/Logging_2061/tillsyn/A 23547-2025 tillsynsbegäran.docx", "A 23547-2025")</f>
        <v/>
      </c>
      <c r="AC81">
        <f>HYPERLINK("https://klasma.github.io/Logging_2061/tillsynsmail/A 23547-2025 tillsynsbegäran mail.docx", "A 23547-2025")</f>
        <v/>
      </c>
    </row>
    <row r="82" ht="15" customHeight="1">
      <c r="A82" t="inlineStr">
        <is>
          <t>S 408-2022</t>
        </is>
      </c>
      <c r="B82" t="inlineStr">
        <is>
          <t>samrådsanmälan</t>
        </is>
      </c>
      <c r="C82" t="inlineStr">
        <is>
          <t>Skogsgödsling</t>
        </is>
      </c>
      <c r="D82" s="1" t="n">
        <v>44585</v>
      </c>
      <c r="E82" s="1" t="n">
        <v>46223</v>
      </c>
      <c r="F82" t="inlineStr">
        <is>
          <t>DALARNAS LÄN</t>
        </is>
      </c>
      <c r="G82" t="inlineStr">
        <is>
          <t>SMEDJEBACKEN</t>
        </is>
      </c>
      <c r="H82" t="inlineStr">
        <is>
          <t>Bergvik skog väst AB</t>
        </is>
      </c>
      <c r="I82" t="n">
        <v>138.9</v>
      </c>
      <c r="J82" t="n">
        <v>1</v>
      </c>
      <c r="K82" t="n">
        <v>0</v>
      </c>
      <c r="L82" t="n">
        <v>1</v>
      </c>
      <c r="M82" t="n">
        <v>0</v>
      </c>
      <c r="N82" t="n">
        <v>0</v>
      </c>
      <c r="O82" t="n">
        <v>0</v>
      </c>
      <c r="P82" t="n">
        <v>0</v>
      </c>
      <c r="Q82" t="n">
        <v>1</v>
      </c>
      <c r="R82" t="n">
        <v>0</v>
      </c>
      <c r="S82" t="n">
        <v>1</v>
      </c>
      <c r="T82" t="n">
        <v>1</v>
      </c>
      <c r="U82" s="2" t="inlineStr">
        <is>
          <t>Kungsörn</t>
        </is>
      </c>
      <c r="V82">
        <f>HYPERLINK("https://klasma.github.io/Logging_2061/artfynd/S 408-2022 artfynd.xlsx", "S 408-2022")</f>
        <v/>
      </c>
      <c r="W82">
        <f>HYPERLINK("https://klasma.github.io/Logging_2061/kartor/S 408-2022 karta.png", "S 408-2022")</f>
        <v/>
      </c>
      <c r="X82">
        <f>HYPERLINK("https://klasma.github.io/Logging_2061/kartor_geotiff/S 408-2022 georefererad karta.tif", "S 408-2022")</f>
        <v/>
      </c>
      <c r="Z82">
        <f>HYPERLINK("https://klasma.github.io/Logging_2061/klagomål/S 408-2022 FSC-klagomål.docx", "S 408-2022")</f>
        <v/>
      </c>
      <c r="AA82">
        <f>HYPERLINK("https://klasma.github.io/Logging_2061/klagomålsmail/S 408-2022 FSC-klagomål mail.docx", "S 408-2022")</f>
        <v/>
      </c>
      <c r="AB82">
        <f>HYPERLINK("https://klasma.github.io/Logging_2061/tillsyn/S 408-2022 tillsynsbegäran.docx", "S 408-2022")</f>
        <v/>
      </c>
      <c r="AC82">
        <f>HYPERLINK("https://klasma.github.io/Logging_2061/tillsynsmail/S 408-2022 tillsynsbegäran mail.docx", "S 408-2022")</f>
        <v/>
      </c>
      <c r="AD82">
        <f>HYPERLINK("https://klasma.github.io/Logging_2061/fåglar/S 408-2022 prioriterade fågelarter.docx", "S 408-2022")</f>
        <v/>
      </c>
    </row>
    <row r="83" ht="15" customHeight="1">
      <c r="A83" t="inlineStr">
        <is>
          <t>S 5113-2024</t>
        </is>
      </c>
      <c r="B83" t="inlineStr">
        <is>
          <t>samrådsanmälan</t>
        </is>
      </c>
      <c r="C83" t="inlineStr">
        <is>
          <t>Skogsgödsling</t>
        </is>
      </c>
      <c r="D83" s="1" t="n">
        <v>45642</v>
      </c>
      <c r="E83" s="1" t="n">
        <v>46223</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s="2" t="inlineStr">
        <is>
          <t>Brandticka</t>
        </is>
      </c>
      <c r="V83">
        <f>HYPERLINK("https://klasma.github.io/Logging_2061/artfynd/S 5113-2024 artfynd.xlsx", "S 5113-2024")</f>
        <v/>
      </c>
      <c r="W83">
        <f>HYPERLINK("https://klasma.github.io/Logging_2061/kartor/S 5113-2024 karta.png", "S 5113-2024")</f>
        <v/>
      </c>
      <c r="X83">
        <f>HYPERLINK("https://klasma.github.io/Logging_2061/kartor_geotiff/S 5113-2024 georefererad karta.tif", "S 5113-2024")</f>
        <v/>
      </c>
      <c r="Z83">
        <f>HYPERLINK("https://klasma.github.io/Logging_2061/klagomål/S 5113-2024 FSC-klagomål.docx", "S 5113-2024")</f>
        <v/>
      </c>
      <c r="AA83">
        <f>HYPERLINK("https://klasma.github.io/Logging_2061/klagomålsmail/S 5113-2024 FSC-klagomål mail.docx", "S 5113-2024")</f>
        <v/>
      </c>
      <c r="AB83">
        <f>HYPERLINK("https://klasma.github.io/Logging_2061/tillsyn/S 5113-2024 tillsynsbegäran.docx", "S 5113-2024")</f>
        <v/>
      </c>
      <c r="AC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46223</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s="2" t="inlineStr">
        <is>
          <t>Skogshare</t>
        </is>
      </c>
      <c r="V84">
        <f>HYPERLINK("https://klasma.github.io/Logging_2061/artfynd/S 4205-2023 artfynd.xlsx", "S 4205-2023")</f>
        <v/>
      </c>
      <c r="W84">
        <f>HYPERLINK("https://klasma.github.io/Logging_2061/kartor/S 4205-2023 karta.png", "S 4205-2023")</f>
        <v/>
      </c>
      <c r="X84">
        <f>HYPERLINK("https://klasma.github.io/Logging_2061/kartor_geotiff/S 4205-2023 georefererad karta.tif", "S 4205-2023")</f>
        <v/>
      </c>
      <c r="Z84">
        <f>HYPERLINK("https://klasma.github.io/Logging_2061/klagomål/S 4205-2023 FSC-klagomål.docx", "S 4205-2023")</f>
        <v/>
      </c>
      <c r="AA84">
        <f>HYPERLINK("https://klasma.github.io/Logging_2061/klagomålsmail/S 4205-2023 FSC-klagomål mail.docx", "S 4205-2023")</f>
        <v/>
      </c>
      <c r="AB84">
        <f>HYPERLINK("https://klasma.github.io/Logging_2061/tillsyn/S 4205-2023 tillsynsbegäran.docx", "S 4205-2023")</f>
        <v/>
      </c>
      <c r="AC84">
        <f>HYPERLINK("https://klasma.github.io/Logging_2061/tillsynsmail/S 4205-2023 tillsynsbegäran mail.docx", "S 4205-2023")</f>
        <v/>
      </c>
    </row>
    <row r="85" ht="15" customHeight="1">
      <c r="A85" t="inlineStr">
        <is>
          <t>S 15-2026</t>
        </is>
      </c>
      <c r="B85" t="inlineStr">
        <is>
          <t>samrådsanmälan</t>
        </is>
      </c>
      <c r="C85" t="inlineStr">
        <is>
          <t>Annan skogsbruksåtgärd</t>
        </is>
      </c>
      <c r="D85" s="1" t="n">
        <v>46029</v>
      </c>
      <c r="E85" s="1" t="n">
        <v>46223</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s="2" t="inlineStr">
        <is>
          <t>Ullticka</t>
        </is>
      </c>
      <c r="V85">
        <f>HYPERLINK("https://klasma.github.io/Logging_2061/artfynd/S 15-2026 artfynd.xlsx", "S 15-2026")</f>
        <v/>
      </c>
      <c r="W85">
        <f>HYPERLINK("https://klasma.github.io/Logging_2061/kartor/S 15-2026 karta.png", "S 15-2026")</f>
        <v/>
      </c>
      <c r="X85">
        <f>HYPERLINK("https://klasma.github.io/Logging_2061/kartor_geotiff/S 15-2026 georefererad karta.tif", "S 15-2026")</f>
        <v/>
      </c>
      <c r="Z85">
        <f>HYPERLINK("https://klasma.github.io/Logging_2061/klagomål/S 15-2026 FSC-klagomål.docx", "S 15-2026")</f>
        <v/>
      </c>
      <c r="AA85">
        <f>HYPERLINK("https://klasma.github.io/Logging_2061/klagomålsmail/S 15-2026 FSC-klagomål mail.docx", "S 15-2026")</f>
        <v/>
      </c>
      <c r="AB85">
        <f>HYPERLINK("https://klasma.github.io/Logging_2061/tillsyn/S 15-2026 tillsynsbegäran.docx", "S 15-2026")</f>
        <v/>
      </c>
      <c r="AC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46223</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s="2" t="inlineStr"/>
    </row>
    <row r="87" ht="15" customHeight="1">
      <c r="A87" t="inlineStr">
        <is>
          <t>A 8675-2022</t>
        </is>
      </c>
      <c r="B87" t="inlineStr">
        <is>
          <t>avverkningsanmälan</t>
        </is>
      </c>
      <c r="C87" t="inlineStr">
        <is>
          <t>Föryngringsavverkning</t>
        </is>
      </c>
      <c r="D87" s="1" t="n">
        <v>44613</v>
      </c>
      <c r="E87" s="1" t="n">
        <v>46223</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s="2" t="inlineStr"/>
    </row>
    <row r="88" ht="15" customHeight="1">
      <c r="A88" t="inlineStr">
        <is>
          <t>A 39719-2021</t>
        </is>
      </c>
      <c r="B88" t="inlineStr">
        <is>
          <t>avverkningsanmälan</t>
        </is>
      </c>
      <c r="C88" t="inlineStr">
        <is>
          <t>Föryngringsavverkning</t>
        </is>
      </c>
      <c r="D88" s="1" t="n">
        <v>44414</v>
      </c>
      <c r="E88" s="1" t="n">
        <v>46223</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s="2" t="inlineStr"/>
    </row>
    <row r="89" ht="15" customHeight="1">
      <c r="A89" t="inlineStr">
        <is>
          <t>A 33253-2022</t>
        </is>
      </c>
      <c r="B89" t="inlineStr">
        <is>
          <t>avverkningsanmälan</t>
        </is>
      </c>
      <c r="C89" t="inlineStr">
        <is>
          <t>Föryngringsavverkning</t>
        </is>
      </c>
      <c r="D89" s="1" t="n">
        <v>44787</v>
      </c>
      <c r="E89" s="1" t="n">
        <v>46223</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s="2" t="inlineStr"/>
    </row>
    <row r="90" ht="15" customHeight="1">
      <c r="A90" t="inlineStr">
        <is>
          <t>A 43375-2021</t>
        </is>
      </c>
      <c r="B90" t="inlineStr">
        <is>
          <t>avverkningsanmälan</t>
        </is>
      </c>
      <c r="C90" t="inlineStr">
        <is>
          <t>Föryngringsavverkning</t>
        </is>
      </c>
      <c r="D90" s="1" t="n">
        <v>44432</v>
      </c>
      <c r="E90" s="1" t="n">
        <v>46223</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s="2" t="inlineStr"/>
    </row>
    <row r="91" ht="15" customHeight="1">
      <c r="A91" t="inlineStr">
        <is>
          <t>A 39726-2021</t>
        </is>
      </c>
      <c r="B91" t="inlineStr">
        <is>
          <t>avverkningsanmälan</t>
        </is>
      </c>
      <c r="C91" t="inlineStr">
        <is>
          <t>Föryngringsavverkning</t>
        </is>
      </c>
      <c r="D91" s="1" t="n">
        <v>44414</v>
      </c>
      <c r="E91" s="1" t="n">
        <v>46223</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s="2" t="inlineStr"/>
    </row>
    <row r="92" ht="15" customHeight="1">
      <c r="A92" t="inlineStr">
        <is>
          <t>A 49097-2021</t>
        </is>
      </c>
      <c r="B92" t="inlineStr">
        <is>
          <t>avverkningsanmälan</t>
        </is>
      </c>
      <c r="C92" t="inlineStr">
        <is>
          <t>Föryngringsavverkning</t>
        </is>
      </c>
      <c r="D92" s="1" t="n">
        <v>44453</v>
      </c>
      <c r="E92" s="1" t="n">
        <v>46223</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s="2" t="inlineStr"/>
    </row>
    <row r="93" ht="15" customHeight="1">
      <c r="A93" t="inlineStr">
        <is>
          <t>A 907-2022</t>
        </is>
      </c>
      <c r="B93" t="inlineStr">
        <is>
          <t>avverkningsanmälan</t>
        </is>
      </c>
      <c r="C93" t="inlineStr">
        <is>
          <t>Föryngringsavverkning</t>
        </is>
      </c>
      <c r="D93" s="1" t="n">
        <v>44571</v>
      </c>
      <c r="E93" s="1" t="n">
        <v>46223</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s="2" t="inlineStr"/>
    </row>
    <row r="94" ht="15" customHeight="1">
      <c r="A94" t="inlineStr">
        <is>
          <t>A 26305-2022</t>
        </is>
      </c>
      <c r="B94" t="inlineStr">
        <is>
          <t>avverkningsanmälan</t>
        </is>
      </c>
      <c r="C94" t="inlineStr">
        <is>
          <t>Föryngringsavverkning</t>
        </is>
      </c>
      <c r="D94" s="1" t="n">
        <v>44735</v>
      </c>
      <c r="E94" s="1" t="n">
        <v>46223</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s="2" t="inlineStr"/>
    </row>
    <row r="95" ht="15" customHeight="1">
      <c r="A95" t="inlineStr">
        <is>
          <t>A 37370-2022</t>
        </is>
      </c>
      <c r="B95" t="inlineStr">
        <is>
          <t>avverkningsanmälan</t>
        </is>
      </c>
      <c r="C95" t="inlineStr">
        <is>
          <t>Föryngringsavverkning</t>
        </is>
      </c>
      <c r="D95" s="1" t="n">
        <v>44809</v>
      </c>
      <c r="E95" s="1" t="n">
        <v>46223</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s="2" t="inlineStr"/>
    </row>
    <row r="96" ht="15" customHeight="1">
      <c r="A96" t="inlineStr">
        <is>
          <t>A 51731-2021</t>
        </is>
      </c>
      <c r="B96" t="inlineStr">
        <is>
          <t>avverkningsanmälan</t>
        </is>
      </c>
      <c r="C96" t="inlineStr">
        <is>
          <t>Avverkning för att bevara och utveckla /försöksver</t>
        </is>
      </c>
      <c r="D96" s="1" t="n">
        <v>44462</v>
      </c>
      <c r="E96" s="1" t="n">
        <v>46223</v>
      </c>
      <c r="F96" t="inlineStr">
        <is>
          <t>DALARNAS LÄN</t>
        </is>
      </c>
      <c r="G96" t="inlineStr">
        <is>
          <t>SMEDJEBACKEN</t>
        </is>
      </c>
      <c r="H96" t="inlineStr">
        <is>
          <t>Sveaskog</t>
        </is>
      </c>
      <c r="I96" t="n">
        <v>3.1</v>
      </c>
      <c r="J96" t="n">
        <v>0</v>
      </c>
      <c r="K96" t="n">
        <v>0</v>
      </c>
      <c r="L96" t="n">
        <v>0</v>
      </c>
      <c r="M96" t="n">
        <v>0</v>
      </c>
      <c r="N96" t="n">
        <v>0</v>
      </c>
      <c r="O96" t="n">
        <v>0</v>
      </c>
      <c r="P96" t="n">
        <v>0</v>
      </c>
      <c r="Q96" t="n">
        <v>0</v>
      </c>
      <c r="R96" t="n">
        <v>0</v>
      </c>
      <c r="S96" t="n">
        <v>0</v>
      </c>
      <c r="T96" t="n">
        <v>0</v>
      </c>
      <c r="U96" s="2" t="inlineStr"/>
    </row>
    <row r="97" ht="15" customHeight="1">
      <c r="A97" t="inlineStr">
        <is>
          <t>A 19019-2022</t>
        </is>
      </c>
      <c r="B97" t="inlineStr">
        <is>
          <t>avverkningsanmälan</t>
        </is>
      </c>
      <c r="C97" t="inlineStr">
        <is>
          <t>Föryngringsavverkning</t>
        </is>
      </c>
      <c r="D97" s="1" t="n">
        <v>44691</v>
      </c>
      <c r="E97" s="1" t="n">
        <v>46223</v>
      </c>
      <c r="F97" t="inlineStr">
        <is>
          <t>DALARNAS LÄN</t>
        </is>
      </c>
      <c r="G97" t="inlineStr">
        <is>
          <t>SMEDJEBACKEN</t>
        </is>
      </c>
      <c r="H97" t="inlineStr">
        <is>
          <t>Övriga Aktiebolag</t>
        </is>
      </c>
      <c r="I97" t="n">
        <v>2.7</v>
      </c>
      <c r="J97" t="n">
        <v>0</v>
      </c>
      <c r="K97" t="n">
        <v>0</v>
      </c>
      <c r="L97" t="n">
        <v>0</v>
      </c>
      <c r="M97" t="n">
        <v>0</v>
      </c>
      <c r="N97" t="n">
        <v>0</v>
      </c>
      <c r="O97" t="n">
        <v>0</v>
      </c>
      <c r="P97" t="n">
        <v>0</v>
      </c>
      <c r="Q97" t="n">
        <v>0</v>
      </c>
      <c r="R97" t="n">
        <v>0</v>
      </c>
      <c r="S97" t="n">
        <v>0</v>
      </c>
      <c r="T97" t="n">
        <v>0</v>
      </c>
      <c r="U97" s="2" t="inlineStr"/>
    </row>
    <row r="98" ht="15" customHeight="1">
      <c r="A98" t="inlineStr">
        <is>
          <t>A 60697-2021</t>
        </is>
      </c>
      <c r="B98" t="inlineStr">
        <is>
          <t>avverkningsanmälan</t>
        </is>
      </c>
      <c r="C98" t="inlineStr">
        <is>
          <t>Föryngringsavverkning</t>
        </is>
      </c>
      <c r="D98" s="1" t="n">
        <v>44496</v>
      </c>
      <c r="E98" s="1" t="n">
        <v>46223</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s="2" t="inlineStr"/>
    </row>
    <row r="99" ht="15" customHeight="1">
      <c r="A99" t="inlineStr">
        <is>
          <t>A 12606-2022</t>
        </is>
      </c>
      <c r="B99" t="inlineStr">
        <is>
          <t>avverkningsanmälan</t>
        </is>
      </c>
      <c r="C99" t="inlineStr">
        <is>
          <t>Föryngringsavverkning</t>
        </is>
      </c>
      <c r="D99" s="1" t="n">
        <v>44641</v>
      </c>
      <c r="E99" s="1" t="n">
        <v>46223</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s="2" t="inlineStr"/>
    </row>
    <row r="100" ht="15" customHeight="1">
      <c r="A100" t="inlineStr">
        <is>
          <t>A 49278-2022</t>
        </is>
      </c>
      <c r="B100" t="inlineStr">
        <is>
          <t>avverkningsanmälan</t>
        </is>
      </c>
      <c r="C100" t="inlineStr">
        <is>
          <t>Avverkning för annat ändamål</t>
        </is>
      </c>
      <c r="D100" s="1" t="n">
        <v>44861</v>
      </c>
      <c r="E100" s="1" t="n">
        <v>46223</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s="2" t="inlineStr"/>
    </row>
    <row r="101" ht="15" customHeight="1">
      <c r="A101" t="inlineStr">
        <is>
          <t>A 22351-2022</t>
        </is>
      </c>
      <c r="B101" t="inlineStr">
        <is>
          <t>avverkningsanmälan</t>
        </is>
      </c>
      <c r="C101" t="inlineStr">
        <is>
          <t>Föryngringsavverkning</t>
        </is>
      </c>
      <c r="D101" s="1" t="n">
        <v>44713</v>
      </c>
      <c r="E101" s="1" t="n">
        <v>46223</v>
      </c>
      <c r="F101" t="inlineStr">
        <is>
          <t>DALARNAS LÄN</t>
        </is>
      </c>
      <c r="G101" t="inlineStr">
        <is>
          <t>SMEDJEBACKEN</t>
        </is>
      </c>
      <c r="I101" t="n">
        <v>2.3</v>
      </c>
      <c r="J101" t="n">
        <v>0</v>
      </c>
      <c r="K101" t="n">
        <v>0</v>
      </c>
      <c r="L101" t="n">
        <v>0</v>
      </c>
      <c r="M101" t="n">
        <v>0</v>
      </c>
      <c r="N101" t="n">
        <v>0</v>
      </c>
      <c r="O101" t="n">
        <v>0</v>
      </c>
      <c r="P101" t="n">
        <v>0</v>
      </c>
      <c r="Q101" t="n">
        <v>0</v>
      </c>
      <c r="R101" t="n">
        <v>0</v>
      </c>
      <c r="S101" t="n">
        <v>0</v>
      </c>
      <c r="T101" t="n">
        <v>0</v>
      </c>
      <c r="U101" s="2" t="inlineStr"/>
    </row>
    <row r="102" ht="15" customHeight="1">
      <c r="A102" t="inlineStr">
        <is>
          <t>A 12331-2022</t>
        </is>
      </c>
      <c r="B102" t="inlineStr">
        <is>
          <t>avverkningsanmälan</t>
        </is>
      </c>
      <c r="C102" t="inlineStr">
        <is>
          <t>Föryngringsavverkning</t>
        </is>
      </c>
      <c r="D102" s="1" t="n">
        <v>44637</v>
      </c>
      <c r="E102" s="1" t="n">
        <v>46223</v>
      </c>
      <c r="F102" t="inlineStr">
        <is>
          <t>DALARNAS LÄN</t>
        </is>
      </c>
      <c r="G102" t="inlineStr">
        <is>
          <t>SMEDJEBACKEN</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37375-2022</t>
        </is>
      </c>
      <c r="B103" t="inlineStr">
        <is>
          <t>avverkningsanmälan</t>
        </is>
      </c>
      <c r="C103" t="inlineStr">
        <is>
          <t>Föryngringsavverkning</t>
        </is>
      </c>
      <c r="D103" s="1" t="n">
        <v>44809</v>
      </c>
      <c r="E103" s="1" t="n">
        <v>46223</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s="2" t="inlineStr"/>
    </row>
    <row r="104" ht="15" customHeight="1">
      <c r="A104" t="inlineStr">
        <is>
          <t>A 21631-2022</t>
        </is>
      </c>
      <c r="B104" t="inlineStr">
        <is>
          <t>avverkningsanmälan</t>
        </is>
      </c>
      <c r="C104" t="inlineStr">
        <is>
          <t>Föryngringsavverkning</t>
        </is>
      </c>
      <c r="D104" s="1" t="n">
        <v>44706</v>
      </c>
      <c r="E104" s="1" t="n">
        <v>46223</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26298-2022</t>
        </is>
      </c>
      <c r="B105" t="inlineStr">
        <is>
          <t>avverkningsanmälan</t>
        </is>
      </c>
      <c r="C105" t="inlineStr">
        <is>
          <t>Föryngringsavverkning</t>
        </is>
      </c>
      <c r="D105" s="1" t="n">
        <v>44735</v>
      </c>
      <c r="E105" s="1" t="n">
        <v>46223</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53210-2022</t>
        </is>
      </c>
      <c r="B106" t="inlineStr">
        <is>
          <t>avverkningsanmälan</t>
        </is>
      </c>
      <c r="C106" t="inlineStr">
        <is>
          <t>Föryngringsavverkning</t>
        </is>
      </c>
      <c r="D106" s="1" t="n">
        <v>44876</v>
      </c>
      <c r="E106" s="1" t="n">
        <v>46223</v>
      </c>
      <c r="F106" t="inlineStr">
        <is>
          <t>DALARNAS LÄN</t>
        </is>
      </c>
      <c r="G106" t="inlineStr">
        <is>
          <t>SMEDJEBACKEN</t>
        </is>
      </c>
      <c r="H106" t="inlineStr">
        <is>
          <t>Kyrkan</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38797-2021</t>
        </is>
      </c>
      <c r="B107" t="inlineStr">
        <is>
          <t>avverkningsanmälan</t>
        </is>
      </c>
      <c r="C107" t="inlineStr">
        <is>
          <t>Föryngringsavverkning</t>
        </is>
      </c>
      <c r="D107" s="1" t="n">
        <v>44410</v>
      </c>
      <c r="E107" s="1" t="n">
        <v>46223</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38800-2021</t>
        </is>
      </c>
      <c r="B108" t="inlineStr">
        <is>
          <t>avverkningsanmälan</t>
        </is>
      </c>
      <c r="C108" t="inlineStr">
        <is>
          <t>Föryngringsavverkning</t>
        </is>
      </c>
      <c r="D108" s="1" t="n">
        <v>44410</v>
      </c>
      <c r="E108" s="1" t="n">
        <v>46223</v>
      </c>
      <c r="F108" t="inlineStr">
        <is>
          <t>DALARNAS LÄN</t>
        </is>
      </c>
      <c r="G108" t="inlineStr">
        <is>
          <t>SMEDJEBACKEN</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60451-2021</t>
        </is>
      </c>
      <c r="B109" t="inlineStr">
        <is>
          <t>avverkningsanmälan</t>
        </is>
      </c>
      <c r="C109" t="inlineStr">
        <is>
          <t>Avverkning för att bevara och utveckla /försöksver</t>
        </is>
      </c>
      <c r="D109" s="1" t="n">
        <v>44496</v>
      </c>
      <c r="E109" s="1" t="n">
        <v>46223</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s="2" t="inlineStr"/>
    </row>
    <row r="110" ht="15" customHeight="1">
      <c r="A110" t="inlineStr">
        <is>
          <t>A 42744-2022</t>
        </is>
      </c>
      <c r="B110" t="inlineStr">
        <is>
          <t>avverkningsanmälan</t>
        </is>
      </c>
      <c r="C110" t="inlineStr">
        <is>
          <t>Föryngringsavverkning</t>
        </is>
      </c>
      <c r="D110" s="1" t="n">
        <v>44832</v>
      </c>
      <c r="E110" s="1" t="n">
        <v>46223</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s="2" t="inlineStr"/>
    </row>
    <row r="111" ht="15" customHeight="1">
      <c r="A111" t="inlineStr">
        <is>
          <t>A 55362-2021</t>
        </is>
      </c>
      <c r="B111" t="inlineStr">
        <is>
          <t>avverkningsanmälan</t>
        </is>
      </c>
      <c r="C111" t="inlineStr">
        <is>
          <t>Föryngringsavverkning</t>
        </is>
      </c>
      <c r="D111" s="1" t="n">
        <v>44475</v>
      </c>
      <c r="E111" s="1" t="n">
        <v>46223</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39731-2021</t>
        </is>
      </c>
      <c r="B112" t="inlineStr">
        <is>
          <t>avverkningsanmälan</t>
        </is>
      </c>
      <c r="C112" t="inlineStr">
        <is>
          <t>Föryngringsavverkning</t>
        </is>
      </c>
      <c r="D112" s="1" t="n">
        <v>44414</v>
      </c>
      <c r="E112" s="1" t="n">
        <v>46223</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s="2" t="inlineStr"/>
    </row>
    <row r="113" ht="15" customHeight="1">
      <c r="A113" t="inlineStr">
        <is>
          <t>A 51422-2021</t>
        </is>
      </c>
      <c r="B113" t="inlineStr">
        <is>
          <t>avverkningsanmälan</t>
        </is>
      </c>
      <c r="C113" t="inlineStr">
        <is>
          <t>Föryngringsavverkning</t>
        </is>
      </c>
      <c r="D113" s="1" t="n">
        <v>44461</v>
      </c>
      <c r="E113" s="1" t="n">
        <v>46223</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s="2" t="inlineStr"/>
    </row>
    <row r="114" ht="15" customHeight="1">
      <c r="A114" t="inlineStr">
        <is>
          <t>A 41337-2022</t>
        </is>
      </c>
      <c r="B114" t="inlineStr">
        <is>
          <t>avverkningsanmälan</t>
        </is>
      </c>
      <c r="C114" t="inlineStr">
        <is>
          <t>Föryngringsavverkning</t>
        </is>
      </c>
      <c r="D114" s="1" t="n">
        <v>44826</v>
      </c>
      <c r="E114" s="1" t="n">
        <v>46223</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44126-2021</t>
        </is>
      </c>
      <c r="B115" t="inlineStr">
        <is>
          <t>avverkningsanmälan</t>
        </is>
      </c>
      <c r="C115" t="inlineStr">
        <is>
          <t>Föryngringsavverkning</t>
        </is>
      </c>
      <c r="D115" s="1" t="n">
        <v>44434</v>
      </c>
      <c r="E115" s="1" t="n">
        <v>46223</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45382-2021</t>
        </is>
      </c>
      <c r="B116" t="inlineStr">
        <is>
          <t>avverkningsanmälan</t>
        </is>
      </c>
      <c r="C116" t="inlineStr">
        <is>
          <t>Föryngringsavverkning</t>
        </is>
      </c>
      <c r="D116" s="1" t="n">
        <v>44440</v>
      </c>
      <c r="E116" s="1" t="n">
        <v>46223</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43137-2021</t>
        </is>
      </c>
      <c r="B117" t="inlineStr">
        <is>
          <t>avverkningsanmälan</t>
        </is>
      </c>
      <c r="C117" t="inlineStr">
        <is>
          <t>Föryngringsavverkning</t>
        </is>
      </c>
      <c r="D117" s="1" t="n">
        <v>44431</v>
      </c>
      <c r="E117" s="1" t="n">
        <v>46223</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70780-2021</t>
        </is>
      </c>
      <c r="B118" t="inlineStr">
        <is>
          <t>avverkningsanmälan</t>
        </is>
      </c>
      <c r="C118" t="inlineStr">
        <is>
          <t>Föryngringsavverkning</t>
        </is>
      </c>
      <c r="D118" s="1" t="n">
        <v>44537</v>
      </c>
      <c r="E118" s="1" t="n">
        <v>46223</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63691-2021</t>
        </is>
      </c>
      <c r="B119" t="inlineStr">
        <is>
          <t>avverkningsanmälan</t>
        </is>
      </c>
      <c r="C119" t="inlineStr">
        <is>
          <t>Föryngringsavverkning</t>
        </is>
      </c>
      <c r="D119" s="1" t="n">
        <v>44509</v>
      </c>
      <c r="E119" s="1" t="n">
        <v>46223</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14-2022</t>
        </is>
      </c>
      <c r="B120" t="inlineStr">
        <is>
          <t>avverkningsanmälan</t>
        </is>
      </c>
      <c r="C120" t="inlineStr">
        <is>
          <t>Föryngringsavverkning</t>
        </is>
      </c>
      <c r="D120" s="1" t="n">
        <v>44563</v>
      </c>
      <c r="E120" s="1" t="n">
        <v>46223</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s="2" t="inlineStr"/>
    </row>
    <row r="121" ht="15" customHeight="1">
      <c r="A121" t="inlineStr">
        <is>
          <t>A 16-2022</t>
        </is>
      </c>
      <c r="B121" t="inlineStr">
        <is>
          <t>avverkningsanmälan</t>
        </is>
      </c>
      <c r="C121" t="inlineStr">
        <is>
          <t>Föryngringsavverkning</t>
        </is>
      </c>
      <c r="D121" s="1" t="n">
        <v>44563</v>
      </c>
      <c r="E121" s="1" t="n">
        <v>46223</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34235-2022</t>
        </is>
      </c>
      <c r="B122" t="inlineStr">
        <is>
          <t>avverkningsanmälan</t>
        </is>
      </c>
      <c r="C122" t="inlineStr">
        <is>
          <t>Föryngringsavverkning</t>
        </is>
      </c>
      <c r="D122" s="1" t="n">
        <v>44791</v>
      </c>
      <c r="E122" s="1" t="n">
        <v>46223</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52958-2021</t>
        </is>
      </c>
      <c r="B123" t="inlineStr">
        <is>
          <t>avverkningsanmälan</t>
        </is>
      </c>
      <c r="C123" t="inlineStr">
        <is>
          <t>Föryngringsavverkning</t>
        </is>
      </c>
      <c r="D123" s="1" t="n">
        <v>44467</v>
      </c>
      <c r="E123" s="1" t="n">
        <v>46223</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60910-2021</t>
        </is>
      </c>
      <c r="B124" t="inlineStr">
        <is>
          <t>avverkningsanmälan</t>
        </is>
      </c>
      <c r="C124" t="inlineStr">
        <is>
          <t>Föryngringsavverkning</t>
        </is>
      </c>
      <c r="D124" s="1" t="n">
        <v>44496</v>
      </c>
      <c r="E124" s="1" t="n">
        <v>46223</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41303-2021</t>
        </is>
      </c>
      <c r="B125" t="inlineStr">
        <is>
          <t>avverkningsanmälan</t>
        </is>
      </c>
      <c r="C125" t="inlineStr">
        <is>
          <t>Föryngringsavverkning</t>
        </is>
      </c>
      <c r="D125" s="1" t="n">
        <v>44424</v>
      </c>
      <c r="E125" s="1" t="n">
        <v>46223</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s="2" t="inlineStr"/>
    </row>
    <row r="126" ht="15" customHeight="1">
      <c r="A126" t="inlineStr">
        <is>
          <t>A 14868-2022</t>
        </is>
      </c>
      <c r="B126" t="inlineStr">
        <is>
          <t>avverkningsanmälan</t>
        </is>
      </c>
      <c r="C126" t="inlineStr">
        <is>
          <t>Föryngringsavverkning</t>
        </is>
      </c>
      <c r="D126" s="1" t="n">
        <v>44656</v>
      </c>
      <c r="E126" s="1" t="n">
        <v>46223</v>
      </c>
      <c r="F126" t="inlineStr">
        <is>
          <t>DALARNAS LÄN</t>
        </is>
      </c>
      <c r="G126" t="inlineStr">
        <is>
          <t>SMEDJEBACKEN</t>
        </is>
      </c>
      <c r="H126" t="inlineStr">
        <is>
          <t>Bergvik skog väst AB</t>
        </is>
      </c>
      <c r="I126" t="n">
        <v>2.3</v>
      </c>
      <c r="J126" t="n">
        <v>0</v>
      </c>
      <c r="K126" t="n">
        <v>0</v>
      </c>
      <c r="L126" t="n">
        <v>0</v>
      </c>
      <c r="M126" t="n">
        <v>0</v>
      </c>
      <c r="N126" t="n">
        <v>0</v>
      </c>
      <c r="O126" t="n">
        <v>0</v>
      </c>
      <c r="P126" t="n">
        <v>0</v>
      </c>
      <c r="Q126" t="n">
        <v>0</v>
      </c>
      <c r="R126" t="n">
        <v>0</v>
      </c>
      <c r="S126" t="n">
        <v>0</v>
      </c>
      <c r="T126" t="n">
        <v>0</v>
      </c>
      <c r="U126" s="2" t="inlineStr"/>
    </row>
    <row r="127" ht="15" customHeight="1">
      <c r="A127" t="inlineStr">
        <is>
          <t>A 63693-2021</t>
        </is>
      </c>
      <c r="B127" t="inlineStr">
        <is>
          <t>avverkningsanmälan</t>
        </is>
      </c>
      <c r="C127" t="inlineStr">
        <is>
          <t>Föryngringsavverkning</t>
        </is>
      </c>
      <c r="D127" s="1" t="n">
        <v>44509</v>
      </c>
      <c r="E127" s="1" t="n">
        <v>46223</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s="2" t="inlineStr"/>
    </row>
    <row r="128" ht="15" customHeight="1">
      <c r="A128" t="inlineStr">
        <is>
          <t>A 67977-2021</t>
        </is>
      </c>
      <c r="B128" t="inlineStr">
        <is>
          <t>avverkningsanmälan</t>
        </is>
      </c>
      <c r="C128" t="inlineStr">
        <is>
          <t>Föryngringsavverkning</t>
        </is>
      </c>
      <c r="D128" s="1" t="n">
        <v>44525</v>
      </c>
      <c r="E128" s="1" t="n">
        <v>46223</v>
      </c>
      <c r="F128" t="inlineStr">
        <is>
          <t>DALARNAS LÄN</t>
        </is>
      </c>
      <c r="G128" t="inlineStr">
        <is>
          <t>SMEDJEBACKEN</t>
        </is>
      </c>
      <c r="I128" t="n">
        <v>0.7</v>
      </c>
      <c r="J128" t="n">
        <v>0</v>
      </c>
      <c r="K128" t="n">
        <v>0</v>
      </c>
      <c r="L128" t="n">
        <v>0</v>
      </c>
      <c r="M128" t="n">
        <v>0</v>
      </c>
      <c r="N128" t="n">
        <v>0</v>
      </c>
      <c r="O128" t="n">
        <v>0</v>
      </c>
      <c r="P128" t="n">
        <v>0</v>
      </c>
      <c r="Q128" t="n">
        <v>0</v>
      </c>
      <c r="R128" t="n">
        <v>0</v>
      </c>
      <c r="S128" t="n">
        <v>0</v>
      </c>
      <c r="T128" t="n">
        <v>0</v>
      </c>
      <c r="U128" s="2" t="inlineStr"/>
    </row>
    <row r="129" ht="15" customHeight="1">
      <c r="A129" t="inlineStr">
        <is>
          <t>A 26005-2022</t>
        </is>
      </c>
      <c r="B129" t="inlineStr">
        <is>
          <t>avverkningsanmälan</t>
        </is>
      </c>
      <c r="C129" t="inlineStr">
        <is>
          <t>Avverkning för att bevara och utveckla /försöksver</t>
        </is>
      </c>
      <c r="D129" s="1" t="n">
        <v>44734</v>
      </c>
      <c r="E129" s="1" t="n">
        <v>46223</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7759-2022</t>
        </is>
      </c>
      <c r="B130" t="inlineStr">
        <is>
          <t>avverkningsanmälan</t>
        </is>
      </c>
      <c r="C130" t="inlineStr">
        <is>
          <t>Föryngringsavverkning</t>
        </is>
      </c>
      <c r="D130" s="1" t="n">
        <v>44608</v>
      </c>
      <c r="E130" s="1" t="n">
        <v>46223</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33843-2022</t>
        </is>
      </c>
      <c r="B131" t="inlineStr">
        <is>
          <t>avverkningsanmälan</t>
        </is>
      </c>
      <c r="C131" t="inlineStr">
        <is>
          <t>Föryngringsavverkning</t>
        </is>
      </c>
      <c r="D131" s="1" t="n">
        <v>44790</v>
      </c>
      <c r="E131" s="1" t="n">
        <v>46223</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s="2" t="inlineStr"/>
    </row>
    <row r="132" ht="15" customHeight="1">
      <c r="A132" t="inlineStr">
        <is>
          <t>A 35666-2022</t>
        </is>
      </c>
      <c r="B132" t="inlineStr">
        <is>
          <t>avverkningsanmälan</t>
        </is>
      </c>
      <c r="C132" t="inlineStr">
        <is>
          <t>Föryngringsavverkning</t>
        </is>
      </c>
      <c r="D132" s="1" t="n">
        <v>44799</v>
      </c>
      <c r="E132" s="1" t="n">
        <v>46223</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s="2" t="inlineStr"/>
    </row>
    <row r="133" ht="15" customHeight="1">
      <c r="A133" t="inlineStr">
        <is>
          <t>A 44250-2021</t>
        </is>
      </c>
      <c r="B133" t="inlineStr">
        <is>
          <t>avverkningsanmälan</t>
        </is>
      </c>
      <c r="C133" t="inlineStr">
        <is>
          <t>Föryngringsavverkning</t>
        </is>
      </c>
      <c r="D133" s="1" t="n">
        <v>44434</v>
      </c>
      <c r="E133" s="1" t="n">
        <v>46223</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s="2" t="inlineStr"/>
    </row>
    <row r="134" ht="15" customHeight="1">
      <c r="A134" t="inlineStr">
        <is>
          <t>A 60414-2021</t>
        </is>
      </c>
      <c r="B134" t="inlineStr">
        <is>
          <t>avverkningsanmälan</t>
        </is>
      </c>
      <c r="C134" t="inlineStr">
        <is>
          <t>Avverkning för att bevara och utveckla /försöksver</t>
        </is>
      </c>
      <c r="D134" s="1" t="n">
        <v>44496</v>
      </c>
      <c r="E134" s="1" t="n">
        <v>46223</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60912-2021</t>
        </is>
      </c>
      <c r="B135" t="inlineStr">
        <is>
          <t>avverkningsanmälan</t>
        </is>
      </c>
      <c r="C135" t="inlineStr">
        <is>
          <t>Föryngringsavverkning</t>
        </is>
      </c>
      <c r="D135" s="1" t="n">
        <v>44496</v>
      </c>
      <c r="E135" s="1" t="n">
        <v>46223</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s="2" t="inlineStr"/>
    </row>
    <row r="136" ht="15" customHeight="1">
      <c r="A136" t="inlineStr">
        <is>
          <t>A 36663-2022</t>
        </is>
      </c>
      <c r="B136" t="inlineStr">
        <is>
          <t>avverkningsanmälan</t>
        </is>
      </c>
      <c r="C136" t="inlineStr">
        <is>
          <t>Föryngringsavverkning</t>
        </is>
      </c>
      <c r="D136" s="1" t="n">
        <v>44804</v>
      </c>
      <c r="E136" s="1" t="n">
        <v>46223</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s="2" t="inlineStr"/>
    </row>
    <row r="137" ht="15" customHeight="1">
      <c r="A137" t="inlineStr">
        <is>
          <t>A 46137-2021</t>
        </is>
      </c>
      <c r="B137" t="inlineStr">
        <is>
          <t>avverkningsanmälan</t>
        </is>
      </c>
      <c r="C137" t="inlineStr">
        <is>
          <t>Föryngringsavverkning</t>
        </is>
      </c>
      <c r="D137" s="1" t="n">
        <v>44442</v>
      </c>
      <c r="E137" s="1" t="n">
        <v>46223</v>
      </c>
      <c r="F137" t="inlineStr">
        <is>
          <t>DALARNAS LÄN</t>
        </is>
      </c>
      <c r="G137" t="inlineStr">
        <is>
          <t>SMEDJEBACKEN</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32013-2022</t>
        </is>
      </c>
      <c r="B138" t="inlineStr">
        <is>
          <t>avverkningsanmälan</t>
        </is>
      </c>
      <c r="C138" t="inlineStr">
        <is>
          <t>Föryngringsavverkning</t>
        </is>
      </c>
      <c r="D138" s="1" t="n">
        <v>44778</v>
      </c>
      <c r="E138" s="1" t="n">
        <v>46223</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s="2" t="inlineStr"/>
    </row>
    <row r="139" ht="15" customHeight="1">
      <c r="A139" t="inlineStr">
        <is>
          <t>A 32945-2022</t>
        </is>
      </c>
      <c r="B139" t="inlineStr">
        <is>
          <t>avverkningsanmälan</t>
        </is>
      </c>
      <c r="C139" t="inlineStr">
        <is>
          <t>Föryngringsavverkning</t>
        </is>
      </c>
      <c r="D139" s="1" t="n">
        <v>44784</v>
      </c>
      <c r="E139" s="1" t="n">
        <v>46223</v>
      </c>
      <c r="F139" t="inlineStr">
        <is>
          <t>DALARNAS LÄN</t>
        </is>
      </c>
      <c r="G139" t="inlineStr">
        <is>
          <t>SMEDJEBACKEN</t>
        </is>
      </c>
      <c r="H139" t="inlineStr">
        <is>
          <t>Sveaskog</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11410-2022</t>
        </is>
      </c>
      <c r="B140" t="inlineStr">
        <is>
          <t>avverkningsanmälan</t>
        </is>
      </c>
      <c r="C140" t="inlineStr">
        <is>
          <t>Avverkning för annat ändamål</t>
        </is>
      </c>
      <c r="D140" s="1" t="n">
        <v>44630</v>
      </c>
      <c r="E140" s="1" t="n">
        <v>46223</v>
      </c>
      <c r="F140" t="inlineStr">
        <is>
          <t>DALARNAS LÄN</t>
        </is>
      </c>
      <c r="G140" t="inlineStr">
        <is>
          <t>SMEDJEBACKEN</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36243-2022</t>
        </is>
      </c>
      <c r="B141" t="inlineStr">
        <is>
          <t>avverkningsanmälan</t>
        </is>
      </c>
      <c r="C141" t="inlineStr">
        <is>
          <t>Föryngringsavverkning</t>
        </is>
      </c>
      <c r="D141" s="1" t="n">
        <v>44803</v>
      </c>
      <c r="E141" s="1" t="n">
        <v>46223</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s="2" t="inlineStr"/>
    </row>
    <row r="142" ht="15" customHeight="1">
      <c r="A142" t="inlineStr">
        <is>
          <t>A 22640-2022</t>
        </is>
      </c>
      <c r="B142" t="inlineStr">
        <is>
          <t>avverkningsanmälan</t>
        </is>
      </c>
      <c r="C142" t="inlineStr">
        <is>
          <t>Föryngringsavverkning</t>
        </is>
      </c>
      <c r="D142" s="1" t="n">
        <v>44714</v>
      </c>
      <c r="E142" s="1" t="n">
        <v>46223</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s="2" t="inlineStr"/>
    </row>
    <row r="143" ht="15" customHeight="1">
      <c r="A143" t="inlineStr">
        <is>
          <t>A 37851-2021</t>
        </is>
      </c>
      <c r="B143" t="inlineStr">
        <is>
          <t>avverkningsanmälan</t>
        </is>
      </c>
      <c r="C143" t="inlineStr">
        <is>
          <t>Föryngringsavverkning</t>
        </is>
      </c>
      <c r="D143" s="1" t="n">
        <v>44403</v>
      </c>
      <c r="E143" s="1" t="n">
        <v>46223</v>
      </c>
      <c r="F143" t="inlineStr">
        <is>
          <t>DALARNAS LÄN</t>
        </is>
      </c>
      <c r="G143" t="inlineStr">
        <is>
          <t>SMEDJEBACKEN</t>
        </is>
      </c>
      <c r="I143" t="n">
        <v>2.9</v>
      </c>
      <c r="J143" t="n">
        <v>0</v>
      </c>
      <c r="K143" t="n">
        <v>0</v>
      </c>
      <c r="L143" t="n">
        <v>0</v>
      </c>
      <c r="M143" t="n">
        <v>0</v>
      </c>
      <c r="N143" t="n">
        <v>0</v>
      </c>
      <c r="O143" t="n">
        <v>0</v>
      </c>
      <c r="P143" t="n">
        <v>0</v>
      </c>
      <c r="Q143" t="n">
        <v>0</v>
      </c>
      <c r="R143" t="n">
        <v>0</v>
      </c>
      <c r="S143" t="n">
        <v>0</v>
      </c>
      <c r="T143" t="n">
        <v>0</v>
      </c>
      <c r="U143" s="2" t="inlineStr"/>
    </row>
    <row r="144" ht="15" customHeight="1">
      <c r="A144" t="inlineStr">
        <is>
          <t>A 60927-2021</t>
        </is>
      </c>
      <c r="B144" t="inlineStr">
        <is>
          <t>avverkningsanmälan</t>
        </is>
      </c>
      <c r="C144" t="inlineStr">
        <is>
          <t>Föryngringsavverkning</t>
        </is>
      </c>
      <c r="D144" s="1" t="n">
        <v>44496</v>
      </c>
      <c r="E144" s="1" t="n">
        <v>46223</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49275-2022</t>
        </is>
      </c>
      <c r="B145" t="inlineStr">
        <is>
          <t>avverkningsanmälan</t>
        </is>
      </c>
      <c r="C145" t="inlineStr">
        <is>
          <t>Avverkning för annat ändamål</t>
        </is>
      </c>
      <c r="D145" s="1" t="n">
        <v>44861</v>
      </c>
      <c r="E145" s="1" t="n">
        <v>46223</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s="2" t="inlineStr"/>
    </row>
    <row r="146" ht="15" customHeight="1">
      <c r="A146" t="inlineStr">
        <is>
          <t>A 37881-2022</t>
        </is>
      </c>
      <c r="B146" t="inlineStr">
        <is>
          <t>avverkningsanmälan</t>
        </is>
      </c>
      <c r="C146" t="inlineStr">
        <is>
          <t>Föryngringsavverkning</t>
        </is>
      </c>
      <c r="D146" s="1" t="n">
        <v>44811</v>
      </c>
      <c r="E146" s="1" t="n">
        <v>46223</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53290-2022</t>
        </is>
      </c>
      <c r="B147" t="inlineStr">
        <is>
          <t>avverkningsanmälan</t>
        </is>
      </c>
      <c r="C147" t="inlineStr">
        <is>
          <t>Föryngringsavverkning</t>
        </is>
      </c>
      <c r="D147" s="1" t="n">
        <v>44876</v>
      </c>
      <c r="E147" s="1" t="n">
        <v>46223</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72384-2021</t>
        </is>
      </c>
      <c r="B148" t="inlineStr">
        <is>
          <t>avverkningsanmälan</t>
        </is>
      </c>
      <c r="C148" t="inlineStr">
        <is>
          <t>Föryngringsavverkning</t>
        </is>
      </c>
      <c r="D148" s="1" t="n">
        <v>44545</v>
      </c>
      <c r="E148" s="1" t="n">
        <v>46223</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1700-2022</t>
        </is>
      </c>
      <c r="B149" t="inlineStr">
        <is>
          <t>avverkningsanmälan</t>
        </is>
      </c>
      <c r="C149" t="inlineStr">
        <is>
          <t>Föryngringsavverkning</t>
        </is>
      </c>
      <c r="D149" s="1" t="n">
        <v>44574</v>
      </c>
      <c r="E149" s="1" t="n">
        <v>46223</v>
      </c>
      <c r="F149" t="inlineStr">
        <is>
          <t>DALARNAS LÄN</t>
        </is>
      </c>
      <c r="G149" t="inlineStr">
        <is>
          <t>SMEDJEBACKEN</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53583-2021</t>
        </is>
      </c>
      <c r="B150" t="inlineStr">
        <is>
          <t>avverkningsanmälan</t>
        </is>
      </c>
      <c r="C150" t="inlineStr">
        <is>
          <t>Föryngringsavverkning</t>
        </is>
      </c>
      <c r="D150" s="1" t="n">
        <v>44469</v>
      </c>
      <c r="E150" s="1" t="n">
        <v>46223</v>
      </c>
      <c r="F150" t="inlineStr">
        <is>
          <t>DALARNAS LÄN</t>
        </is>
      </c>
      <c r="G150" t="inlineStr">
        <is>
          <t>SMEDJEBACKEN</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44141-2021</t>
        </is>
      </c>
      <c r="B151" t="inlineStr">
        <is>
          <t>avverkningsanmälan</t>
        </is>
      </c>
      <c r="C151" t="inlineStr">
        <is>
          <t>Föryngringsavverkning</t>
        </is>
      </c>
      <c r="D151" s="1" t="n">
        <v>44434</v>
      </c>
      <c r="E151" s="1" t="n">
        <v>46223</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31143-2022</t>
        </is>
      </c>
      <c r="B152" t="inlineStr">
        <is>
          <t>avverkningsanmälan</t>
        </is>
      </c>
      <c r="C152" t="inlineStr">
        <is>
          <t>Föryngringsavverkning</t>
        </is>
      </c>
      <c r="D152" s="1" t="n">
        <v>44770</v>
      </c>
      <c r="E152" s="1" t="n">
        <v>46223</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s="2" t="inlineStr"/>
    </row>
    <row r="153" ht="15" customHeight="1">
      <c r="A153" t="inlineStr">
        <is>
          <t>A 33256-2022</t>
        </is>
      </c>
      <c r="B153" t="inlineStr">
        <is>
          <t>avverkningsanmälan</t>
        </is>
      </c>
      <c r="C153" t="inlineStr">
        <is>
          <t>Föryngringsavverkning</t>
        </is>
      </c>
      <c r="D153" s="1" t="n">
        <v>44787</v>
      </c>
      <c r="E153" s="1" t="n">
        <v>46223</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s="2" t="inlineStr"/>
    </row>
    <row r="154" ht="15" customHeight="1">
      <c r="A154" t="inlineStr">
        <is>
          <t>A 33257-2022</t>
        </is>
      </c>
      <c r="B154" t="inlineStr">
        <is>
          <t>avverkningsanmälan</t>
        </is>
      </c>
      <c r="C154" t="inlineStr">
        <is>
          <t>Föryngringsavverkning</t>
        </is>
      </c>
      <c r="D154" s="1" t="n">
        <v>44787</v>
      </c>
      <c r="E154" s="1" t="n">
        <v>46223</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s="2" t="inlineStr"/>
    </row>
    <row r="155" ht="15" customHeight="1">
      <c r="A155" t="inlineStr">
        <is>
          <t>A 69512-2021</t>
        </is>
      </c>
      <c r="B155" t="inlineStr">
        <is>
          <t>avverkningsanmälan</t>
        </is>
      </c>
      <c r="C155" t="inlineStr">
        <is>
          <t>Föryngringsavverkning</t>
        </is>
      </c>
      <c r="D155" s="1" t="n">
        <v>44531</v>
      </c>
      <c r="E155" s="1" t="n">
        <v>46223</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s="2" t="inlineStr"/>
    </row>
    <row r="156" ht="15" customHeight="1">
      <c r="A156" t="inlineStr">
        <is>
          <t>A 2836-2022</t>
        </is>
      </c>
      <c r="B156" t="inlineStr">
        <is>
          <t>avverkningsanmälan</t>
        </is>
      </c>
      <c r="C156" t="inlineStr">
        <is>
          <t>Föryngringsavverkning</t>
        </is>
      </c>
      <c r="D156" s="1" t="n">
        <v>44581</v>
      </c>
      <c r="E156" s="1" t="n">
        <v>46223</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34216-2022</t>
        </is>
      </c>
      <c r="B157" t="inlineStr">
        <is>
          <t>avverkningsanmälan</t>
        </is>
      </c>
      <c r="C157" t="inlineStr">
        <is>
          <t>Föryngringsavverkning</t>
        </is>
      </c>
      <c r="D157" s="1" t="n">
        <v>44791</v>
      </c>
      <c r="E157" s="1" t="n">
        <v>46223</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42496-2022</t>
        </is>
      </c>
      <c r="B158" t="inlineStr">
        <is>
          <t>avverkningsanmälan</t>
        </is>
      </c>
      <c r="C158" t="inlineStr">
        <is>
          <t>Avverkning för att bevara och utveckla /försöksver</t>
        </is>
      </c>
      <c r="D158" s="1" t="n">
        <v>44831</v>
      </c>
      <c r="E158" s="1" t="n">
        <v>46223</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51164-2023</t>
        </is>
      </c>
      <c r="B159" t="inlineStr">
        <is>
          <t>avverkningsanmälan</t>
        </is>
      </c>
      <c r="C159" t="inlineStr">
        <is>
          <t>Föryngringsavverkning</t>
        </is>
      </c>
      <c r="D159" s="1" t="n">
        <v>45219</v>
      </c>
      <c r="E159" s="1" t="n">
        <v>46223</v>
      </c>
      <c r="F159" t="inlineStr">
        <is>
          <t>DALARNAS LÄN</t>
        </is>
      </c>
      <c r="G159" t="inlineStr">
        <is>
          <t>SMEDJEBACKEN</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27070-2022</t>
        </is>
      </c>
      <c r="B160" t="inlineStr">
        <is>
          <t>avverkningsanmälan</t>
        </is>
      </c>
      <c r="C160" t="inlineStr">
        <is>
          <t>Föryngringsavverkning</t>
        </is>
      </c>
      <c r="D160" s="1" t="n">
        <v>44741</v>
      </c>
      <c r="E160" s="1" t="n">
        <v>46223</v>
      </c>
      <c r="F160" t="inlineStr">
        <is>
          <t>DALARNAS LÄN</t>
        </is>
      </c>
      <c r="G160" t="inlineStr">
        <is>
          <t>SMEDJEBACKEN</t>
        </is>
      </c>
      <c r="H160" t="inlineStr">
        <is>
          <t>Sveaskog</t>
        </is>
      </c>
      <c r="I160" t="n">
        <v>3</v>
      </c>
      <c r="J160" t="n">
        <v>0</v>
      </c>
      <c r="K160" t="n">
        <v>0</v>
      </c>
      <c r="L160" t="n">
        <v>0</v>
      </c>
      <c r="M160" t="n">
        <v>0</v>
      </c>
      <c r="N160" t="n">
        <v>0</v>
      </c>
      <c r="O160" t="n">
        <v>0</v>
      </c>
      <c r="P160" t="n">
        <v>0</v>
      </c>
      <c r="Q160" t="n">
        <v>0</v>
      </c>
      <c r="R160" t="n">
        <v>0</v>
      </c>
      <c r="S160" t="n">
        <v>0</v>
      </c>
      <c r="T160" t="n">
        <v>0</v>
      </c>
      <c r="U160" s="2" t="inlineStr"/>
    </row>
    <row r="161" ht="15" customHeight="1">
      <c r="A161" t="inlineStr">
        <is>
          <t>A 6464-2024</t>
        </is>
      </c>
      <c r="B161" t="inlineStr">
        <is>
          <t>avverkningsanmälan</t>
        </is>
      </c>
      <c r="C161" t="inlineStr">
        <is>
          <t>Föryngringsavverkning</t>
        </is>
      </c>
      <c r="D161" s="1" t="n">
        <v>45338</v>
      </c>
      <c r="E161" s="1" t="n">
        <v>46223</v>
      </c>
      <c r="F161" t="inlineStr">
        <is>
          <t>DALARNAS LÄN</t>
        </is>
      </c>
      <c r="G161" t="inlineStr">
        <is>
          <t>SMEDJEBACKEN</t>
        </is>
      </c>
      <c r="I161" t="n">
        <v>2.9</v>
      </c>
      <c r="J161" t="n">
        <v>0</v>
      </c>
      <c r="K161" t="n">
        <v>0</v>
      </c>
      <c r="L161" t="n">
        <v>0</v>
      </c>
      <c r="M161" t="n">
        <v>0</v>
      </c>
      <c r="N161" t="n">
        <v>0</v>
      </c>
      <c r="O161" t="n">
        <v>0</v>
      </c>
      <c r="P161" t="n">
        <v>0</v>
      </c>
      <c r="Q161" t="n">
        <v>0</v>
      </c>
      <c r="R161" t="n">
        <v>0</v>
      </c>
      <c r="S161" t="n">
        <v>0</v>
      </c>
      <c r="T161" t="n">
        <v>0</v>
      </c>
      <c r="U161" s="2" t="inlineStr"/>
    </row>
    <row r="162" ht="15" customHeight="1">
      <c r="A162" t="inlineStr">
        <is>
          <t>A 40644-2022</t>
        </is>
      </c>
      <c r="B162" t="inlineStr">
        <is>
          <t>avverkningsanmälan</t>
        </is>
      </c>
      <c r="C162" t="inlineStr">
        <is>
          <t>Föryngringsavverkning</t>
        </is>
      </c>
      <c r="D162" s="1" t="n">
        <v>44824</v>
      </c>
      <c r="E162" s="1" t="n">
        <v>46223</v>
      </c>
      <c r="F162" t="inlineStr">
        <is>
          <t>DALARNAS LÄN</t>
        </is>
      </c>
      <c r="G162" t="inlineStr">
        <is>
          <t>SMEDJEBACKEN</t>
        </is>
      </c>
      <c r="H162" t="inlineStr">
        <is>
          <t>Sveaskog</t>
        </is>
      </c>
      <c r="I162" t="n">
        <v>18.7</v>
      </c>
      <c r="J162" t="n">
        <v>0</v>
      </c>
      <c r="K162" t="n">
        <v>0</v>
      </c>
      <c r="L162" t="n">
        <v>0</v>
      </c>
      <c r="M162" t="n">
        <v>0</v>
      </c>
      <c r="N162" t="n">
        <v>0</v>
      </c>
      <c r="O162" t="n">
        <v>0</v>
      </c>
      <c r="P162" t="n">
        <v>0</v>
      </c>
      <c r="Q162" t="n">
        <v>0</v>
      </c>
      <c r="R162" t="n">
        <v>0</v>
      </c>
      <c r="S162" t="n">
        <v>0</v>
      </c>
      <c r="T162" t="n">
        <v>0</v>
      </c>
      <c r="U162" s="2" t="inlineStr"/>
    </row>
    <row r="163" ht="15" customHeight="1">
      <c r="A163" t="inlineStr">
        <is>
          <t>A 17134-2024</t>
        </is>
      </c>
      <c r="B163" t="inlineStr">
        <is>
          <t>avverkningsanmälan</t>
        </is>
      </c>
      <c r="C163" t="inlineStr">
        <is>
          <t>Föryngringsavverkning</t>
        </is>
      </c>
      <c r="D163" s="1" t="n">
        <v>45412</v>
      </c>
      <c r="E163" s="1" t="n">
        <v>46223</v>
      </c>
      <c r="F163" t="inlineStr">
        <is>
          <t>DALARNAS LÄN</t>
        </is>
      </c>
      <c r="G163" t="inlineStr">
        <is>
          <t>SMEDJEBACKEN</t>
        </is>
      </c>
      <c r="I163" t="n">
        <v>2</v>
      </c>
      <c r="J163" t="n">
        <v>0</v>
      </c>
      <c r="K163" t="n">
        <v>0</v>
      </c>
      <c r="L163" t="n">
        <v>0</v>
      </c>
      <c r="M163" t="n">
        <v>0</v>
      </c>
      <c r="N163" t="n">
        <v>0</v>
      </c>
      <c r="O163" t="n">
        <v>0</v>
      </c>
      <c r="P163" t="n">
        <v>0</v>
      </c>
      <c r="Q163" t="n">
        <v>0</v>
      </c>
      <c r="R163" t="n">
        <v>0</v>
      </c>
      <c r="S163" t="n">
        <v>0</v>
      </c>
      <c r="T163" t="n">
        <v>0</v>
      </c>
      <c r="U163" s="2" t="inlineStr"/>
    </row>
    <row r="164" ht="15" customHeight="1">
      <c r="A164" t="inlineStr">
        <is>
          <t>A 49139-2022</t>
        </is>
      </c>
      <c r="B164" t="inlineStr">
        <is>
          <t>avverkningsanmälan</t>
        </is>
      </c>
      <c r="C164" t="inlineStr">
        <is>
          <t>Föryngringsavverkning</t>
        </is>
      </c>
      <c r="D164" s="1" t="n">
        <v>44860</v>
      </c>
      <c r="E164" s="1" t="n">
        <v>46223</v>
      </c>
      <c r="F164" t="inlineStr">
        <is>
          <t>DALARNAS LÄN</t>
        </is>
      </c>
      <c r="G164" t="inlineStr">
        <is>
          <t>SMEDJEBACKEN</t>
        </is>
      </c>
      <c r="I164" t="n">
        <v>3.7</v>
      </c>
      <c r="J164" t="n">
        <v>0</v>
      </c>
      <c r="K164" t="n">
        <v>0</v>
      </c>
      <c r="L164" t="n">
        <v>0</v>
      </c>
      <c r="M164" t="n">
        <v>0</v>
      </c>
      <c r="N164" t="n">
        <v>0</v>
      </c>
      <c r="O164" t="n">
        <v>0</v>
      </c>
      <c r="P164" t="n">
        <v>0</v>
      </c>
      <c r="Q164" t="n">
        <v>0</v>
      </c>
      <c r="R164" t="n">
        <v>0</v>
      </c>
      <c r="S164" t="n">
        <v>0</v>
      </c>
      <c r="T164" t="n">
        <v>0</v>
      </c>
      <c r="U164" s="2" t="inlineStr"/>
    </row>
    <row r="165" ht="15" customHeight="1">
      <c r="A165" t="inlineStr">
        <is>
          <t>A 14677-2024</t>
        </is>
      </c>
      <c r="B165" t="inlineStr">
        <is>
          <t>avverkningsanmälan</t>
        </is>
      </c>
      <c r="C165" t="inlineStr">
        <is>
          <t>Föryngringsavverkning</t>
        </is>
      </c>
      <c r="D165" s="1" t="n">
        <v>45397</v>
      </c>
      <c r="E165" s="1" t="n">
        <v>46223</v>
      </c>
      <c r="F165" t="inlineStr">
        <is>
          <t>DALARNAS LÄN</t>
        </is>
      </c>
      <c r="G165" t="inlineStr">
        <is>
          <t>SMEDJEBACKEN</t>
        </is>
      </c>
      <c r="I165" t="n">
        <v>2.5</v>
      </c>
      <c r="J165" t="n">
        <v>0</v>
      </c>
      <c r="K165" t="n">
        <v>0</v>
      </c>
      <c r="L165" t="n">
        <v>0</v>
      </c>
      <c r="M165" t="n">
        <v>0</v>
      </c>
      <c r="N165" t="n">
        <v>0</v>
      </c>
      <c r="O165" t="n">
        <v>0</v>
      </c>
      <c r="P165" t="n">
        <v>0</v>
      </c>
      <c r="Q165" t="n">
        <v>0</v>
      </c>
      <c r="R165" t="n">
        <v>0</v>
      </c>
      <c r="S165" t="n">
        <v>0</v>
      </c>
      <c r="T165" t="n">
        <v>0</v>
      </c>
      <c r="U165" s="2" t="inlineStr"/>
    </row>
    <row r="166" ht="15" customHeight="1">
      <c r="A166" t="inlineStr">
        <is>
          <t>A 15557-2024</t>
        </is>
      </c>
      <c r="B166" t="inlineStr">
        <is>
          <t>avverkningsanmälan</t>
        </is>
      </c>
      <c r="C166" t="inlineStr">
        <is>
          <t>Föryngringsavverkning</t>
        </is>
      </c>
      <c r="D166" s="1" t="n">
        <v>45401</v>
      </c>
      <c r="E166" s="1" t="n">
        <v>46223</v>
      </c>
      <c r="F166" t="inlineStr">
        <is>
          <t>DALARNAS LÄN</t>
        </is>
      </c>
      <c r="G166" t="inlineStr">
        <is>
          <t>SMEDJEBACKEN</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55680-2022</t>
        </is>
      </c>
      <c r="B167" t="inlineStr">
        <is>
          <t>avverkningsanmälan</t>
        </is>
      </c>
      <c r="C167" t="inlineStr">
        <is>
          <t>Föryngringsavverkning</t>
        </is>
      </c>
      <c r="D167" s="1" t="n">
        <v>44883</v>
      </c>
      <c r="E167" s="1" t="n">
        <v>46223</v>
      </c>
      <c r="F167" t="inlineStr">
        <is>
          <t>DALARNAS LÄN</t>
        </is>
      </c>
      <c r="G167" t="inlineStr">
        <is>
          <t>SMEDJEBACKEN</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37501-2022</t>
        </is>
      </c>
      <c r="B168" t="inlineStr">
        <is>
          <t>avverkningsanmälan</t>
        </is>
      </c>
      <c r="C168" t="inlineStr">
        <is>
          <t>Föryngringsavverkning</t>
        </is>
      </c>
      <c r="D168" s="1" t="n">
        <v>44809</v>
      </c>
      <c r="E168" s="1" t="n">
        <v>46223</v>
      </c>
      <c r="F168" t="inlineStr">
        <is>
          <t>DALARNAS LÄN</t>
        </is>
      </c>
      <c r="G168" t="inlineStr">
        <is>
          <t>SMEDJEBACKEN</t>
        </is>
      </c>
      <c r="I168" t="n">
        <v>1.7</v>
      </c>
      <c r="J168" t="n">
        <v>0</v>
      </c>
      <c r="K168" t="n">
        <v>0</v>
      </c>
      <c r="L168" t="n">
        <v>0</v>
      </c>
      <c r="M168" t="n">
        <v>0</v>
      </c>
      <c r="N168" t="n">
        <v>0</v>
      </c>
      <c r="O168" t="n">
        <v>0</v>
      </c>
      <c r="P168" t="n">
        <v>0</v>
      </c>
      <c r="Q168" t="n">
        <v>0</v>
      </c>
      <c r="R168" t="n">
        <v>0</v>
      </c>
      <c r="S168" t="n">
        <v>0</v>
      </c>
      <c r="T168" t="n">
        <v>0</v>
      </c>
      <c r="U168" s="2" t="inlineStr"/>
    </row>
    <row r="169" ht="15" customHeight="1">
      <c r="A169" t="inlineStr">
        <is>
          <t>A 19411-2024</t>
        </is>
      </c>
      <c r="B169" t="inlineStr">
        <is>
          <t>avverkningsanmälan</t>
        </is>
      </c>
      <c r="C169" t="inlineStr">
        <is>
          <t>Avverkning för att bevara och utveckla /försöksver</t>
        </is>
      </c>
      <c r="D169" s="1" t="n">
        <v>45429</v>
      </c>
      <c r="E169" s="1" t="n">
        <v>46223</v>
      </c>
      <c r="F169" t="inlineStr">
        <is>
          <t>DALARNAS LÄN</t>
        </is>
      </c>
      <c r="G169" t="inlineStr">
        <is>
          <t>SMEDJEBACKEN</t>
        </is>
      </c>
      <c r="H169" t="inlineStr">
        <is>
          <t>Sveaskog</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18022-2024</t>
        </is>
      </c>
      <c r="B170" t="inlineStr">
        <is>
          <t>avverkningsanmälan</t>
        </is>
      </c>
      <c r="C170" t="inlineStr">
        <is>
          <t>Avverkning för annat ändamål</t>
        </is>
      </c>
      <c r="D170" s="1" t="n">
        <v>45420</v>
      </c>
      <c r="E170" s="1" t="n">
        <v>46223</v>
      </c>
      <c r="F170" t="inlineStr">
        <is>
          <t>DALARNAS LÄN</t>
        </is>
      </c>
      <c r="G170" t="inlineStr">
        <is>
          <t>SMEDJEBACKEN</t>
        </is>
      </c>
      <c r="H170" t="inlineStr">
        <is>
          <t>Sveaskog</t>
        </is>
      </c>
      <c r="I170" t="n">
        <v>0.3</v>
      </c>
      <c r="J170" t="n">
        <v>0</v>
      </c>
      <c r="K170" t="n">
        <v>0</v>
      </c>
      <c r="L170" t="n">
        <v>0</v>
      </c>
      <c r="M170" t="n">
        <v>0</v>
      </c>
      <c r="N170" t="n">
        <v>0</v>
      </c>
      <c r="O170" t="n">
        <v>0</v>
      </c>
      <c r="P170" t="n">
        <v>0</v>
      </c>
      <c r="Q170" t="n">
        <v>0</v>
      </c>
      <c r="R170" t="n">
        <v>0</v>
      </c>
      <c r="S170" t="n">
        <v>0</v>
      </c>
      <c r="T170" t="n">
        <v>0</v>
      </c>
      <c r="U170" s="2" t="inlineStr"/>
    </row>
    <row r="171" ht="15" customHeight="1">
      <c r="A171" t="inlineStr">
        <is>
          <t>A 12218-2024</t>
        </is>
      </c>
      <c r="B171" t="inlineStr">
        <is>
          <t>avverkningsanmälan</t>
        </is>
      </c>
      <c r="C171" t="inlineStr">
        <is>
          <t>Föryngringsavverkning</t>
        </is>
      </c>
      <c r="D171" s="1" t="n">
        <v>45378</v>
      </c>
      <c r="E171" s="1" t="n">
        <v>46223</v>
      </c>
      <c r="F171" t="inlineStr">
        <is>
          <t>DALARNAS LÄN</t>
        </is>
      </c>
      <c r="G171" t="inlineStr">
        <is>
          <t>SMEDJEBACKEN</t>
        </is>
      </c>
      <c r="I171" t="n">
        <v>3.3</v>
      </c>
      <c r="J171" t="n">
        <v>0</v>
      </c>
      <c r="K171" t="n">
        <v>0</v>
      </c>
      <c r="L171" t="n">
        <v>0</v>
      </c>
      <c r="M171" t="n">
        <v>0</v>
      </c>
      <c r="N171" t="n">
        <v>0</v>
      </c>
      <c r="O171" t="n">
        <v>0</v>
      </c>
      <c r="P171" t="n">
        <v>0</v>
      </c>
      <c r="Q171" t="n">
        <v>0</v>
      </c>
      <c r="R171" t="n">
        <v>0</v>
      </c>
      <c r="S171" t="n">
        <v>0</v>
      </c>
      <c r="T171" t="n">
        <v>0</v>
      </c>
      <c r="U171" s="2" t="inlineStr"/>
    </row>
    <row r="172" ht="15" customHeight="1">
      <c r="A172" t="inlineStr">
        <is>
          <t>A 18133-2024</t>
        </is>
      </c>
      <c r="B172" t="inlineStr">
        <is>
          <t>avverkningsanmälan</t>
        </is>
      </c>
      <c r="C172" t="inlineStr">
        <is>
          <t>Föryngringsavverkning</t>
        </is>
      </c>
      <c r="D172" s="1" t="n">
        <v>45420</v>
      </c>
      <c r="E172" s="1" t="n">
        <v>46223</v>
      </c>
      <c r="F172" t="inlineStr">
        <is>
          <t>DALARNAS LÄN</t>
        </is>
      </c>
      <c r="G172" t="inlineStr">
        <is>
          <t>SMEDJEBACKEN</t>
        </is>
      </c>
      <c r="H172" t="inlineStr">
        <is>
          <t>Sveaskog</t>
        </is>
      </c>
      <c r="I172" t="n">
        <v>8.5</v>
      </c>
      <c r="J172" t="n">
        <v>0</v>
      </c>
      <c r="K172" t="n">
        <v>0</v>
      </c>
      <c r="L172" t="n">
        <v>0</v>
      </c>
      <c r="M172" t="n">
        <v>0</v>
      </c>
      <c r="N172" t="n">
        <v>0</v>
      </c>
      <c r="O172" t="n">
        <v>0</v>
      </c>
      <c r="P172" t="n">
        <v>0</v>
      </c>
      <c r="Q172" t="n">
        <v>0</v>
      </c>
      <c r="R172" t="n">
        <v>0</v>
      </c>
      <c r="S172" t="n">
        <v>0</v>
      </c>
      <c r="T172" t="n">
        <v>0</v>
      </c>
      <c r="U172" s="2" t="inlineStr"/>
    </row>
    <row r="173" ht="15" customHeight="1">
      <c r="A173" t="inlineStr">
        <is>
          <t>A 58397-2023</t>
        </is>
      </c>
      <c r="B173" t="inlineStr">
        <is>
          <t>avverkningsanmälan</t>
        </is>
      </c>
      <c r="C173" t="inlineStr">
        <is>
          <t>Avverkning för att bevara och utveckla /försöksver</t>
        </is>
      </c>
      <c r="D173" s="1" t="n">
        <v>45250</v>
      </c>
      <c r="E173" s="1" t="n">
        <v>46223</v>
      </c>
      <c r="F173" t="inlineStr">
        <is>
          <t>DALARNAS LÄN</t>
        </is>
      </c>
      <c r="G173" t="inlineStr">
        <is>
          <t>SMEDJEBACKEN</t>
        </is>
      </c>
      <c r="I173" t="n">
        <v>2.8</v>
      </c>
      <c r="J173" t="n">
        <v>0</v>
      </c>
      <c r="K173" t="n">
        <v>0</v>
      </c>
      <c r="L173" t="n">
        <v>0</v>
      </c>
      <c r="M173" t="n">
        <v>0</v>
      </c>
      <c r="N173" t="n">
        <v>0</v>
      </c>
      <c r="O173" t="n">
        <v>0</v>
      </c>
      <c r="P173" t="n">
        <v>0</v>
      </c>
      <c r="Q173" t="n">
        <v>0</v>
      </c>
      <c r="R173" t="n">
        <v>0</v>
      </c>
      <c r="S173" t="n">
        <v>0</v>
      </c>
      <c r="T173" t="n">
        <v>0</v>
      </c>
      <c r="U173" s="2" t="inlineStr"/>
    </row>
    <row r="174" ht="15" customHeight="1">
      <c r="A174" t="inlineStr">
        <is>
          <t>A 29991-2023</t>
        </is>
      </c>
      <c r="B174" t="inlineStr">
        <is>
          <t>avverkningsanmälan</t>
        </is>
      </c>
      <c r="C174" t="inlineStr">
        <is>
          <t>Föryngringsavverkning</t>
        </is>
      </c>
      <c r="D174" s="1" t="n">
        <v>45109</v>
      </c>
      <c r="E174" s="1" t="n">
        <v>46223</v>
      </c>
      <c r="F174" t="inlineStr">
        <is>
          <t>DALARNAS LÄN</t>
        </is>
      </c>
      <c r="G174" t="inlineStr">
        <is>
          <t>SMEDJEBACKEN</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60922-2021</t>
        </is>
      </c>
      <c r="B175" t="inlineStr">
        <is>
          <t>avverkningsanmälan</t>
        </is>
      </c>
      <c r="C175" t="inlineStr">
        <is>
          <t>Föryngringsavverkning</t>
        </is>
      </c>
      <c r="D175" s="1" t="n">
        <v>44496</v>
      </c>
      <c r="E175" s="1" t="n">
        <v>46223</v>
      </c>
      <c r="F175" t="inlineStr">
        <is>
          <t>DALARNAS LÄN</t>
        </is>
      </c>
      <c r="G175" t="inlineStr">
        <is>
          <t>SMEDJEBACKEN</t>
        </is>
      </c>
      <c r="I175" t="n">
        <v>3.6</v>
      </c>
      <c r="J175" t="n">
        <v>0</v>
      </c>
      <c r="K175" t="n">
        <v>0</v>
      </c>
      <c r="L175" t="n">
        <v>0</v>
      </c>
      <c r="M175" t="n">
        <v>0</v>
      </c>
      <c r="N175" t="n">
        <v>0</v>
      </c>
      <c r="O175" t="n">
        <v>0</v>
      </c>
      <c r="P175" t="n">
        <v>0</v>
      </c>
      <c r="Q175" t="n">
        <v>0</v>
      </c>
      <c r="R175" t="n">
        <v>0</v>
      </c>
      <c r="S175" t="n">
        <v>0</v>
      </c>
      <c r="T175" t="n">
        <v>0</v>
      </c>
      <c r="U175" s="2" t="inlineStr"/>
    </row>
    <row r="176" ht="15" customHeight="1">
      <c r="A176" t="inlineStr">
        <is>
          <t>A 52780-2023</t>
        </is>
      </c>
      <c r="B176" t="inlineStr">
        <is>
          <t>avverkningsanmälan</t>
        </is>
      </c>
      <c r="C176" t="inlineStr">
        <is>
          <t>Föryngringsavverkning</t>
        </is>
      </c>
      <c r="D176" s="1" t="n">
        <v>45226</v>
      </c>
      <c r="E176" s="1" t="n">
        <v>46223</v>
      </c>
      <c r="F176" t="inlineStr">
        <is>
          <t>DALARNAS LÄN</t>
        </is>
      </c>
      <c r="G176" t="inlineStr">
        <is>
          <t>SMEDJEBACKEN</t>
        </is>
      </c>
      <c r="H176" t="inlineStr">
        <is>
          <t>Sveaskog</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25809-2024</t>
        </is>
      </c>
      <c r="B177" t="inlineStr">
        <is>
          <t>avverkningsanmälan</t>
        </is>
      </c>
      <c r="C177" t="inlineStr">
        <is>
          <t>Föryngringsavverkning</t>
        </is>
      </c>
      <c r="D177" s="1" t="n">
        <v>45467</v>
      </c>
      <c r="E177" s="1" t="n">
        <v>46223</v>
      </c>
      <c r="F177" t="inlineStr">
        <is>
          <t>DALARNAS LÄN</t>
        </is>
      </c>
      <c r="G177" t="inlineStr">
        <is>
          <t>SMEDJEBACKEN</t>
        </is>
      </c>
      <c r="H177" t="inlineStr">
        <is>
          <t>Sveaskog</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48716-2022</t>
        </is>
      </c>
      <c r="B178" t="inlineStr">
        <is>
          <t>avverkningsanmälan</t>
        </is>
      </c>
      <c r="C178" t="inlineStr">
        <is>
          <t>Föryngringsavverkning</t>
        </is>
      </c>
      <c r="D178" s="1" t="n">
        <v>44859</v>
      </c>
      <c r="E178" s="1" t="n">
        <v>46223</v>
      </c>
      <c r="F178" t="inlineStr">
        <is>
          <t>DALARNAS LÄN</t>
        </is>
      </c>
      <c r="G178" t="inlineStr">
        <is>
          <t>SMEDJEBACKEN</t>
        </is>
      </c>
      <c r="H178" t="inlineStr">
        <is>
          <t>Sveaskog</t>
        </is>
      </c>
      <c r="I178" t="n">
        <v>2.5</v>
      </c>
      <c r="J178" t="n">
        <v>0</v>
      </c>
      <c r="K178" t="n">
        <v>0</v>
      </c>
      <c r="L178" t="n">
        <v>0</v>
      </c>
      <c r="M178" t="n">
        <v>0</v>
      </c>
      <c r="N178" t="n">
        <v>0</v>
      </c>
      <c r="O178" t="n">
        <v>0</v>
      </c>
      <c r="P178" t="n">
        <v>0</v>
      </c>
      <c r="Q178" t="n">
        <v>0</v>
      </c>
      <c r="R178" t="n">
        <v>0</v>
      </c>
      <c r="S178" t="n">
        <v>0</v>
      </c>
      <c r="T178" t="n">
        <v>0</v>
      </c>
      <c r="U178" s="2" t="inlineStr"/>
    </row>
    <row r="179" ht="15" customHeight="1">
      <c r="A179" t="inlineStr">
        <is>
          <t>A 23645-2024</t>
        </is>
      </c>
      <c r="B179" t="inlineStr">
        <is>
          <t>avverkningsanmälan</t>
        </is>
      </c>
      <c r="C179" t="inlineStr">
        <is>
          <t>Föryngringsavverkning</t>
        </is>
      </c>
      <c r="D179" s="1" t="n">
        <v>45454</v>
      </c>
      <c r="E179" s="1" t="n">
        <v>46223</v>
      </c>
      <c r="F179" t="inlineStr">
        <is>
          <t>DALARNAS LÄN</t>
        </is>
      </c>
      <c r="G179" t="inlineStr">
        <is>
          <t>SMEDJEBACKEN</t>
        </is>
      </c>
      <c r="H179" t="inlineStr">
        <is>
          <t>Bergvik skog väst AB</t>
        </is>
      </c>
      <c r="I179" t="n">
        <v>8.6</v>
      </c>
      <c r="J179" t="n">
        <v>0</v>
      </c>
      <c r="K179" t="n">
        <v>0</v>
      </c>
      <c r="L179" t="n">
        <v>0</v>
      </c>
      <c r="M179" t="n">
        <v>0</v>
      </c>
      <c r="N179" t="n">
        <v>0</v>
      </c>
      <c r="O179" t="n">
        <v>0</v>
      </c>
      <c r="P179" t="n">
        <v>0</v>
      </c>
      <c r="Q179" t="n">
        <v>0</v>
      </c>
      <c r="R179" t="n">
        <v>0</v>
      </c>
      <c r="S179" t="n">
        <v>0</v>
      </c>
      <c r="T179" t="n">
        <v>0</v>
      </c>
      <c r="U179" s="2" t="inlineStr"/>
    </row>
    <row r="180" ht="15" customHeight="1">
      <c r="A180" t="inlineStr">
        <is>
          <t>A 25125-2024</t>
        </is>
      </c>
      <c r="B180" t="inlineStr">
        <is>
          <t>avverkningsanmälan</t>
        </is>
      </c>
      <c r="C180" t="inlineStr">
        <is>
          <t>Föryngringsavverkning</t>
        </is>
      </c>
      <c r="D180" s="1" t="n">
        <v>45462</v>
      </c>
      <c r="E180" s="1" t="n">
        <v>46223</v>
      </c>
      <c r="F180" t="inlineStr">
        <is>
          <t>DALARNAS LÄN</t>
        </is>
      </c>
      <c r="G180" t="inlineStr">
        <is>
          <t>SMEDJEBACKEN</t>
        </is>
      </c>
      <c r="I180" t="n">
        <v>4.4</v>
      </c>
      <c r="J180" t="n">
        <v>0</v>
      </c>
      <c r="K180" t="n">
        <v>0</v>
      </c>
      <c r="L180" t="n">
        <v>0</v>
      </c>
      <c r="M180" t="n">
        <v>0</v>
      </c>
      <c r="N180" t="n">
        <v>0</v>
      </c>
      <c r="O180" t="n">
        <v>0</v>
      </c>
      <c r="P180" t="n">
        <v>0</v>
      </c>
      <c r="Q180" t="n">
        <v>0</v>
      </c>
      <c r="R180" t="n">
        <v>0</v>
      </c>
      <c r="S180" t="n">
        <v>0</v>
      </c>
      <c r="T180" t="n">
        <v>0</v>
      </c>
      <c r="U180" s="2" t="inlineStr"/>
    </row>
    <row r="181" ht="15" customHeight="1">
      <c r="A181" t="inlineStr">
        <is>
          <t>A 15360-2023</t>
        </is>
      </c>
      <c r="B181" t="inlineStr">
        <is>
          <t>avverkningsanmälan</t>
        </is>
      </c>
      <c r="C181" t="inlineStr">
        <is>
          <t>Föryngringsavverkning</t>
        </is>
      </c>
      <c r="D181" s="1" t="n">
        <v>45019</v>
      </c>
      <c r="E181" s="1" t="n">
        <v>46223</v>
      </c>
      <c r="F181" t="inlineStr">
        <is>
          <t>DALARNAS LÄN</t>
        </is>
      </c>
      <c r="G181" t="inlineStr">
        <is>
          <t>SMEDJEBACKEN</t>
        </is>
      </c>
      <c r="I181" t="n">
        <v>1.3</v>
      </c>
      <c r="J181" t="n">
        <v>0</v>
      </c>
      <c r="K181" t="n">
        <v>0</v>
      </c>
      <c r="L181" t="n">
        <v>0</v>
      </c>
      <c r="M181" t="n">
        <v>0</v>
      </c>
      <c r="N181" t="n">
        <v>0</v>
      </c>
      <c r="O181" t="n">
        <v>0</v>
      </c>
      <c r="P181" t="n">
        <v>0</v>
      </c>
      <c r="Q181" t="n">
        <v>0</v>
      </c>
      <c r="R181" t="n">
        <v>0</v>
      </c>
      <c r="S181" t="n">
        <v>0</v>
      </c>
      <c r="T181" t="n">
        <v>0</v>
      </c>
      <c r="U181" s="2" t="inlineStr"/>
    </row>
    <row r="182" ht="15" customHeight="1">
      <c r="A182" t="inlineStr">
        <is>
          <t>A 34039-2023</t>
        </is>
      </c>
      <c r="B182" t="inlineStr">
        <is>
          <t>avverkningsanmälan</t>
        </is>
      </c>
      <c r="C182" t="inlineStr">
        <is>
          <t>Föryngringsavverkning</t>
        </is>
      </c>
      <c r="D182" s="1" t="n">
        <v>45125</v>
      </c>
      <c r="E182" s="1" t="n">
        <v>46223</v>
      </c>
      <c r="F182" t="inlineStr">
        <is>
          <t>DALARNAS LÄN</t>
        </is>
      </c>
      <c r="G182" t="inlineStr">
        <is>
          <t>SMEDJEBACKEN</t>
        </is>
      </c>
      <c r="I182" t="n">
        <v>2</v>
      </c>
      <c r="J182" t="n">
        <v>0</v>
      </c>
      <c r="K182" t="n">
        <v>0</v>
      </c>
      <c r="L182" t="n">
        <v>0</v>
      </c>
      <c r="M182" t="n">
        <v>0</v>
      </c>
      <c r="N182" t="n">
        <v>0</v>
      </c>
      <c r="O182" t="n">
        <v>0</v>
      </c>
      <c r="P182" t="n">
        <v>0</v>
      </c>
      <c r="Q182" t="n">
        <v>0</v>
      </c>
      <c r="R182" t="n">
        <v>0</v>
      </c>
      <c r="S182" t="n">
        <v>0</v>
      </c>
      <c r="T182" t="n">
        <v>0</v>
      </c>
      <c r="U182" s="2" t="inlineStr"/>
    </row>
    <row r="183" ht="15" customHeight="1">
      <c r="A183" t="inlineStr">
        <is>
          <t>A 57146-2022</t>
        </is>
      </c>
      <c r="B183" t="inlineStr">
        <is>
          <t>avverkningsanmälan</t>
        </is>
      </c>
      <c r="C183" t="inlineStr">
        <is>
          <t>Föryngringsavverkning</t>
        </is>
      </c>
      <c r="D183" s="1" t="n">
        <v>44895</v>
      </c>
      <c r="E183" s="1" t="n">
        <v>46223</v>
      </c>
      <c r="F183" t="inlineStr">
        <is>
          <t>DALARNAS LÄN</t>
        </is>
      </c>
      <c r="G183" t="inlineStr">
        <is>
          <t>SMEDJEBACKEN</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29530-2024</t>
        </is>
      </c>
      <c r="B184" t="inlineStr">
        <is>
          <t>avverkningsanmälan</t>
        </is>
      </c>
      <c r="C184" t="inlineStr">
        <is>
          <t>Föryngringsavverkning</t>
        </is>
      </c>
      <c r="D184" s="1" t="n">
        <v>45484</v>
      </c>
      <c r="E184" s="1" t="n">
        <v>46223</v>
      </c>
      <c r="F184" t="inlineStr">
        <is>
          <t>DALARNAS LÄN</t>
        </is>
      </c>
      <c r="G184" t="inlineStr">
        <is>
          <t>SMEDJEBACKEN</t>
        </is>
      </c>
      <c r="I184" t="n">
        <v>4</v>
      </c>
      <c r="J184" t="n">
        <v>0</v>
      </c>
      <c r="K184" t="n">
        <v>0</v>
      </c>
      <c r="L184" t="n">
        <v>0</v>
      </c>
      <c r="M184" t="n">
        <v>0</v>
      </c>
      <c r="N184" t="n">
        <v>0</v>
      </c>
      <c r="O184" t="n">
        <v>0</v>
      </c>
      <c r="P184" t="n">
        <v>0</v>
      </c>
      <c r="Q184" t="n">
        <v>0</v>
      </c>
      <c r="R184" t="n">
        <v>0</v>
      </c>
      <c r="S184" t="n">
        <v>0</v>
      </c>
      <c r="T184" t="n">
        <v>0</v>
      </c>
      <c r="U184" s="2" t="inlineStr"/>
    </row>
    <row r="185" ht="15" customHeight="1">
      <c r="A185" t="inlineStr">
        <is>
          <t>A 28251-2024</t>
        </is>
      </c>
      <c r="B185" t="inlineStr">
        <is>
          <t>avverkningsanmälan</t>
        </is>
      </c>
      <c r="C185" t="inlineStr">
        <is>
          <t>Föryngringsavverkning</t>
        </is>
      </c>
      <c r="D185" s="1" t="n">
        <v>45477</v>
      </c>
      <c r="E185" s="1" t="n">
        <v>46223</v>
      </c>
      <c r="F185" t="inlineStr">
        <is>
          <t>DALARNAS LÄN</t>
        </is>
      </c>
      <c r="G185" t="inlineStr">
        <is>
          <t>SMEDJEBACKEN</t>
        </is>
      </c>
      <c r="H185" t="inlineStr">
        <is>
          <t>Sveaskog</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54260-2022</t>
        </is>
      </c>
      <c r="B186" t="inlineStr">
        <is>
          <t>avverkningsanmälan</t>
        </is>
      </c>
      <c r="C186" t="inlineStr">
        <is>
          <t>Föryngringsavverkning</t>
        </is>
      </c>
      <c r="D186" s="1" t="n">
        <v>44882</v>
      </c>
      <c r="E186" s="1" t="n">
        <v>46223</v>
      </c>
      <c r="F186" t="inlineStr">
        <is>
          <t>DALARNAS LÄN</t>
        </is>
      </c>
      <c r="G186" t="inlineStr">
        <is>
          <t>SMEDJEBACKEN</t>
        </is>
      </c>
      <c r="H186" t="inlineStr">
        <is>
          <t>Kyrkan</t>
        </is>
      </c>
      <c r="I186" t="n">
        <v>2.9</v>
      </c>
      <c r="J186" t="n">
        <v>0</v>
      </c>
      <c r="K186" t="n">
        <v>0</v>
      </c>
      <c r="L186" t="n">
        <v>0</v>
      </c>
      <c r="M186" t="n">
        <v>0</v>
      </c>
      <c r="N186" t="n">
        <v>0</v>
      </c>
      <c r="O186" t="n">
        <v>0</v>
      </c>
      <c r="P186" t="n">
        <v>0</v>
      </c>
      <c r="Q186" t="n">
        <v>0</v>
      </c>
      <c r="R186" t="n">
        <v>0</v>
      </c>
      <c r="S186" t="n">
        <v>0</v>
      </c>
      <c r="T186" t="n">
        <v>0</v>
      </c>
      <c r="U186" s="2" t="inlineStr"/>
    </row>
    <row r="187" ht="15" customHeight="1">
      <c r="A187" t="inlineStr">
        <is>
          <t>A 22367-2024</t>
        </is>
      </c>
      <c r="B187" t="inlineStr">
        <is>
          <t>avverkningsanmälan</t>
        </is>
      </c>
      <c r="C187" t="inlineStr">
        <is>
          <t>Föryngringsavverkning</t>
        </is>
      </c>
      <c r="D187" s="1" t="n">
        <v>45446</v>
      </c>
      <c r="E187" s="1" t="n">
        <v>46223</v>
      </c>
      <c r="F187" t="inlineStr">
        <is>
          <t>DALARNAS LÄN</t>
        </is>
      </c>
      <c r="G187" t="inlineStr">
        <is>
          <t>SMEDJEBACKEN</t>
        </is>
      </c>
      <c r="I187" t="n">
        <v>5</v>
      </c>
      <c r="J187" t="n">
        <v>0</v>
      </c>
      <c r="K187" t="n">
        <v>0</v>
      </c>
      <c r="L187" t="n">
        <v>0</v>
      </c>
      <c r="M187" t="n">
        <v>0</v>
      </c>
      <c r="N187" t="n">
        <v>0</v>
      </c>
      <c r="O187" t="n">
        <v>0</v>
      </c>
      <c r="P187" t="n">
        <v>0</v>
      </c>
      <c r="Q187" t="n">
        <v>0</v>
      </c>
      <c r="R187" t="n">
        <v>0</v>
      </c>
      <c r="S187" t="n">
        <v>0</v>
      </c>
      <c r="T187" t="n">
        <v>0</v>
      </c>
      <c r="U187" s="2" t="inlineStr"/>
    </row>
    <row r="188" ht="15" customHeight="1">
      <c r="A188" t="inlineStr">
        <is>
          <t>A 56305-2021</t>
        </is>
      </c>
      <c r="B188" t="inlineStr">
        <is>
          <t>avverkningsanmälan</t>
        </is>
      </c>
      <c r="C188" t="inlineStr">
        <is>
          <t>Föryngringsavverkning</t>
        </is>
      </c>
      <c r="D188" s="1" t="n">
        <v>44477</v>
      </c>
      <c r="E188" s="1" t="n">
        <v>46223</v>
      </c>
      <c r="F188" t="inlineStr">
        <is>
          <t>DALARNAS LÄN</t>
        </is>
      </c>
      <c r="G188" t="inlineStr">
        <is>
          <t>SMEDJEBACKEN</t>
        </is>
      </c>
      <c r="H188" t="inlineStr">
        <is>
          <t>Bergvik skog väst AB</t>
        </is>
      </c>
      <c r="I188" t="n">
        <v>14.2</v>
      </c>
      <c r="J188" t="n">
        <v>0</v>
      </c>
      <c r="K188" t="n">
        <v>0</v>
      </c>
      <c r="L188" t="n">
        <v>0</v>
      </c>
      <c r="M188" t="n">
        <v>0</v>
      </c>
      <c r="N188" t="n">
        <v>0</v>
      </c>
      <c r="O188" t="n">
        <v>0</v>
      </c>
      <c r="P188" t="n">
        <v>0</v>
      </c>
      <c r="Q188" t="n">
        <v>0</v>
      </c>
      <c r="R188" t="n">
        <v>0</v>
      </c>
      <c r="S188" t="n">
        <v>0</v>
      </c>
      <c r="T188" t="n">
        <v>0</v>
      </c>
      <c r="U188" s="2" t="inlineStr"/>
    </row>
    <row r="189" ht="15" customHeight="1">
      <c r="A189" t="inlineStr">
        <is>
          <t>A 14462-2023</t>
        </is>
      </c>
      <c r="B189" t="inlineStr">
        <is>
          <t>avverkningsanmälan</t>
        </is>
      </c>
      <c r="C189" t="inlineStr">
        <is>
          <t>Föryngringsavverkning</t>
        </is>
      </c>
      <c r="D189" s="1" t="n">
        <v>45012</v>
      </c>
      <c r="E189" s="1" t="n">
        <v>46223</v>
      </c>
      <c r="F189" t="inlineStr">
        <is>
          <t>DALARNAS LÄN</t>
        </is>
      </c>
      <c r="G189" t="inlineStr">
        <is>
          <t>SMEDJEBACKEN</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37046-2023</t>
        </is>
      </c>
      <c r="B190" t="inlineStr">
        <is>
          <t>avverkningsanmälan</t>
        </is>
      </c>
      <c r="C190" t="inlineStr">
        <is>
          <t>Föryngringsavverkning</t>
        </is>
      </c>
      <c r="D190" s="1" t="n">
        <v>45154</v>
      </c>
      <c r="E190" s="1" t="n">
        <v>46223</v>
      </c>
      <c r="F190" t="inlineStr">
        <is>
          <t>DALARNAS LÄN</t>
        </is>
      </c>
      <c r="G190" t="inlineStr">
        <is>
          <t>SMEDJEBACKEN</t>
        </is>
      </c>
      <c r="I190" t="n">
        <v>21.9</v>
      </c>
      <c r="J190" t="n">
        <v>0</v>
      </c>
      <c r="K190" t="n">
        <v>0</v>
      </c>
      <c r="L190" t="n">
        <v>0</v>
      </c>
      <c r="M190" t="n">
        <v>0</v>
      </c>
      <c r="N190" t="n">
        <v>0</v>
      </c>
      <c r="O190" t="n">
        <v>0</v>
      </c>
      <c r="P190" t="n">
        <v>0</v>
      </c>
      <c r="Q190" t="n">
        <v>0</v>
      </c>
      <c r="R190" t="n">
        <v>0</v>
      </c>
      <c r="S190" t="n">
        <v>0</v>
      </c>
      <c r="T190" t="n">
        <v>0</v>
      </c>
      <c r="U190" s="2" t="inlineStr"/>
    </row>
    <row r="191" ht="15" customHeight="1">
      <c r="A191" t="inlineStr">
        <is>
          <t>A 29120-2024</t>
        </is>
      </c>
      <c r="B191" t="inlineStr">
        <is>
          <t>avverkningsanmälan</t>
        </is>
      </c>
      <c r="C191" t="inlineStr">
        <is>
          <t>Föryngringsavverkning</t>
        </is>
      </c>
      <c r="D191" s="1" t="n">
        <v>45481</v>
      </c>
      <c r="E191" s="1" t="n">
        <v>46223</v>
      </c>
      <c r="F191" t="inlineStr">
        <is>
          <t>DALARNAS LÄN</t>
        </is>
      </c>
      <c r="G191" t="inlineStr">
        <is>
          <t>SMEDJEBACKEN</t>
        </is>
      </c>
      <c r="I191" t="n">
        <v>4.1</v>
      </c>
      <c r="J191" t="n">
        <v>0</v>
      </c>
      <c r="K191" t="n">
        <v>0</v>
      </c>
      <c r="L191" t="n">
        <v>0</v>
      </c>
      <c r="M191" t="n">
        <v>0</v>
      </c>
      <c r="N191" t="n">
        <v>0</v>
      </c>
      <c r="O191" t="n">
        <v>0</v>
      </c>
      <c r="P191" t="n">
        <v>0</v>
      </c>
      <c r="Q191" t="n">
        <v>0</v>
      </c>
      <c r="R191" t="n">
        <v>0</v>
      </c>
      <c r="S191" t="n">
        <v>0</v>
      </c>
      <c r="T191" t="n">
        <v>0</v>
      </c>
      <c r="U191" s="2" t="inlineStr"/>
    </row>
    <row r="192" ht="15" customHeight="1">
      <c r="A192" t="inlineStr">
        <is>
          <t>A 18096-2024</t>
        </is>
      </c>
      <c r="B192" t="inlineStr">
        <is>
          <t>avverkningsanmälan</t>
        </is>
      </c>
      <c r="C192" t="inlineStr">
        <is>
          <t>Föryngringsavverkning</t>
        </is>
      </c>
      <c r="D192" s="1" t="n">
        <v>45420</v>
      </c>
      <c r="E192" s="1" t="n">
        <v>46223</v>
      </c>
      <c r="F192" t="inlineStr">
        <is>
          <t>DALARNAS LÄN</t>
        </is>
      </c>
      <c r="G192" t="inlineStr">
        <is>
          <t>SMEDJEBACKEN</t>
        </is>
      </c>
      <c r="H192" t="inlineStr">
        <is>
          <t>Sveaskog</t>
        </is>
      </c>
      <c r="I192" t="n">
        <v>4.9</v>
      </c>
      <c r="J192" t="n">
        <v>0</v>
      </c>
      <c r="K192" t="n">
        <v>0</v>
      </c>
      <c r="L192" t="n">
        <v>0</v>
      </c>
      <c r="M192" t="n">
        <v>0</v>
      </c>
      <c r="N192" t="n">
        <v>0</v>
      </c>
      <c r="O192" t="n">
        <v>0</v>
      </c>
      <c r="P192" t="n">
        <v>0</v>
      </c>
      <c r="Q192" t="n">
        <v>0</v>
      </c>
      <c r="R192" t="n">
        <v>0</v>
      </c>
      <c r="S192" t="n">
        <v>0</v>
      </c>
      <c r="T192" t="n">
        <v>0</v>
      </c>
      <c r="U192" s="2" t="inlineStr"/>
    </row>
    <row r="193" ht="15" customHeight="1">
      <c r="A193" t="inlineStr">
        <is>
          <t>A 60049-2022</t>
        </is>
      </c>
      <c r="B193" t="inlineStr">
        <is>
          <t>avverkningsanmälan</t>
        </is>
      </c>
      <c r="C193" t="inlineStr">
        <is>
          <t>Föryngringsavverkning</t>
        </is>
      </c>
      <c r="D193" s="1" t="n">
        <v>44909</v>
      </c>
      <c r="E193" s="1" t="n">
        <v>46223</v>
      </c>
      <c r="F193" t="inlineStr">
        <is>
          <t>DALARNAS LÄN</t>
        </is>
      </c>
      <c r="G193" t="inlineStr">
        <is>
          <t>SMEDJEBACKEN</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11100-2024</t>
        </is>
      </c>
      <c r="B194" t="inlineStr">
        <is>
          <t>avverkningsanmälan</t>
        </is>
      </c>
      <c r="C194" t="inlineStr">
        <is>
          <t>Föryngringsavverkning</t>
        </is>
      </c>
      <c r="D194" s="1" t="n">
        <v>45371</v>
      </c>
      <c r="E194" s="1" t="n">
        <v>46223</v>
      </c>
      <c r="F194" t="inlineStr">
        <is>
          <t>DALARNAS LÄN</t>
        </is>
      </c>
      <c r="G194" t="inlineStr">
        <is>
          <t>SMEDJEBACKEN</t>
        </is>
      </c>
      <c r="I194" t="n">
        <v>5.7</v>
      </c>
      <c r="J194" t="n">
        <v>0</v>
      </c>
      <c r="K194" t="n">
        <v>0</v>
      </c>
      <c r="L194" t="n">
        <v>0</v>
      </c>
      <c r="M194" t="n">
        <v>0</v>
      </c>
      <c r="N194" t="n">
        <v>0</v>
      </c>
      <c r="O194" t="n">
        <v>0</v>
      </c>
      <c r="P194" t="n">
        <v>0</v>
      </c>
      <c r="Q194" t="n">
        <v>0</v>
      </c>
      <c r="R194" t="n">
        <v>0</v>
      </c>
      <c r="S194" t="n">
        <v>0</v>
      </c>
      <c r="T194" t="n">
        <v>0</v>
      </c>
      <c r="U194" s="2" t="inlineStr"/>
    </row>
    <row r="195" ht="15" customHeight="1">
      <c r="A195" t="inlineStr">
        <is>
          <t>A 41480-2023</t>
        </is>
      </c>
      <c r="B195" t="inlineStr">
        <is>
          <t>avverkningsanmälan</t>
        </is>
      </c>
      <c r="C195" t="inlineStr">
        <is>
          <t>Föryngringsavverkning</t>
        </is>
      </c>
      <c r="D195" s="1" t="n">
        <v>45172</v>
      </c>
      <c r="E195" s="1" t="n">
        <v>46223</v>
      </c>
      <c r="F195" t="inlineStr">
        <is>
          <t>DALARNAS LÄN</t>
        </is>
      </c>
      <c r="G195" t="inlineStr">
        <is>
          <t>SMEDJEBACKEN</t>
        </is>
      </c>
      <c r="H195" t="inlineStr">
        <is>
          <t>Bergvik skog väst AB</t>
        </is>
      </c>
      <c r="I195" t="n">
        <v>9.699999999999999</v>
      </c>
      <c r="J195" t="n">
        <v>0</v>
      </c>
      <c r="K195" t="n">
        <v>0</v>
      </c>
      <c r="L195" t="n">
        <v>0</v>
      </c>
      <c r="M195" t="n">
        <v>0</v>
      </c>
      <c r="N195" t="n">
        <v>0</v>
      </c>
      <c r="O195" t="n">
        <v>0</v>
      </c>
      <c r="P195" t="n">
        <v>0</v>
      </c>
      <c r="Q195" t="n">
        <v>0</v>
      </c>
      <c r="R195" t="n">
        <v>0</v>
      </c>
      <c r="S195" t="n">
        <v>0</v>
      </c>
      <c r="T195" t="n">
        <v>0</v>
      </c>
      <c r="U195" s="2" t="inlineStr"/>
    </row>
    <row r="196" ht="15" customHeight="1">
      <c r="A196" t="inlineStr">
        <is>
          <t>A 26000-2025</t>
        </is>
      </c>
      <c r="B196" t="inlineStr">
        <is>
          <t>avverkningsanmälan</t>
        </is>
      </c>
      <c r="C196" t="inlineStr">
        <is>
          <t>Föryngringsavverkning</t>
        </is>
      </c>
      <c r="D196" s="1" t="n">
        <v>45804</v>
      </c>
      <c r="E196" s="1" t="n">
        <v>46223</v>
      </c>
      <c r="F196" t="inlineStr">
        <is>
          <t>DALARNAS LÄN</t>
        </is>
      </c>
      <c r="G196" t="inlineStr">
        <is>
          <t>SMEDJEBACKEN</t>
        </is>
      </c>
      <c r="H196" t="inlineStr">
        <is>
          <t>Bergvik skog väst AB</t>
        </is>
      </c>
      <c r="I196" t="n">
        <v>2.4</v>
      </c>
      <c r="J196" t="n">
        <v>0</v>
      </c>
      <c r="K196" t="n">
        <v>0</v>
      </c>
      <c r="L196" t="n">
        <v>0</v>
      </c>
      <c r="M196" t="n">
        <v>0</v>
      </c>
      <c r="N196" t="n">
        <v>0</v>
      </c>
      <c r="O196" t="n">
        <v>0</v>
      </c>
      <c r="P196" t="n">
        <v>0</v>
      </c>
      <c r="Q196" t="n">
        <v>0</v>
      </c>
      <c r="R196" t="n">
        <v>0</v>
      </c>
      <c r="S196" t="n">
        <v>0</v>
      </c>
      <c r="T196" t="n">
        <v>0</v>
      </c>
      <c r="U196" s="2" t="inlineStr"/>
    </row>
    <row r="197" ht="15" customHeight="1">
      <c r="A197" t="inlineStr">
        <is>
          <t>A 48527-2023</t>
        </is>
      </c>
      <c r="B197" t="inlineStr">
        <is>
          <t>avverkningsanmälan</t>
        </is>
      </c>
      <c r="C197" t="inlineStr">
        <is>
          <t>Föryngringsavverkning</t>
        </is>
      </c>
      <c r="D197" s="1" t="n">
        <v>45208</v>
      </c>
      <c r="E197" s="1" t="n">
        <v>46223</v>
      </c>
      <c r="F197" t="inlineStr">
        <is>
          <t>DALARNAS LÄN</t>
        </is>
      </c>
      <c r="G197" t="inlineStr">
        <is>
          <t>SMEDJEBACKEN</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38477-2025</t>
        </is>
      </c>
      <c r="B198" t="inlineStr">
        <is>
          <t>avverkningsanmälan</t>
        </is>
      </c>
      <c r="C198" t="inlineStr">
        <is>
          <t>Föryngringsavverkning</t>
        </is>
      </c>
      <c r="D198" s="1" t="n">
        <v>45884</v>
      </c>
      <c r="E198" s="1" t="n">
        <v>46223</v>
      </c>
      <c r="F198" t="inlineStr">
        <is>
          <t>DALARNAS LÄN</t>
        </is>
      </c>
      <c r="G198" t="inlineStr">
        <is>
          <t>SMEDJEBACKEN</t>
        </is>
      </c>
      <c r="I198" t="n">
        <v>0.7</v>
      </c>
      <c r="J198" t="n">
        <v>0</v>
      </c>
      <c r="K198" t="n">
        <v>0</v>
      </c>
      <c r="L198" t="n">
        <v>0</v>
      </c>
      <c r="M198" t="n">
        <v>0</v>
      </c>
      <c r="N198" t="n">
        <v>0</v>
      </c>
      <c r="O198" t="n">
        <v>0</v>
      </c>
      <c r="P198" t="n">
        <v>0</v>
      </c>
      <c r="Q198" t="n">
        <v>0</v>
      </c>
      <c r="R198" t="n">
        <v>0</v>
      </c>
      <c r="S198" t="n">
        <v>0</v>
      </c>
      <c r="T198" t="n">
        <v>0</v>
      </c>
      <c r="U198" s="2" t="inlineStr"/>
    </row>
    <row r="199" ht="15" customHeight="1">
      <c r="A199" t="inlineStr">
        <is>
          <t>A 60683-2024</t>
        </is>
      </c>
      <c r="B199" t="inlineStr">
        <is>
          <t>avverkningsanmälan</t>
        </is>
      </c>
      <c r="C199" t="inlineStr">
        <is>
          <t>Föryngringsavverkning</t>
        </is>
      </c>
      <c r="D199" s="1" t="n">
        <v>45644</v>
      </c>
      <c r="E199" s="1" t="n">
        <v>46223</v>
      </c>
      <c r="F199" t="inlineStr">
        <is>
          <t>DALARNAS LÄN</t>
        </is>
      </c>
      <c r="G199" t="inlineStr">
        <is>
          <t>SMEDJEBACKEN</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15786-2023</t>
        </is>
      </c>
      <c r="B200" t="inlineStr">
        <is>
          <t>avverkningsanmälan</t>
        </is>
      </c>
      <c r="C200" t="inlineStr">
        <is>
          <t>Föryngringsavverkning</t>
        </is>
      </c>
      <c r="D200" s="1" t="n">
        <v>45021</v>
      </c>
      <c r="E200" s="1" t="n">
        <v>46223</v>
      </c>
      <c r="F200" t="inlineStr">
        <is>
          <t>DALARNAS LÄN</t>
        </is>
      </c>
      <c r="G200" t="inlineStr">
        <is>
          <t>SMEDJEBACKEN</t>
        </is>
      </c>
      <c r="H200" t="inlineStr">
        <is>
          <t>Kommuner</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53982-2024</t>
        </is>
      </c>
      <c r="B201" t="inlineStr">
        <is>
          <t>avverkningsanmälan</t>
        </is>
      </c>
      <c r="C201" t="inlineStr">
        <is>
          <t>Föryngringsavverkning</t>
        </is>
      </c>
      <c r="D201" s="1" t="n">
        <v>45615</v>
      </c>
      <c r="E201" s="1" t="n">
        <v>46223</v>
      </c>
      <c r="F201" t="inlineStr">
        <is>
          <t>DALARNAS LÄN</t>
        </is>
      </c>
      <c r="G201" t="inlineStr">
        <is>
          <t>SMEDJEBACKEN</t>
        </is>
      </c>
      <c r="H201" t="inlineStr">
        <is>
          <t>Bergvik skog väst AB</t>
        </is>
      </c>
      <c r="I201" t="n">
        <v>10</v>
      </c>
      <c r="J201" t="n">
        <v>0</v>
      </c>
      <c r="K201" t="n">
        <v>0</v>
      </c>
      <c r="L201" t="n">
        <v>0</v>
      </c>
      <c r="M201" t="n">
        <v>0</v>
      </c>
      <c r="N201" t="n">
        <v>0</v>
      </c>
      <c r="O201" t="n">
        <v>0</v>
      </c>
      <c r="P201" t="n">
        <v>0</v>
      </c>
      <c r="Q201" t="n">
        <v>0</v>
      </c>
      <c r="R201" t="n">
        <v>0</v>
      </c>
      <c r="S201" t="n">
        <v>0</v>
      </c>
      <c r="T201" t="n">
        <v>0</v>
      </c>
      <c r="U201" s="2" t="inlineStr"/>
    </row>
    <row r="202" ht="15" customHeight="1">
      <c r="A202" t="inlineStr">
        <is>
          <t>A 30384-2024</t>
        </is>
      </c>
      <c r="B202" t="inlineStr">
        <is>
          <t>avverkningsanmälan</t>
        </is>
      </c>
      <c r="C202" t="inlineStr">
        <is>
          <t>Föryngringsavverkning</t>
        </is>
      </c>
      <c r="D202" s="1" t="n">
        <v>45490</v>
      </c>
      <c r="E202" s="1" t="n">
        <v>46223</v>
      </c>
      <c r="F202" t="inlineStr">
        <is>
          <t>DALARNAS LÄN</t>
        </is>
      </c>
      <c r="G202" t="inlineStr">
        <is>
          <t>SMEDJEBACKEN</t>
        </is>
      </c>
      <c r="I202" t="n">
        <v>8.4</v>
      </c>
      <c r="J202" t="n">
        <v>0</v>
      </c>
      <c r="K202" t="n">
        <v>0</v>
      </c>
      <c r="L202" t="n">
        <v>0</v>
      </c>
      <c r="M202" t="n">
        <v>0</v>
      </c>
      <c r="N202" t="n">
        <v>0</v>
      </c>
      <c r="O202" t="n">
        <v>0</v>
      </c>
      <c r="P202" t="n">
        <v>0</v>
      </c>
      <c r="Q202" t="n">
        <v>0</v>
      </c>
      <c r="R202" t="n">
        <v>0</v>
      </c>
      <c r="S202" t="n">
        <v>0</v>
      </c>
      <c r="T202" t="n">
        <v>0</v>
      </c>
      <c r="U202" s="2" t="inlineStr"/>
    </row>
    <row r="203" ht="15" customHeight="1">
      <c r="A203" t="inlineStr">
        <is>
          <t>A 18830-2025</t>
        </is>
      </c>
      <c r="B203" t="inlineStr">
        <is>
          <t>avverkningsanmälan</t>
        </is>
      </c>
      <c r="C203" t="inlineStr">
        <is>
          <t>Föryngringsavverkning</t>
        </is>
      </c>
      <c r="D203" s="1" t="n">
        <v>45764</v>
      </c>
      <c r="E203" s="1" t="n">
        <v>46223</v>
      </c>
      <c r="F203" t="inlineStr">
        <is>
          <t>DALARNAS LÄN</t>
        </is>
      </c>
      <c r="G203" t="inlineStr">
        <is>
          <t>SMEDJEBACKEN</t>
        </is>
      </c>
      <c r="I203" t="n">
        <v>2.3</v>
      </c>
      <c r="J203" t="n">
        <v>0</v>
      </c>
      <c r="K203" t="n">
        <v>0</v>
      </c>
      <c r="L203" t="n">
        <v>0</v>
      </c>
      <c r="M203" t="n">
        <v>0</v>
      </c>
      <c r="N203" t="n">
        <v>0</v>
      </c>
      <c r="O203" t="n">
        <v>0</v>
      </c>
      <c r="P203" t="n">
        <v>0</v>
      </c>
      <c r="Q203" t="n">
        <v>0</v>
      </c>
      <c r="R203" t="n">
        <v>0</v>
      </c>
      <c r="S203" t="n">
        <v>0</v>
      </c>
      <c r="T203" t="n">
        <v>0</v>
      </c>
      <c r="U203" s="2" t="inlineStr"/>
    </row>
    <row r="204" ht="15" customHeight="1">
      <c r="A204" t="inlineStr">
        <is>
          <t>A 38768-2025</t>
        </is>
      </c>
      <c r="B204" t="inlineStr">
        <is>
          <t>avverkningsanmälan</t>
        </is>
      </c>
      <c r="C204" t="inlineStr">
        <is>
          <t>Föryngringsavverkning</t>
        </is>
      </c>
      <c r="D204" s="1" t="n">
        <v>45887</v>
      </c>
      <c r="E204" s="1" t="n">
        <v>46223</v>
      </c>
      <c r="F204" t="inlineStr">
        <is>
          <t>DALARNAS LÄN</t>
        </is>
      </c>
      <c r="G204" t="inlineStr">
        <is>
          <t>SMEDJEBACKEN</t>
        </is>
      </c>
      <c r="H204" t="inlineStr">
        <is>
          <t>Sveaskog</t>
        </is>
      </c>
      <c r="I204" t="n">
        <v>1.7</v>
      </c>
      <c r="J204" t="n">
        <v>0</v>
      </c>
      <c r="K204" t="n">
        <v>0</v>
      </c>
      <c r="L204" t="n">
        <v>0</v>
      </c>
      <c r="M204" t="n">
        <v>0</v>
      </c>
      <c r="N204" t="n">
        <v>0</v>
      </c>
      <c r="O204" t="n">
        <v>0</v>
      </c>
      <c r="P204" t="n">
        <v>0</v>
      </c>
      <c r="Q204" t="n">
        <v>0</v>
      </c>
      <c r="R204" t="n">
        <v>0</v>
      </c>
      <c r="S204" t="n">
        <v>0</v>
      </c>
      <c r="T204" t="n">
        <v>0</v>
      </c>
      <c r="U204" s="2" t="inlineStr"/>
    </row>
    <row r="205" ht="15" customHeight="1">
      <c r="A205" t="inlineStr">
        <is>
          <t>A 41569-2023</t>
        </is>
      </c>
      <c r="B205" t="inlineStr">
        <is>
          <t>avverkningsanmälan</t>
        </is>
      </c>
      <c r="C205" t="inlineStr">
        <is>
          <t>Föryngringsavverkning</t>
        </is>
      </c>
      <c r="D205" s="1" t="n">
        <v>45175</v>
      </c>
      <c r="E205" s="1" t="n">
        <v>46223</v>
      </c>
      <c r="F205" t="inlineStr">
        <is>
          <t>DALARNAS LÄN</t>
        </is>
      </c>
      <c r="G205" t="inlineStr">
        <is>
          <t>SMEDJEBACKEN</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60762-2022</t>
        </is>
      </c>
      <c r="B206" t="inlineStr">
        <is>
          <t>avverkningsanmälan</t>
        </is>
      </c>
      <c r="C206" t="inlineStr">
        <is>
          <t>Föryngringsavverkning</t>
        </is>
      </c>
      <c r="D206" s="1" t="n">
        <v>44914</v>
      </c>
      <c r="E206" s="1" t="n">
        <v>46223</v>
      </c>
      <c r="F206" t="inlineStr">
        <is>
          <t>DALARNAS LÄN</t>
        </is>
      </c>
      <c r="G206" t="inlineStr">
        <is>
          <t>SMEDJEBACKEN</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60764-2022</t>
        </is>
      </c>
      <c r="B207" t="inlineStr">
        <is>
          <t>avverkningsanmälan</t>
        </is>
      </c>
      <c r="C207" t="inlineStr">
        <is>
          <t>Föryngringsavverkning</t>
        </is>
      </c>
      <c r="D207" s="1" t="n">
        <v>44914</v>
      </c>
      <c r="E207" s="1" t="n">
        <v>46223</v>
      </c>
      <c r="F207" t="inlineStr">
        <is>
          <t>DALARNAS LÄN</t>
        </is>
      </c>
      <c r="G207" t="inlineStr">
        <is>
          <t>SMEDJEBACKEN</t>
        </is>
      </c>
      <c r="I207" t="n">
        <v>2</v>
      </c>
      <c r="J207" t="n">
        <v>0</v>
      </c>
      <c r="K207" t="n">
        <v>0</v>
      </c>
      <c r="L207" t="n">
        <v>0</v>
      </c>
      <c r="M207" t="n">
        <v>0</v>
      </c>
      <c r="N207" t="n">
        <v>0</v>
      </c>
      <c r="O207" t="n">
        <v>0</v>
      </c>
      <c r="P207" t="n">
        <v>0</v>
      </c>
      <c r="Q207" t="n">
        <v>0</v>
      </c>
      <c r="R207" t="n">
        <v>0</v>
      </c>
      <c r="S207" t="n">
        <v>0</v>
      </c>
      <c r="T207" t="n">
        <v>0</v>
      </c>
      <c r="U207" s="2" t="inlineStr"/>
    </row>
    <row r="208" ht="15" customHeight="1">
      <c r="A208" t="inlineStr">
        <is>
          <t>A 26439-2024</t>
        </is>
      </c>
      <c r="B208" t="inlineStr">
        <is>
          <t>avverkningsanmälan</t>
        </is>
      </c>
      <c r="C208" t="inlineStr">
        <is>
          <t>Föryngringsavverkning</t>
        </is>
      </c>
      <c r="D208" s="1" t="n">
        <v>45469</v>
      </c>
      <c r="E208" s="1" t="n">
        <v>46223</v>
      </c>
      <c r="F208" t="inlineStr">
        <is>
          <t>DALARNAS LÄN</t>
        </is>
      </c>
      <c r="G208" t="inlineStr">
        <is>
          <t>SMEDJEBACKEN</t>
        </is>
      </c>
      <c r="H208" t="inlineStr">
        <is>
          <t>Bergvik skog väst AB</t>
        </is>
      </c>
      <c r="I208" t="n">
        <v>3.5</v>
      </c>
      <c r="J208" t="n">
        <v>0</v>
      </c>
      <c r="K208" t="n">
        <v>0</v>
      </c>
      <c r="L208" t="n">
        <v>0</v>
      </c>
      <c r="M208" t="n">
        <v>0</v>
      </c>
      <c r="N208" t="n">
        <v>0</v>
      </c>
      <c r="O208" t="n">
        <v>0</v>
      </c>
      <c r="P208" t="n">
        <v>0</v>
      </c>
      <c r="Q208" t="n">
        <v>0</v>
      </c>
      <c r="R208" t="n">
        <v>0</v>
      </c>
      <c r="S208" t="n">
        <v>0</v>
      </c>
      <c r="T208" t="n">
        <v>0</v>
      </c>
      <c r="U208" s="2" t="inlineStr"/>
    </row>
    <row r="209" ht="15" customHeight="1">
      <c r="A209" t="inlineStr">
        <is>
          <t>A 61541-2022</t>
        </is>
      </c>
      <c r="B209" t="inlineStr">
        <is>
          <t>avverkningsanmälan</t>
        </is>
      </c>
      <c r="C209" t="inlineStr">
        <is>
          <t>Föryngringsavverkning</t>
        </is>
      </c>
      <c r="D209" s="1" t="n">
        <v>44916</v>
      </c>
      <c r="E209" s="1" t="n">
        <v>46223</v>
      </c>
      <c r="F209" t="inlineStr">
        <is>
          <t>DALARNAS LÄN</t>
        </is>
      </c>
      <c r="G209" t="inlineStr">
        <is>
          <t>SMEDJEBACKEN</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39802-2025</t>
        </is>
      </c>
      <c r="B210" t="inlineStr">
        <is>
          <t>avverkningsanmälan</t>
        </is>
      </c>
      <c r="C210" t="inlineStr">
        <is>
          <t>Avverkning för att bevara och utveckla /försöksver</t>
        </is>
      </c>
      <c r="D210" s="1" t="n">
        <v>45891</v>
      </c>
      <c r="E210" s="1" t="n">
        <v>46223</v>
      </c>
      <c r="F210" t="inlineStr">
        <is>
          <t>DALARNAS LÄN</t>
        </is>
      </c>
      <c r="G210" t="inlineStr">
        <is>
          <t>SMEDJEBACKEN</t>
        </is>
      </c>
      <c r="H210" t="inlineStr">
        <is>
          <t>Sveaskog</t>
        </is>
      </c>
      <c r="I210" t="n">
        <v>1.2</v>
      </c>
      <c r="J210" t="n">
        <v>0</v>
      </c>
      <c r="K210" t="n">
        <v>0</v>
      </c>
      <c r="L210" t="n">
        <v>0</v>
      </c>
      <c r="M210" t="n">
        <v>0</v>
      </c>
      <c r="N210" t="n">
        <v>0</v>
      </c>
      <c r="O210" t="n">
        <v>0</v>
      </c>
      <c r="P210" t="n">
        <v>0</v>
      </c>
      <c r="Q210" t="n">
        <v>0</v>
      </c>
      <c r="R210" t="n">
        <v>0</v>
      </c>
      <c r="S210" t="n">
        <v>0</v>
      </c>
      <c r="T210" t="n">
        <v>0</v>
      </c>
      <c r="U210" s="2" t="inlineStr"/>
    </row>
    <row r="211" ht="15" customHeight="1">
      <c r="A211" t="inlineStr">
        <is>
          <t>A 39806-2025</t>
        </is>
      </c>
      <c r="B211" t="inlineStr">
        <is>
          <t>avverkningsanmälan</t>
        </is>
      </c>
      <c r="C211" t="inlineStr">
        <is>
          <t>Föryngringsavverkning</t>
        </is>
      </c>
      <c r="D211" s="1" t="n">
        <v>45891</v>
      </c>
      <c r="E211" s="1" t="n">
        <v>46223</v>
      </c>
      <c r="F211" t="inlineStr">
        <is>
          <t>DALARNAS LÄN</t>
        </is>
      </c>
      <c r="G211" t="inlineStr">
        <is>
          <t>SMEDJEBACKEN</t>
        </is>
      </c>
      <c r="H211" t="inlineStr">
        <is>
          <t>Sveaskog</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39800-2025</t>
        </is>
      </c>
      <c r="B212" t="inlineStr">
        <is>
          <t>avverkningsanmälan</t>
        </is>
      </c>
      <c r="C212" t="inlineStr">
        <is>
          <t>Föryngringsavverkning</t>
        </is>
      </c>
      <c r="D212" s="1" t="n">
        <v>45891</v>
      </c>
      <c r="E212" s="1" t="n">
        <v>46223</v>
      </c>
      <c r="F212" t="inlineStr">
        <is>
          <t>DALARNAS LÄN</t>
        </is>
      </c>
      <c r="G212" t="inlineStr">
        <is>
          <t>SMEDJEBACKEN</t>
        </is>
      </c>
      <c r="H212" t="inlineStr">
        <is>
          <t>Sveaskog</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39805-2025</t>
        </is>
      </c>
      <c r="B213" t="inlineStr">
        <is>
          <t>avverkningsanmälan</t>
        </is>
      </c>
      <c r="C213" t="inlineStr">
        <is>
          <t>Föryngringsavverkning</t>
        </is>
      </c>
      <c r="D213" s="1" t="n">
        <v>45891</v>
      </c>
      <c r="E213" s="1" t="n">
        <v>46223</v>
      </c>
      <c r="F213" t="inlineStr">
        <is>
          <t>DALARNAS LÄN</t>
        </is>
      </c>
      <c r="G213" t="inlineStr">
        <is>
          <t>SMEDJEBACKEN</t>
        </is>
      </c>
      <c r="H213" t="inlineStr">
        <is>
          <t>Sveaskog</t>
        </is>
      </c>
      <c r="I213" t="n">
        <v>2.2</v>
      </c>
      <c r="J213" t="n">
        <v>0</v>
      </c>
      <c r="K213" t="n">
        <v>0</v>
      </c>
      <c r="L213" t="n">
        <v>0</v>
      </c>
      <c r="M213" t="n">
        <v>0</v>
      </c>
      <c r="N213" t="n">
        <v>0</v>
      </c>
      <c r="O213" t="n">
        <v>0</v>
      </c>
      <c r="P213" t="n">
        <v>0</v>
      </c>
      <c r="Q213" t="n">
        <v>0</v>
      </c>
      <c r="R213" t="n">
        <v>0</v>
      </c>
      <c r="S213" t="n">
        <v>0</v>
      </c>
      <c r="T213" t="n">
        <v>0</v>
      </c>
      <c r="U213" s="2" t="inlineStr"/>
    </row>
    <row r="214" ht="15" customHeight="1">
      <c r="A214" t="inlineStr">
        <is>
          <t>A 28775-2025</t>
        </is>
      </c>
      <c r="B214" t="inlineStr">
        <is>
          <t>avverkningsanmälan</t>
        </is>
      </c>
      <c r="C214" t="inlineStr">
        <is>
          <t>Föryngringsavverkning</t>
        </is>
      </c>
      <c r="D214" s="1" t="n">
        <v>45819</v>
      </c>
      <c r="E214" s="1" t="n">
        <v>46223</v>
      </c>
      <c r="F214" t="inlineStr">
        <is>
          <t>DALARNAS LÄN</t>
        </is>
      </c>
      <c r="G214" t="inlineStr">
        <is>
          <t>SMEDJEBACKEN</t>
        </is>
      </c>
      <c r="H214" t="inlineStr">
        <is>
          <t>Bergvik skog väst AB</t>
        </is>
      </c>
      <c r="I214" t="n">
        <v>22.8</v>
      </c>
      <c r="J214" t="n">
        <v>0</v>
      </c>
      <c r="K214" t="n">
        <v>0</v>
      </c>
      <c r="L214" t="n">
        <v>0</v>
      </c>
      <c r="M214" t="n">
        <v>0</v>
      </c>
      <c r="N214" t="n">
        <v>0</v>
      </c>
      <c r="O214" t="n">
        <v>0</v>
      </c>
      <c r="P214" t="n">
        <v>0</v>
      </c>
      <c r="Q214" t="n">
        <v>0</v>
      </c>
      <c r="R214" t="n">
        <v>0</v>
      </c>
      <c r="S214" t="n">
        <v>0</v>
      </c>
      <c r="T214" t="n">
        <v>0</v>
      </c>
      <c r="U214" s="2" t="inlineStr"/>
    </row>
    <row r="215" ht="15" customHeight="1">
      <c r="A215" t="inlineStr">
        <is>
          <t>A 11514-2024</t>
        </is>
      </c>
      <c r="B215" t="inlineStr">
        <is>
          <t>avverkningsanmälan</t>
        </is>
      </c>
      <c r="C215" t="inlineStr">
        <is>
          <t>Föryngringsavverkning</t>
        </is>
      </c>
      <c r="D215" s="1" t="n">
        <v>45372</v>
      </c>
      <c r="E215" s="1" t="n">
        <v>46223</v>
      </c>
      <c r="F215" t="inlineStr">
        <is>
          <t>DALARNAS LÄN</t>
        </is>
      </c>
      <c r="G215" t="inlineStr">
        <is>
          <t>SMEDJEBACKEN</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39804-2025</t>
        </is>
      </c>
      <c r="B216" t="inlineStr">
        <is>
          <t>avverkningsanmälan</t>
        </is>
      </c>
      <c r="C216" t="inlineStr">
        <is>
          <t>Föryngringsavverkning</t>
        </is>
      </c>
      <c r="D216" s="1" t="n">
        <v>45891</v>
      </c>
      <c r="E216" s="1" t="n">
        <v>46223</v>
      </c>
      <c r="F216" t="inlineStr">
        <is>
          <t>DALARNAS LÄN</t>
        </is>
      </c>
      <c r="G216" t="inlineStr">
        <is>
          <t>SMEDJEBACKEN</t>
        </is>
      </c>
      <c r="H216" t="inlineStr">
        <is>
          <t>Sveaskog</t>
        </is>
      </c>
      <c r="I216" t="n">
        <v>8.800000000000001</v>
      </c>
      <c r="J216" t="n">
        <v>0</v>
      </c>
      <c r="K216" t="n">
        <v>0</v>
      </c>
      <c r="L216" t="n">
        <v>0</v>
      </c>
      <c r="M216" t="n">
        <v>0</v>
      </c>
      <c r="N216" t="n">
        <v>0</v>
      </c>
      <c r="O216" t="n">
        <v>0</v>
      </c>
      <c r="P216" t="n">
        <v>0</v>
      </c>
      <c r="Q216" t="n">
        <v>0</v>
      </c>
      <c r="R216" t="n">
        <v>0</v>
      </c>
      <c r="S216" t="n">
        <v>0</v>
      </c>
      <c r="T216" t="n">
        <v>0</v>
      </c>
      <c r="U216" s="2" t="inlineStr"/>
    </row>
    <row r="217" ht="15" customHeight="1">
      <c r="A217" t="inlineStr">
        <is>
          <t>A 4466-2026</t>
        </is>
      </c>
      <c r="B217" t="inlineStr">
        <is>
          <t>avverkningsanmälan</t>
        </is>
      </c>
      <c r="C217" t="inlineStr">
        <is>
          <t>Föryngringsavverkning</t>
        </is>
      </c>
      <c r="D217" s="1" t="n">
        <v>46045</v>
      </c>
      <c r="E217" s="1" t="n">
        <v>46223</v>
      </c>
      <c r="F217" t="inlineStr">
        <is>
          <t>DALARNAS LÄN</t>
        </is>
      </c>
      <c r="G217" t="inlineStr">
        <is>
          <t>SMEDJEBACKEN</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16155-2022</t>
        </is>
      </c>
      <c r="B218" t="inlineStr">
        <is>
          <t>avverkningsanmälan</t>
        </is>
      </c>
      <c r="C218" t="inlineStr">
        <is>
          <t>Föryngringsavverkning</t>
        </is>
      </c>
      <c r="D218" s="1" t="n">
        <v>44666</v>
      </c>
      <c r="E218" s="1" t="n">
        <v>46223</v>
      </c>
      <c r="F218" t="inlineStr">
        <is>
          <t>DALARNAS LÄN</t>
        </is>
      </c>
      <c r="G218" t="inlineStr">
        <is>
          <t>SMEDJEBACKEN</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30903-2025</t>
        </is>
      </c>
      <c r="B219" t="inlineStr">
        <is>
          <t>avverkningsanmälan</t>
        </is>
      </c>
      <c r="C219" t="inlineStr">
        <is>
          <t>Föryngringsavverkning</t>
        </is>
      </c>
      <c r="D219" s="1" t="n">
        <v>45832</v>
      </c>
      <c r="E219" s="1" t="n">
        <v>46223</v>
      </c>
      <c r="F219" t="inlineStr">
        <is>
          <t>DALARNAS LÄN</t>
        </is>
      </c>
      <c r="G219" t="inlineStr">
        <is>
          <t>SMEDJEBACKEN</t>
        </is>
      </c>
      <c r="H219" t="inlineStr">
        <is>
          <t>Sveaskog</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41479-2025</t>
        </is>
      </c>
      <c r="B220" t="inlineStr">
        <is>
          <t>avverkningsanmälan</t>
        </is>
      </c>
      <c r="C220" t="inlineStr">
        <is>
          <t>Föryngringsavverkning</t>
        </is>
      </c>
      <c r="D220" s="1" t="n">
        <v>45901</v>
      </c>
      <c r="E220" s="1" t="n">
        <v>46223</v>
      </c>
      <c r="F220" t="inlineStr">
        <is>
          <t>DALARNAS LÄN</t>
        </is>
      </c>
      <c r="G220" t="inlineStr">
        <is>
          <t>SMEDJEBACKEN</t>
        </is>
      </c>
      <c r="I220" t="n">
        <v>2.9</v>
      </c>
      <c r="J220" t="n">
        <v>0</v>
      </c>
      <c r="K220" t="n">
        <v>0</v>
      </c>
      <c r="L220" t="n">
        <v>0</v>
      </c>
      <c r="M220" t="n">
        <v>0</v>
      </c>
      <c r="N220" t="n">
        <v>0</v>
      </c>
      <c r="O220" t="n">
        <v>0</v>
      </c>
      <c r="P220" t="n">
        <v>0</v>
      </c>
      <c r="Q220" t="n">
        <v>0</v>
      </c>
      <c r="R220" t="n">
        <v>0</v>
      </c>
      <c r="S220" t="n">
        <v>0</v>
      </c>
      <c r="T220" t="n">
        <v>0</v>
      </c>
      <c r="U220" s="2" t="inlineStr"/>
    </row>
    <row r="221" ht="15" customHeight="1">
      <c r="A221" t="inlineStr">
        <is>
          <t>A 40943-2024</t>
        </is>
      </c>
      <c r="B221" t="inlineStr">
        <is>
          <t>avverkningsanmälan</t>
        </is>
      </c>
      <c r="C221" t="inlineStr">
        <is>
          <t>Föryngringsavverkning</t>
        </is>
      </c>
      <c r="D221" s="1" t="n">
        <v>45558</v>
      </c>
      <c r="E221" s="1" t="n">
        <v>46223</v>
      </c>
      <c r="F221" t="inlineStr">
        <is>
          <t>DALARNAS LÄN</t>
        </is>
      </c>
      <c r="G221" t="inlineStr">
        <is>
          <t>SMEDJEBACKEN</t>
        </is>
      </c>
      <c r="H221" t="inlineStr">
        <is>
          <t>Sveaskog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42047-2025</t>
        </is>
      </c>
      <c r="B222" t="inlineStr">
        <is>
          <t>avverkningsanmälan</t>
        </is>
      </c>
      <c r="C222" t="inlineStr">
        <is>
          <t>Föryngringsavverkning</t>
        </is>
      </c>
      <c r="D222" s="1" t="n">
        <v>45903</v>
      </c>
      <c r="E222" s="1" t="n">
        <v>46223</v>
      </c>
      <c r="F222" t="inlineStr">
        <is>
          <t>DALARNAS LÄN</t>
        </is>
      </c>
      <c r="G222" t="inlineStr">
        <is>
          <t>SMEDJEBACKEN</t>
        </is>
      </c>
      <c r="I222" t="n">
        <v>2.3</v>
      </c>
      <c r="J222" t="n">
        <v>0</v>
      </c>
      <c r="K222" t="n">
        <v>0</v>
      </c>
      <c r="L222" t="n">
        <v>0</v>
      </c>
      <c r="M222" t="n">
        <v>0</v>
      </c>
      <c r="N222" t="n">
        <v>0</v>
      </c>
      <c r="O222" t="n">
        <v>0</v>
      </c>
      <c r="P222" t="n">
        <v>0</v>
      </c>
      <c r="Q222" t="n">
        <v>0</v>
      </c>
      <c r="R222" t="n">
        <v>0</v>
      </c>
      <c r="S222" t="n">
        <v>0</v>
      </c>
      <c r="T222" t="n">
        <v>0</v>
      </c>
      <c r="U222" s="2" t="inlineStr"/>
    </row>
    <row r="223" ht="15" customHeight="1">
      <c r="A223" t="inlineStr">
        <is>
          <t>A 31470-2025</t>
        </is>
      </c>
      <c r="B223" t="inlineStr">
        <is>
          <t>avverkningsanmälan</t>
        </is>
      </c>
      <c r="C223" t="inlineStr">
        <is>
          <t>Föryngringsavverkning</t>
        </is>
      </c>
      <c r="D223" s="1" t="n">
        <v>45833</v>
      </c>
      <c r="E223" s="1" t="n">
        <v>46223</v>
      </c>
      <c r="F223" t="inlineStr">
        <is>
          <t>DALARNAS LÄN</t>
        </is>
      </c>
      <c r="G223" t="inlineStr">
        <is>
          <t>SMEDJEBACKEN</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31473-2025</t>
        </is>
      </c>
      <c r="B224" t="inlineStr">
        <is>
          <t>avverkningsanmälan</t>
        </is>
      </c>
      <c r="C224" t="inlineStr">
        <is>
          <t>Föryngringsavverkning</t>
        </is>
      </c>
      <c r="D224" s="1" t="n">
        <v>45833</v>
      </c>
      <c r="E224" s="1" t="n">
        <v>46223</v>
      </c>
      <c r="F224" t="inlineStr">
        <is>
          <t>DALARNAS LÄN</t>
        </is>
      </c>
      <c r="G224" t="inlineStr">
        <is>
          <t>SMEDJEBACKEN</t>
        </is>
      </c>
      <c r="I224" t="n">
        <v>1.4</v>
      </c>
      <c r="J224" t="n">
        <v>0</v>
      </c>
      <c r="K224" t="n">
        <v>0</v>
      </c>
      <c r="L224" t="n">
        <v>0</v>
      </c>
      <c r="M224" t="n">
        <v>0</v>
      </c>
      <c r="N224" t="n">
        <v>0</v>
      </c>
      <c r="O224" t="n">
        <v>0</v>
      </c>
      <c r="P224" t="n">
        <v>0</v>
      </c>
      <c r="Q224" t="n">
        <v>0</v>
      </c>
      <c r="R224" t="n">
        <v>0</v>
      </c>
      <c r="S224" t="n">
        <v>0</v>
      </c>
      <c r="T224" t="n">
        <v>0</v>
      </c>
      <c r="U224" s="2" t="inlineStr"/>
    </row>
    <row r="225" ht="15" customHeight="1">
      <c r="A225" t="inlineStr">
        <is>
          <t>A 42663-2025</t>
        </is>
      </c>
      <c r="B225" t="inlineStr">
        <is>
          <t>avverkningsanmälan</t>
        </is>
      </c>
      <c r="C225" t="inlineStr">
        <is>
          <t>Föryngringsavverkning</t>
        </is>
      </c>
      <c r="D225" s="1" t="n">
        <v>45907</v>
      </c>
      <c r="E225" s="1" t="n">
        <v>46223</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36667-2023</t>
        </is>
      </c>
      <c r="B226" t="inlineStr">
        <is>
          <t>avverkningsanmälan</t>
        </is>
      </c>
      <c r="C226" t="inlineStr">
        <is>
          <t>Avverkning för att bevara och utveckla /försöksver</t>
        </is>
      </c>
      <c r="D226" s="1" t="n">
        <v>45153</v>
      </c>
      <c r="E226" s="1" t="n">
        <v>46223</v>
      </c>
      <c r="F226" t="inlineStr">
        <is>
          <t>DALARNAS LÄN</t>
        </is>
      </c>
      <c r="G226" t="inlineStr">
        <is>
          <t>SMEDJEBACKEN</t>
        </is>
      </c>
      <c r="H226" t="inlineStr">
        <is>
          <t>Sveaskog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22984-2022</t>
        </is>
      </c>
      <c r="B227" t="inlineStr">
        <is>
          <t>avverkningsanmälan</t>
        </is>
      </c>
      <c r="C227" t="inlineStr">
        <is>
          <t>Föryngringsavverkning</t>
        </is>
      </c>
      <c r="D227" s="1" t="n">
        <v>44718</v>
      </c>
      <c r="E227" s="1" t="n">
        <v>46223</v>
      </c>
      <c r="F227" t="inlineStr">
        <is>
          <t>DALARNAS LÄN</t>
        </is>
      </c>
      <c r="G227" t="inlineStr">
        <is>
          <t>SMEDJEBACKEN</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5701-2026</t>
        </is>
      </c>
      <c r="B228" t="inlineStr">
        <is>
          <t>avverkningsanmälan</t>
        </is>
      </c>
      <c r="C228" t="inlineStr">
        <is>
          <t>Föryngringsavverkning</t>
        </is>
      </c>
      <c r="D228" s="1" t="n">
        <v>46051</v>
      </c>
      <c r="E228" s="1" t="n">
        <v>46223</v>
      </c>
      <c r="F228" t="inlineStr">
        <is>
          <t>DALARNAS LÄN</t>
        </is>
      </c>
      <c r="G228" t="inlineStr">
        <is>
          <t>SMEDJEBACKEN</t>
        </is>
      </c>
      <c r="I228" t="n">
        <v>1.4</v>
      </c>
      <c r="J228" t="n">
        <v>0</v>
      </c>
      <c r="K228" t="n">
        <v>0</v>
      </c>
      <c r="L228" t="n">
        <v>0</v>
      </c>
      <c r="M228" t="n">
        <v>0</v>
      </c>
      <c r="N228" t="n">
        <v>0</v>
      </c>
      <c r="O228" t="n">
        <v>0</v>
      </c>
      <c r="P228" t="n">
        <v>0</v>
      </c>
      <c r="Q228" t="n">
        <v>0</v>
      </c>
      <c r="R228" t="n">
        <v>0</v>
      </c>
      <c r="S228" t="n">
        <v>0</v>
      </c>
      <c r="T228" t="n">
        <v>0</v>
      </c>
      <c r="U228" s="2" t="inlineStr"/>
    </row>
    <row r="229" ht="15" customHeight="1">
      <c r="A229" t="inlineStr">
        <is>
          <t>A 32996-2025</t>
        </is>
      </c>
      <c r="B229" t="inlineStr">
        <is>
          <t>avverkningsanmälan</t>
        </is>
      </c>
      <c r="C229" t="inlineStr">
        <is>
          <t>Föryngringsavverkning</t>
        </is>
      </c>
      <c r="D229" s="1" t="n">
        <v>45840</v>
      </c>
      <c r="E229" s="1" t="n">
        <v>46223</v>
      </c>
      <c r="F229" t="inlineStr">
        <is>
          <t>DALARNAS LÄN</t>
        </is>
      </c>
      <c r="G229" t="inlineStr">
        <is>
          <t>SMEDJEBACKEN</t>
        </is>
      </c>
      <c r="H229" t="inlineStr">
        <is>
          <t>Övriga Aktiebolag</t>
        </is>
      </c>
      <c r="I229" t="n">
        <v>3.9</v>
      </c>
      <c r="J229" t="n">
        <v>0</v>
      </c>
      <c r="K229" t="n">
        <v>0</v>
      </c>
      <c r="L229" t="n">
        <v>0</v>
      </c>
      <c r="M229" t="n">
        <v>0</v>
      </c>
      <c r="N229" t="n">
        <v>0</v>
      </c>
      <c r="O229" t="n">
        <v>0</v>
      </c>
      <c r="P229" t="n">
        <v>0</v>
      </c>
      <c r="Q229" t="n">
        <v>0</v>
      </c>
      <c r="R229" t="n">
        <v>0</v>
      </c>
      <c r="S229" t="n">
        <v>0</v>
      </c>
      <c r="T229" t="n">
        <v>0</v>
      </c>
      <c r="U229" s="2" t="inlineStr"/>
    </row>
    <row r="230" ht="15" customHeight="1">
      <c r="A230" t="inlineStr">
        <is>
          <t>A 33912-2025</t>
        </is>
      </c>
      <c r="B230" t="inlineStr">
        <is>
          <t>avverkningsanmälan</t>
        </is>
      </c>
      <c r="C230" t="inlineStr">
        <is>
          <t>Föryngringsavverkning</t>
        </is>
      </c>
      <c r="D230" s="1" t="n">
        <v>45842</v>
      </c>
      <c r="E230" s="1" t="n">
        <v>46223</v>
      </c>
      <c r="F230" t="inlineStr">
        <is>
          <t>DALARNAS LÄN</t>
        </is>
      </c>
      <c r="G230" t="inlineStr">
        <is>
          <t>SMEDJEBACKEN</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18909-2024</t>
        </is>
      </c>
      <c r="B231" t="inlineStr">
        <is>
          <t>avverkningsanmälan</t>
        </is>
      </c>
      <c r="C231" t="inlineStr">
        <is>
          <t>Föryngringsavverkning</t>
        </is>
      </c>
      <c r="D231" s="1" t="n">
        <v>45427</v>
      </c>
      <c r="E231" s="1" t="n">
        <v>46223</v>
      </c>
      <c r="F231" t="inlineStr">
        <is>
          <t>DALARNAS LÄN</t>
        </is>
      </c>
      <c r="G231" t="inlineStr">
        <is>
          <t>SMEDJEBACKEN</t>
        </is>
      </c>
      <c r="H231" t="inlineStr">
        <is>
          <t>Sveaskog</t>
        </is>
      </c>
      <c r="I231" t="n">
        <v>4</v>
      </c>
      <c r="J231" t="n">
        <v>0</v>
      </c>
      <c r="K231" t="n">
        <v>0</v>
      </c>
      <c r="L231" t="n">
        <v>0</v>
      </c>
      <c r="M231" t="n">
        <v>0</v>
      </c>
      <c r="N231" t="n">
        <v>0</v>
      </c>
      <c r="O231" t="n">
        <v>0</v>
      </c>
      <c r="P231" t="n">
        <v>0</v>
      </c>
      <c r="Q231" t="n">
        <v>0</v>
      </c>
      <c r="R231" t="n">
        <v>0</v>
      </c>
      <c r="S231" t="n">
        <v>0</v>
      </c>
      <c r="T231" t="n">
        <v>0</v>
      </c>
      <c r="U231" s="2" t="inlineStr"/>
    </row>
    <row r="232" ht="15" customHeight="1">
      <c r="A232" t="inlineStr">
        <is>
          <t>A 34510-2025</t>
        </is>
      </c>
      <c r="B232" t="inlineStr">
        <is>
          <t>avverkningsanmälan</t>
        </is>
      </c>
      <c r="C232" t="inlineStr">
        <is>
          <t>Föryngringsavverkning</t>
        </is>
      </c>
      <c r="D232" s="1" t="n">
        <v>45846</v>
      </c>
      <c r="E232" s="1" t="n">
        <v>46223</v>
      </c>
      <c r="F232" t="inlineStr">
        <is>
          <t>DALARNAS LÄN</t>
        </is>
      </c>
      <c r="G232" t="inlineStr">
        <is>
          <t>SMEDJEBACKEN</t>
        </is>
      </c>
      <c r="H232" t="inlineStr">
        <is>
          <t>Bergvik skog väst AB</t>
        </is>
      </c>
      <c r="I232" t="n">
        <v>1.8</v>
      </c>
      <c r="J232" t="n">
        <v>0</v>
      </c>
      <c r="K232" t="n">
        <v>0</v>
      </c>
      <c r="L232" t="n">
        <v>0</v>
      </c>
      <c r="M232" t="n">
        <v>0</v>
      </c>
      <c r="N232" t="n">
        <v>0</v>
      </c>
      <c r="O232" t="n">
        <v>0</v>
      </c>
      <c r="P232" t="n">
        <v>0</v>
      </c>
      <c r="Q232" t="n">
        <v>0</v>
      </c>
      <c r="R232" t="n">
        <v>0</v>
      </c>
      <c r="S232" t="n">
        <v>0</v>
      </c>
      <c r="T232" t="n">
        <v>0</v>
      </c>
      <c r="U232" s="2" t="inlineStr"/>
    </row>
    <row r="233" ht="15" customHeight="1">
      <c r="A233" t="inlineStr">
        <is>
          <t>A 45175-2025</t>
        </is>
      </c>
      <c r="B233" t="inlineStr">
        <is>
          <t>avverkningsanmälan</t>
        </is>
      </c>
      <c r="C233" t="inlineStr">
        <is>
          <t>Föryngringsavverkning</t>
        </is>
      </c>
      <c r="D233" s="1" t="n">
        <v>45919</v>
      </c>
      <c r="E233" s="1" t="n">
        <v>46223</v>
      </c>
      <c r="F233" t="inlineStr">
        <is>
          <t>DALARNAS LÄN</t>
        </is>
      </c>
      <c r="G233" t="inlineStr">
        <is>
          <t>SMEDJEBACKEN</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45608-2025</t>
        </is>
      </c>
      <c r="B234" t="inlineStr">
        <is>
          <t>avverkningsanmälan</t>
        </is>
      </c>
      <c r="C234" t="inlineStr">
        <is>
          <t>Föryngringsavverkning</t>
        </is>
      </c>
      <c r="D234" s="1" t="n">
        <v>45922</v>
      </c>
      <c r="E234" s="1" t="n">
        <v>46223</v>
      </c>
      <c r="F234" t="inlineStr">
        <is>
          <t>DALARNAS LÄN</t>
        </is>
      </c>
      <c r="G234" t="inlineStr">
        <is>
          <t>SMEDJEBACKEN</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4155-2023</t>
        </is>
      </c>
      <c r="B235" t="inlineStr">
        <is>
          <t>avverkningsanmälan</t>
        </is>
      </c>
      <c r="C235" t="inlineStr">
        <is>
          <t>Avverkning för annat ändamål</t>
        </is>
      </c>
      <c r="D235" s="1" t="n">
        <v>44950</v>
      </c>
      <c r="E235" s="1" t="n">
        <v>46223</v>
      </c>
      <c r="F235" t="inlineStr">
        <is>
          <t>DALARNAS LÄN</t>
        </is>
      </c>
      <c r="G235" t="inlineStr">
        <is>
          <t>SMEDJEBACKEN</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60421-2021</t>
        </is>
      </c>
      <c r="B236" t="inlineStr">
        <is>
          <t>avverkningsanmälan</t>
        </is>
      </c>
      <c r="C236" t="inlineStr">
        <is>
          <t>Avverkning för att bevara och utveckla /försöksver</t>
        </is>
      </c>
      <c r="D236" s="1" t="n">
        <v>44496</v>
      </c>
      <c r="E236" s="1" t="n">
        <v>46223</v>
      </c>
      <c r="F236" t="inlineStr">
        <is>
          <t>DALARNAS LÄN</t>
        </is>
      </c>
      <c r="G236" t="inlineStr">
        <is>
          <t>SMEDJEBACKEN</t>
        </is>
      </c>
      <c r="H236" t="inlineStr">
        <is>
          <t>Sveaskog</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34444-2025</t>
        </is>
      </c>
      <c r="B237" t="inlineStr">
        <is>
          <t>avverkningsanmälan</t>
        </is>
      </c>
      <c r="C237" t="inlineStr">
        <is>
          <t>Föryngringsavverkning</t>
        </is>
      </c>
      <c r="D237" s="1" t="n">
        <v>45846</v>
      </c>
      <c r="E237" s="1" t="n">
        <v>46223</v>
      </c>
      <c r="F237" t="inlineStr">
        <is>
          <t>DALARNAS LÄN</t>
        </is>
      </c>
      <c r="G237" t="inlineStr">
        <is>
          <t>SMEDJEBACKEN</t>
        </is>
      </c>
      <c r="I237" t="n">
        <v>4.7</v>
      </c>
      <c r="J237" t="n">
        <v>0</v>
      </c>
      <c r="K237" t="n">
        <v>0</v>
      </c>
      <c r="L237" t="n">
        <v>0</v>
      </c>
      <c r="M237" t="n">
        <v>0</v>
      </c>
      <c r="N237" t="n">
        <v>0</v>
      </c>
      <c r="O237" t="n">
        <v>0</v>
      </c>
      <c r="P237" t="n">
        <v>0</v>
      </c>
      <c r="Q237" t="n">
        <v>0</v>
      </c>
      <c r="R237" t="n">
        <v>0</v>
      </c>
      <c r="S237" t="n">
        <v>0</v>
      </c>
      <c r="T237" t="n">
        <v>0</v>
      </c>
      <c r="U237" s="2" t="inlineStr"/>
    </row>
    <row r="238" ht="15" customHeight="1">
      <c r="A238" t="inlineStr">
        <is>
          <t>A 34511-2025</t>
        </is>
      </c>
      <c r="B238" t="inlineStr">
        <is>
          <t>avverkningsanmälan</t>
        </is>
      </c>
      <c r="C238" t="inlineStr">
        <is>
          <t>Föryngringsavverkning</t>
        </is>
      </c>
      <c r="D238" s="1" t="n">
        <v>45846</v>
      </c>
      <c r="E238" s="1" t="n">
        <v>46223</v>
      </c>
      <c r="F238" t="inlineStr">
        <is>
          <t>DALARNAS LÄN</t>
        </is>
      </c>
      <c r="G238" t="inlineStr">
        <is>
          <t>SMEDJEBACKEN</t>
        </is>
      </c>
      <c r="H238" t="inlineStr">
        <is>
          <t>Bergvik skog väst AB</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34523-2025</t>
        </is>
      </c>
      <c r="B239" t="inlineStr">
        <is>
          <t>avverkningsanmälan</t>
        </is>
      </c>
      <c r="C239" t="inlineStr">
        <is>
          <t>Föryngringsavverkning</t>
        </is>
      </c>
      <c r="D239" s="1" t="n">
        <v>45846</v>
      </c>
      <c r="E239" s="1" t="n">
        <v>46223</v>
      </c>
      <c r="F239" t="inlineStr">
        <is>
          <t>DALARNAS LÄN</t>
        </is>
      </c>
      <c r="G239" t="inlineStr">
        <is>
          <t>SMEDJEBACKEN</t>
        </is>
      </c>
      <c r="H239" t="inlineStr">
        <is>
          <t>Bergvik skog väst AB</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34711-2025</t>
        </is>
      </c>
      <c r="B240" t="inlineStr">
        <is>
          <t>avverkningsanmälan</t>
        </is>
      </c>
      <c r="C240" t="inlineStr">
        <is>
          <t>Föryngringsavverkning</t>
        </is>
      </c>
      <c r="D240" s="1" t="n">
        <v>45848</v>
      </c>
      <c r="E240" s="1" t="n">
        <v>46223</v>
      </c>
      <c r="F240" t="inlineStr">
        <is>
          <t>DALARNAS LÄN</t>
        </is>
      </c>
      <c r="G240" t="inlineStr">
        <is>
          <t>SMEDJEBACKEN</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43351-2022</t>
        </is>
      </c>
      <c r="B241" t="inlineStr">
        <is>
          <t>avverkningsanmälan</t>
        </is>
      </c>
      <c r="C241" t="inlineStr">
        <is>
          <t>Föryngringsavverkning</t>
        </is>
      </c>
      <c r="D241" s="1" t="n">
        <v>44834</v>
      </c>
      <c r="E241" s="1" t="n">
        <v>46223</v>
      </c>
      <c r="F241" t="inlineStr">
        <is>
          <t>DALARNAS LÄN</t>
        </is>
      </c>
      <c r="G241" t="inlineStr">
        <is>
          <t>SMEDJEBACKEN</t>
        </is>
      </c>
      <c r="H241" t="inlineStr">
        <is>
          <t>Sveaskog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46367-2025</t>
        </is>
      </c>
      <c r="B242" t="inlineStr">
        <is>
          <t>avverkningsanmälan</t>
        </is>
      </c>
      <c r="C242" t="inlineStr">
        <is>
          <t>Föryngringsavverkning</t>
        </is>
      </c>
      <c r="D242" s="1" t="n">
        <v>45925</v>
      </c>
      <c r="E242" s="1" t="n">
        <v>46223</v>
      </c>
      <c r="F242" t="inlineStr">
        <is>
          <t>DALARNAS LÄN</t>
        </is>
      </c>
      <c r="G242" t="inlineStr">
        <is>
          <t>SMEDJEBACKEN</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21969-2025</t>
        </is>
      </c>
      <c r="B243" t="inlineStr">
        <is>
          <t>avverkningsanmälan</t>
        </is>
      </c>
      <c r="C243" t="inlineStr">
        <is>
          <t>Föryngringsavverkning</t>
        </is>
      </c>
      <c r="D243" s="1" t="n">
        <v>45784</v>
      </c>
      <c r="E243" s="1" t="n">
        <v>46223</v>
      </c>
      <c r="F243" t="inlineStr">
        <is>
          <t>DALARNAS LÄN</t>
        </is>
      </c>
      <c r="G243" t="inlineStr">
        <is>
          <t>SMEDJEBACKEN</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2275-2024</t>
        </is>
      </c>
      <c r="B244" t="inlineStr">
        <is>
          <t>avverkningsanmälan</t>
        </is>
      </c>
      <c r="C244" t="inlineStr">
        <is>
          <t>Avverkning för annat ändamål</t>
        </is>
      </c>
      <c r="D244" s="1" t="n">
        <v>45310</v>
      </c>
      <c r="E244" s="1" t="n">
        <v>46223</v>
      </c>
      <c r="F244" t="inlineStr">
        <is>
          <t>DALARNAS LÄN</t>
        </is>
      </c>
      <c r="G244" t="inlineStr">
        <is>
          <t>SMEDJEBACKEN</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44117-2021</t>
        </is>
      </c>
      <c r="B245" t="inlineStr">
        <is>
          <t>avverkningsanmälan</t>
        </is>
      </c>
      <c r="C245" t="inlineStr">
        <is>
          <t>Föryngringsavverkning</t>
        </is>
      </c>
      <c r="D245" s="1" t="n">
        <v>44434</v>
      </c>
      <c r="E245" s="1" t="n">
        <v>46223</v>
      </c>
      <c r="F245" t="inlineStr">
        <is>
          <t>DALARNAS LÄN</t>
        </is>
      </c>
      <c r="G245" t="inlineStr">
        <is>
          <t>SMEDJEBACKEN</t>
        </is>
      </c>
      <c r="I245" t="n">
        <v>1.2</v>
      </c>
      <c r="J245" t="n">
        <v>0</v>
      </c>
      <c r="K245" t="n">
        <v>0</v>
      </c>
      <c r="L245" t="n">
        <v>0</v>
      </c>
      <c r="M245" t="n">
        <v>0</v>
      </c>
      <c r="N245" t="n">
        <v>0</v>
      </c>
      <c r="O245" t="n">
        <v>0</v>
      </c>
      <c r="P245" t="n">
        <v>0</v>
      </c>
      <c r="Q245" t="n">
        <v>0</v>
      </c>
      <c r="R245" t="n">
        <v>0</v>
      </c>
      <c r="S245" t="n">
        <v>0</v>
      </c>
      <c r="T245" t="n">
        <v>0</v>
      </c>
      <c r="U245" s="2" t="inlineStr"/>
    </row>
    <row r="246" ht="15" customHeight="1">
      <c r="A246" t="inlineStr">
        <is>
          <t>A 65249-2021</t>
        </is>
      </c>
      <c r="B246" t="inlineStr">
        <is>
          <t>avverkningsanmälan</t>
        </is>
      </c>
      <c r="C246" t="inlineStr">
        <is>
          <t>Föryngringsavverkning</t>
        </is>
      </c>
      <c r="D246" s="1" t="n">
        <v>44515</v>
      </c>
      <c r="E246" s="1" t="n">
        <v>46223</v>
      </c>
      <c r="F246" t="inlineStr">
        <is>
          <t>DALARNAS LÄN</t>
        </is>
      </c>
      <c r="G246" t="inlineStr">
        <is>
          <t>SMEDJEBACKEN</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3418-2024</t>
        </is>
      </c>
      <c r="B247" t="inlineStr">
        <is>
          <t>avverkningsanmälan</t>
        </is>
      </c>
      <c r="C247" t="inlineStr">
        <is>
          <t>Föryngringsavverkning</t>
        </is>
      </c>
      <c r="D247" s="1" t="n">
        <v>45319</v>
      </c>
      <c r="E247" s="1" t="n">
        <v>46223</v>
      </c>
      <c r="F247" t="inlineStr">
        <is>
          <t>DALARNAS LÄN</t>
        </is>
      </c>
      <c r="G247" t="inlineStr">
        <is>
          <t>SMEDJEBACKEN</t>
        </is>
      </c>
      <c r="I247" t="n">
        <v>4.3</v>
      </c>
      <c r="J247" t="n">
        <v>0</v>
      </c>
      <c r="K247" t="n">
        <v>0</v>
      </c>
      <c r="L247" t="n">
        <v>0</v>
      </c>
      <c r="M247" t="n">
        <v>0</v>
      </c>
      <c r="N247" t="n">
        <v>0</v>
      </c>
      <c r="O247" t="n">
        <v>0</v>
      </c>
      <c r="P247" t="n">
        <v>0</v>
      </c>
      <c r="Q247" t="n">
        <v>0</v>
      </c>
      <c r="R247" t="n">
        <v>0</v>
      </c>
      <c r="S247" t="n">
        <v>0</v>
      </c>
      <c r="T247" t="n">
        <v>0</v>
      </c>
      <c r="U247" s="2" t="inlineStr"/>
    </row>
    <row r="248" ht="15" customHeight="1">
      <c r="A248" t="inlineStr">
        <is>
          <t>A 13633-2023</t>
        </is>
      </c>
      <c r="B248" t="inlineStr">
        <is>
          <t>avverkningsanmälan</t>
        </is>
      </c>
      <c r="C248" t="inlineStr">
        <is>
          <t>Föryngringsavverkning</t>
        </is>
      </c>
      <c r="D248" s="1" t="n">
        <v>45006</v>
      </c>
      <c r="E248" s="1" t="n">
        <v>46223</v>
      </c>
      <c r="F248" t="inlineStr">
        <is>
          <t>DALARNAS LÄN</t>
        </is>
      </c>
      <c r="G248" t="inlineStr">
        <is>
          <t>SMEDJEBACKEN</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3423-2024</t>
        </is>
      </c>
      <c r="B249" t="inlineStr">
        <is>
          <t>avverkningsanmälan</t>
        </is>
      </c>
      <c r="C249" t="inlineStr">
        <is>
          <t>Föryngringsavverkning</t>
        </is>
      </c>
      <c r="D249" s="1" t="n">
        <v>45319</v>
      </c>
      <c r="E249" s="1" t="n">
        <v>46223</v>
      </c>
      <c r="F249" t="inlineStr">
        <is>
          <t>DALARNAS LÄN</t>
        </is>
      </c>
      <c r="G249" t="inlineStr">
        <is>
          <t>SMEDJEBACKEN</t>
        </is>
      </c>
      <c r="I249" t="n">
        <v>4.3</v>
      </c>
      <c r="J249" t="n">
        <v>0</v>
      </c>
      <c r="K249" t="n">
        <v>0</v>
      </c>
      <c r="L249" t="n">
        <v>0</v>
      </c>
      <c r="M249" t="n">
        <v>0</v>
      </c>
      <c r="N249" t="n">
        <v>0</v>
      </c>
      <c r="O249" t="n">
        <v>0</v>
      </c>
      <c r="P249" t="n">
        <v>0</v>
      </c>
      <c r="Q249" t="n">
        <v>0</v>
      </c>
      <c r="R249" t="n">
        <v>0</v>
      </c>
      <c r="S249" t="n">
        <v>0</v>
      </c>
      <c r="T249" t="n">
        <v>0</v>
      </c>
      <c r="U249" s="2" t="inlineStr"/>
    </row>
    <row r="250" ht="15" customHeight="1">
      <c r="A250" t="inlineStr">
        <is>
          <t>A 47805-2025</t>
        </is>
      </c>
      <c r="B250" t="inlineStr">
        <is>
          <t>avverkningsanmälan</t>
        </is>
      </c>
      <c r="C250" t="inlineStr">
        <is>
          <t>Föryngringsavverkning</t>
        </is>
      </c>
      <c r="D250" s="1" t="n">
        <v>45931</v>
      </c>
      <c r="E250" s="1" t="n">
        <v>46223</v>
      </c>
      <c r="F250" t="inlineStr">
        <is>
          <t>DALARNAS LÄN</t>
        </is>
      </c>
      <c r="G250" t="inlineStr">
        <is>
          <t>SMEDJEBACKEN</t>
        </is>
      </c>
      <c r="I250" t="n">
        <v>4.9</v>
      </c>
      <c r="J250" t="n">
        <v>0</v>
      </c>
      <c r="K250" t="n">
        <v>0</v>
      </c>
      <c r="L250" t="n">
        <v>0</v>
      </c>
      <c r="M250" t="n">
        <v>0</v>
      </c>
      <c r="N250" t="n">
        <v>0</v>
      </c>
      <c r="O250" t="n">
        <v>0</v>
      </c>
      <c r="P250" t="n">
        <v>0</v>
      </c>
      <c r="Q250" t="n">
        <v>0</v>
      </c>
      <c r="R250" t="n">
        <v>0</v>
      </c>
      <c r="S250" t="n">
        <v>0</v>
      </c>
      <c r="T250" t="n">
        <v>0</v>
      </c>
      <c r="U250" s="2" t="inlineStr"/>
    </row>
    <row r="251" ht="15" customHeight="1">
      <c r="A251" t="inlineStr">
        <is>
          <t>A 35814-2025</t>
        </is>
      </c>
      <c r="B251" t="inlineStr">
        <is>
          <t>avverkningsanmälan</t>
        </is>
      </c>
      <c r="C251" t="inlineStr">
        <is>
          <t>Föryngringsavverkning</t>
        </is>
      </c>
      <c r="D251" s="1" t="n">
        <v>45861</v>
      </c>
      <c r="E251" s="1" t="n">
        <v>46223</v>
      </c>
      <c r="F251" t="inlineStr">
        <is>
          <t>DALARNAS LÄN</t>
        </is>
      </c>
      <c r="G251" t="inlineStr">
        <is>
          <t>SMEDJEBACKEN</t>
        </is>
      </c>
      <c r="H251" t="inlineStr">
        <is>
          <t>Övriga Aktiebolag</t>
        </is>
      </c>
      <c r="I251" t="n">
        <v>16.7</v>
      </c>
      <c r="J251" t="n">
        <v>0</v>
      </c>
      <c r="K251" t="n">
        <v>0</v>
      </c>
      <c r="L251" t="n">
        <v>0</v>
      </c>
      <c r="M251" t="n">
        <v>0</v>
      </c>
      <c r="N251" t="n">
        <v>0</v>
      </c>
      <c r="O251" t="n">
        <v>0</v>
      </c>
      <c r="P251" t="n">
        <v>0</v>
      </c>
      <c r="Q251" t="n">
        <v>0</v>
      </c>
      <c r="R251" t="n">
        <v>0</v>
      </c>
      <c r="S251" t="n">
        <v>0</v>
      </c>
      <c r="T251" t="n">
        <v>0</v>
      </c>
      <c r="U251" s="2" t="inlineStr"/>
    </row>
    <row r="252" ht="15" customHeight="1">
      <c r="A252" t="inlineStr">
        <is>
          <t>A 24426-2023</t>
        </is>
      </c>
      <c r="B252" t="inlineStr">
        <is>
          <t>avverkningsanmälan</t>
        </is>
      </c>
      <c r="C252" t="inlineStr">
        <is>
          <t>Föryngringsavverkning</t>
        </is>
      </c>
      <c r="D252" s="1" t="n">
        <v>45082</v>
      </c>
      <c r="E252" s="1" t="n">
        <v>46223</v>
      </c>
      <c r="F252" t="inlineStr">
        <is>
          <t>DALARNAS LÄN</t>
        </is>
      </c>
      <c r="G252" t="inlineStr">
        <is>
          <t>SMEDJEBACKEN</t>
        </is>
      </c>
      <c r="I252" t="n">
        <v>2.7</v>
      </c>
      <c r="J252" t="n">
        <v>0</v>
      </c>
      <c r="K252" t="n">
        <v>0</v>
      </c>
      <c r="L252" t="n">
        <v>0</v>
      </c>
      <c r="M252" t="n">
        <v>0</v>
      </c>
      <c r="N252" t="n">
        <v>0</v>
      </c>
      <c r="O252" t="n">
        <v>0</v>
      </c>
      <c r="P252" t="n">
        <v>0</v>
      </c>
      <c r="Q252" t="n">
        <v>0</v>
      </c>
      <c r="R252" t="n">
        <v>0</v>
      </c>
      <c r="S252" t="n">
        <v>0</v>
      </c>
      <c r="T252" t="n">
        <v>0</v>
      </c>
      <c r="U252" s="2" t="inlineStr"/>
    </row>
    <row r="253" ht="15" customHeight="1">
      <c r="A253" t="inlineStr">
        <is>
          <t>A 48478-2025</t>
        </is>
      </c>
      <c r="B253" t="inlineStr">
        <is>
          <t>avverkningsanmälan</t>
        </is>
      </c>
      <c r="C253" t="inlineStr">
        <is>
          <t>Föryngringsavverkning</t>
        </is>
      </c>
      <c r="D253" s="1" t="n">
        <v>45936</v>
      </c>
      <c r="E253" s="1" t="n">
        <v>46223</v>
      </c>
      <c r="F253" t="inlineStr">
        <is>
          <t>DALARNAS LÄN</t>
        </is>
      </c>
      <c r="G253" t="inlineStr">
        <is>
          <t>SMEDJEBACKEN</t>
        </is>
      </c>
      <c r="H253" t="inlineStr">
        <is>
          <t>Sveaskog</t>
        </is>
      </c>
      <c r="I253" t="n">
        <v>4.4</v>
      </c>
      <c r="J253" t="n">
        <v>0</v>
      </c>
      <c r="K253" t="n">
        <v>0</v>
      </c>
      <c r="L253" t="n">
        <v>0</v>
      </c>
      <c r="M253" t="n">
        <v>0</v>
      </c>
      <c r="N253" t="n">
        <v>0</v>
      </c>
      <c r="O253" t="n">
        <v>0</v>
      </c>
      <c r="P253" t="n">
        <v>0</v>
      </c>
      <c r="Q253" t="n">
        <v>0</v>
      </c>
      <c r="R253" t="n">
        <v>0</v>
      </c>
      <c r="S253" t="n">
        <v>0</v>
      </c>
      <c r="T253" t="n">
        <v>0</v>
      </c>
      <c r="U253" s="2" t="inlineStr"/>
    </row>
    <row r="254" ht="15" customHeight="1">
      <c r="A254" t="inlineStr">
        <is>
          <t>A 48480-2025</t>
        </is>
      </c>
      <c r="B254" t="inlineStr">
        <is>
          <t>avverkningsanmälan</t>
        </is>
      </c>
      <c r="C254" t="inlineStr">
        <is>
          <t>Föryngringsavverkning</t>
        </is>
      </c>
      <c r="D254" s="1" t="n">
        <v>45936</v>
      </c>
      <c r="E254" s="1" t="n">
        <v>46223</v>
      </c>
      <c r="F254" t="inlineStr">
        <is>
          <t>DALARNAS LÄN</t>
        </is>
      </c>
      <c r="G254" t="inlineStr">
        <is>
          <t>SMEDJEBACKEN</t>
        </is>
      </c>
      <c r="H254" t="inlineStr">
        <is>
          <t>Sveaskog</t>
        </is>
      </c>
      <c r="I254" t="n">
        <v>4.7</v>
      </c>
      <c r="J254" t="n">
        <v>0</v>
      </c>
      <c r="K254" t="n">
        <v>0</v>
      </c>
      <c r="L254" t="n">
        <v>0</v>
      </c>
      <c r="M254" t="n">
        <v>0</v>
      </c>
      <c r="N254" t="n">
        <v>0</v>
      </c>
      <c r="O254" t="n">
        <v>0</v>
      </c>
      <c r="P254" t="n">
        <v>0</v>
      </c>
      <c r="Q254" t="n">
        <v>0</v>
      </c>
      <c r="R254" t="n">
        <v>0</v>
      </c>
      <c r="S254" t="n">
        <v>0</v>
      </c>
      <c r="T254" t="n">
        <v>0</v>
      </c>
      <c r="U254" s="2" t="inlineStr"/>
    </row>
    <row r="255" ht="15" customHeight="1">
      <c r="A255" t="inlineStr">
        <is>
          <t>A 57629-2022</t>
        </is>
      </c>
      <c r="B255" t="inlineStr">
        <is>
          <t>avverkningsanmälan</t>
        </is>
      </c>
      <c r="C255" t="inlineStr">
        <is>
          <t>Föryngringsavverkning</t>
        </is>
      </c>
      <c r="D255" s="1" t="n">
        <v>44897</v>
      </c>
      <c r="E255" s="1" t="n">
        <v>46223</v>
      </c>
      <c r="F255" t="inlineStr">
        <is>
          <t>DALARNAS LÄN</t>
        </is>
      </c>
      <c r="G255" t="inlineStr">
        <is>
          <t>SMEDJEBACKEN</t>
        </is>
      </c>
      <c r="H255" t="inlineStr">
        <is>
          <t>Kyrkan</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48481-2025</t>
        </is>
      </c>
      <c r="B256" t="inlineStr">
        <is>
          <t>avverkningsanmälan</t>
        </is>
      </c>
      <c r="C256" t="inlineStr">
        <is>
          <t>Föryngringsavverkning</t>
        </is>
      </c>
      <c r="D256" s="1" t="n">
        <v>45936</v>
      </c>
      <c r="E256" s="1" t="n">
        <v>46223</v>
      </c>
      <c r="F256" t="inlineStr">
        <is>
          <t>DALARNAS LÄN</t>
        </is>
      </c>
      <c r="G256" t="inlineStr">
        <is>
          <t>SMEDJEBACKEN</t>
        </is>
      </c>
      <c r="H256" t="inlineStr">
        <is>
          <t>Sveaskog</t>
        </is>
      </c>
      <c r="I256" t="n">
        <v>2.6</v>
      </c>
      <c r="J256" t="n">
        <v>0</v>
      </c>
      <c r="K256" t="n">
        <v>0</v>
      </c>
      <c r="L256" t="n">
        <v>0</v>
      </c>
      <c r="M256" t="n">
        <v>0</v>
      </c>
      <c r="N256" t="n">
        <v>0</v>
      </c>
      <c r="O256" t="n">
        <v>0</v>
      </c>
      <c r="P256" t="n">
        <v>0</v>
      </c>
      <c r="Q256" t="n">
        <v>0</v>
      </c>
      <c r="R256" t="n">
        <v>0</v>
      </c>
      <c r="S256" t="n">
        <v>0</v>
      </c>
      <c r="T256" t="n">
        <v>0</v>
      </c>
      <c r="U256" s="2" t="inlineStr"/>
    </row>
    <row r="257" ht="15" customHeight="1">
      <c r="A257" t="inlineStr">
        <is>
          <t>A 48476-2025</t>
        </is>
      </c>
      <c r="B257" t="inlineStr">
        <is>
          <t>avverkningsanmälan</t>
        </is>
      </c>
      <c r="C257" t="inlineStr">
        <is>
          <t>Föryngringsavverkning</t>
        </is>
      </c>
      <c r="D257" s="1" t="n">
        <v>45936</v>
      </c>
      <c r="E257" s="1" t="n">
        <v>46223</v>
      </c>
      <c r="F257" t="inlineStr">
        <is>
          <t>DALARNAS LÄN</t>
        </is>
      </c>
      <c r="G257" t="inlineStr">
        <is>
          <t>SMEDJEBACKEN</t>
        </is>
      </c>
      <c r="H257" t="inlineStr">
        <is>
          <t>Sveaskog</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48617-2025</t>
        </is>
      </c>
      <c r="B258" t="inlineStr">
        <is>
          <t>avverkningsanmälan</t>
        </is>
      </c>
      <c r="C258" t="inlineStr">
        <is>
          <t>Föryngringsavverkning</t>
        </is>
      </c>
      <c r="D258" s="1" t="n">
        <v>45935</v>
      </c>
      <c r="E258" s="1" t="n">
        <v>46223</v>
      </c>
      <c r="F258" t="inlineStr">
        <is>
          <t>DALARNAS LÄN</t>
        </is>
      </c>
      <c r="G258" t="inlineStr">
        <is>
          <t>SMEDJEBACKEN</t>
        </is>
      </c>
      <c r="H258" t="inlineStr">
        <is>
          <t>Bergvik skog väst AB</t>
        </is>
      </c>
      <c r="I258" t="n">
        <v>18.6</v>
      </c>
      <c r="J258" t="n">
        <v>0</v>
      </c>
      <c r="K258" t="n">
        <v>0</v>
      </c>
      <c r="L258" t="n">
        <v>0</v>
      </c>
      <c r="M258" t="n">
        <v>0</v>
      </c>
      <c r="N258" t="n">
        <v>0</v>
      </c>
      <c r="O258" t="n">
        <v>0</v>
      </c>
      <c r="P258" t="n">
        <v>0</v>
      </c>
      <c r="Q258" t="n">
        <v>0</v>
      </c>
      <c r="R258" t="n">
        <v>0</v>
      </c>
      <c r="S258" t="n">
        <v>0</v>
      </c>
      <c r="T258" t="n">
        <v>0</v>
      </c>
      <c r="U258" s="2" t="inlineStr"/>
    </row>
    <row r="259" ht="15" customHeight="1">
      <c r="A259" t="inlineStr">
        <is>
          <t>A 33936-2024</t>
        </is>
      </c>
      <c r="B259" t="inlineStr">
        <is>
          <t>avverkningsanmälan</t>
        </is>
      </c>
      <c r="C259" t="inlineStr">
        <is>
          <t>Föryngringsavverkning</t>
        </is>
      </c>
      <c r="D259" s="1" t="n">
        <v>45522</v>
      </c>
      <c r="E259" s="1" t="n">
        <v>46223</v>
      </c>
      <c r="F259" t="inlineStr">
        <is>
          <t>DALARNAS LÄN</t>
        </is>
      </c>
      <c r="G259" t="inlineStr">
        <is>
          <t>SMEDJEBACKEN</t>
        </is>
      </c>
      <c r="H259" t="inlineStr">
        <is>
          <t>Bergvik skog väst AB</t>
        </is>
      </c>
      <c r="I259" t="n">
        <v>5</v>
      </c>
      <c r="J259" t="n">
        <v>0</v>
      </c>
      <c r="K259" t="n">
        <v>0</v>
      </c>
      <c r="L259" t="n">
        <v>0</v>
      </c>
      <c r="M259" t="n">
        <v>0</v>
      </c>
      <c r="N259" t="n">
        <v>0</v>
      </c>
      <c r="O259" t="n">
        <v>0</v>
      </c>
      <c r="P259" t="n">
        <v>0</v>
      </c>
      <c r="Q259" t="n">
        <v>0</v>
      </c>
      <c r="R259" t="n">
        <v>0</v>
      </c>
      <c r="S259" t="n">
        <v>0</v>
      </c>
      <c r="T259" t="n">
        <v>0</v>
      </c>
      <c r="U259" s="2" t="inlineStr"/>
    </row>
    <row r="260" ht="15" customHeight="1">
      <c r="A260" t="inlineStr">
        <is>
          <t>A 15321-2025</t>
        </is>
      </c>
      <c r="B260" t="inlineStr">
        <is>
          <t>avverkningsanmälan</t>
        </is>
      </c>
      <c r="C260" t="inlineStr">
        <is>
          <t>Föryngringsavverkning</t>
        </is>
      </c>
      <c r="D260" s="1" t="n">
        <v>45747</v>
      </c>
      <c r="E260" s="1" t="n">
        <v>46223</v>
      </c>
      <c r="F260" t="inlineStr">
        <is>
          <t>DALARNAS LÄN</t>
        </is>
      </c>
      <c r="G260" t="inlineStr">
        <is>
          <t>SMEDJEBACKEN</t>
        </is>
      </c>
      <c r="I260" t="n">
        <v>4.2</v>
      </c>
      <c r="J260" t="n">
        <v>0</v>
      </c>
      <c r="K260" t="n">
        <v>0</v>
      </c>
      <c r="L260" t="n">
        <v>0</v>
      </c>
      <c r="M260" t="n">
        <v>0</v>
      </c>
      <c r="N260" t="n">
        <v>0</v>
      </c>
      <c r="O260" t="n">
        <v>0</v>
      </c>
      <c r="P260" t="n">
        <v>0</v>
      </c>
      <c r="Q260" t="n">
        <v>0</v>
      </c>
      <c r="R260" t="n">
        <v>0</v>
      </c>
      <c r="S260" t="n">
        <v>0</v>
      </c>
      <c r="T260" t="n">
        <v>0</v>
      </c>
      <c r="U260" s="2" t="inlineStr"/>
    </row>
    <row r="261" ht="15" customHeight="1">
      <c r="A261" t="inlineStr">
        <is>
          <t>A 31809-2022</t>
        </is>
      </c>
      <c r="B261" t="inlineStr">
        <is>
          <t>avverkningsanmälan</t>
        </is>
      </c>
      <c r="C261" t="inlineStr">
        <is>
          <t>Föryngringsavverkning</t>
        </is>
      </c>
      <c r="D261" s="1" t="n">
        <v>44776</v>
      </c>
      <c r="E261" s="1" t="n">
        <v>46223</v>
      </c>
      <c r="F261" t="inlineStr">
        <is>
          <t>DALARNAS LÄN</t>
        </is>
      </c>
      <c r="G261" t="inlineStr">
        <is>
          <t>SMEDJEBACKEN</t>
        </is>
      </c>
      <c r="H261" t="inlineStr">
        <is>
          <t>Bergvik skog väst AB</t>
        </is>
      </c>
      <c r="I261" t="n">
        <v>5.5</v>
      </c>
      <c r="J261" t="n">
        <v>0</v>
      </c>
      <c r="K261" t="n">
        <v>0</v>
      </c>
      <c r="L261" t="n">
        <v>0</v>
      </c>
      <c r="M261" t="n">
        <v>0</v>
      </c>
      <c r="N261" t="n">
        <v>0</v>
      </c>
      <c r="O261" t="n">
        <v>0</v>
      </c>
      <c r="P261" t="n">
        <v>0</v>
      </c>
      <c r="Q261" t="n">
        <v>0</v>
      </c>
      <c r="R261" t="n">
        <v>0</v>
      </c>
      <c r="S261" t="n">
        <v>0</v>
      </c>
      <c r="T261" t="n">
        <v>0</v>
      </c>
      <c r="U261" s="2" t="inlineStr"/>
    </row>
    <row r="262" ht="15" customHeight="1">
      <c r="A262" t="inlineStr">
        <is>
          <t>A 7020-2026</t>
        </is>
      </c>
      <c r="B262" t="inlineStr">
        <is>
          <t>avverkningsanmälan</t>
        </is>
      </c>
      <c r="C262" t="inlineStr">
        <is>
          <t>Föryngringsavverkning</t>
        </is>
      </c>
      <c r="D262" s="1" t="n">
        <v>46057</v>
      </c>
      <c r="E262" s="1" t="n">
        <v>46223</v>
      </c>
      <c r="F262" t="inlineStr">
        <is>
          <t>DALARNAS LÄN</t>
        </is>
      </c>
      <c r="G262" t="inlineStr">
        <is>
          <t>SMEDJEBACKEN</t>
        </is>
      </c>
      <c r="I262" t="n">
        <v>3.1</v>
      </c>
      <c r="J262" t="n">
        <v>0</v>
      </c>
      <c r="K262" t="n">
        <v>0</v>
      </c>
      <c r="L262" t="n">
        <v>0</v>
      </c>
      <c r="M262" t="n">
        <v>0</v>
      </c>
      <c r="N262" t="n">
        <v>0</v>
      </c>
      <c r="O262" t="n">
        <v>0</v>
      </c>
      <c r="P262" t="n">
        <v>0</v>
      </c>
      <c r="Q262" t="n">
        <v>0</v>
      </c>
      <c r="R262" t="n">
        <v>0</v>
      </c>
      <c r="S262" t="n">
        <v>0</v>
      </c>
      <c r="T262" t="n">
        <v>0</v>
      </c>
      <c r="U262" s="2" t="inlineStr"/>
    </row>
    <row r="263" ht="15" customHeight="1">
      <c r="A263" t="inlineStr">
        <is>
          <t>A 16445-2024</t>
        </is>
      </c>
      <c r="B263" t="inlineStr">
        <is>
          <t>avverkningsanmälan</t>
        </is>
      </c>
      <c r="C263" t="inlineStr">
        <is>
          <t>Föryngringsavverkning</t>
        </is>
      </c>
      <c r="D263" s="1" t="n">
        <v>45407</v>
      </c>
      <c r="E263" s="1" t="n">
        <v>46223</v>
      </c>
      <c r="F263" t="inlineStr">
        <is>
          <t>DALARNAS LÄN</t>
        </is>
      </c>
      <c r="G263" t="inlineStr">
        <is>
          <t>SMEDJEBACKEN</t>
        </is>
      </c>
      <c r="I263" t="n">
        <v>4.2</v>
      </c>
      <c r="J263" t="n">
        <v>0</v>
      </c>
      <c r="K263" t="n">
        <v>0</v>
      </c>
      <c r="L263" t="n">
        <v>0</v>
      </c>
      <c r="M263" t="n">
        <v>0</v>
      </c>
      <c r="N263" t="n">
        <v>0</v>
      </c>
      <c r="O263" t="n">
        <v>0</v>
      </c>
      <c r="P263" t="n">
        <v>0</v>
      </c>
      <c r="Q263" t="n">
        <v>0</v>
      </c>
      <c r="R263" t="n">
        <v>0</v>
      </c>
      <c r="S263" t="n">
        <v>0</v>
      </c>
      <c r="T263" t="n">
        <v>0</v>
      </c>
      <c r="U263" s="2" t="inlineStr"/>
    </row>
    <row r="264" ht="15" customHeight="1">
      <c r="A264" t="inlineStr">
        <is>
          <t>A 34374-2022</t>
        </is>
      </c>
      <c r="B264" t="inlineStr">
        <is>
          <t>avverkningsanmälan</t>
        </is>
      </c>
      <c r="C264" t="inlineStr">
        <is>
          <t>Föryngringsavverkning</t>
        </is>
      </c>
      <c r="D264" s="1" t="n">
        <v>44792</v>
      </c>
      <c r="E264" s="1" t="n">
        <v>46223</v>
      </c>
      <c r="F264" t="inlineStr">
        <is>
          <t>DALARNAS LÄN</t>
        </is>
      </c>
      <c r="G264" t="inlineStr">
        <is>
          <t>SMEDJEBACKEN</t>
        </is>
      </c>
      <c r="H264" t="inlineStr">
        <is>
          <t>Sveaskog</t>
        </is>
      </c>
      <c r="I264" t="n">
        <v>4.9</v>
      </c>
      <c r="J264" t="n">
        <v>0</v>
      </c>
      <c r="K264" t="n">
        <v>0</v>
      </c>
      <c r="L264" t="n">
        <v>0</v>
      </c>
      <c r="M264" t="n">
        <v>0</v>
      </c>
      <c r="N264" t="n">
        <v>0</v>
      </c>
      <c r="O264" t="n">
        <v>0</v>
      </c>
      <c r="P264" t="n">
        <v>0</v>
      </c>
      <c r="Q264" t="n">
        <v>0</v>
      </c>
      <c r="R264" t="n">
        <v>0</v>
      </c>
      <c r="S264" t="n">
        <v>0</v>
      </c>
      <c r="T264" t="n">
        <v>0</v>
      </c>
      <c r="U264" s="2" t="inlineStr"/>
    </row>
    <row r="265" ht="15" customHeight="1">
      <c r="A265" t="inlineStr">
        <is>
          <t>A 58422-2023</t>
        </is>
      </c>
      <c r="B265" t="inlineStr">
        <is>
          <t>avverkningsanmälan</t>
        </is>
      </c>
      <c r="C265" t="inlineStr">
        <is>
          <t>Föryngringsavverkning</t>
        </is>
      </c>
      <c r="D265" s="1" t="n">
        <v>45246</v>
      </c>
      <c r="E265" s="1" t="n">
        <v>46223</v>
      </c>
      <c r="F265" t="inlineStr">
        <is>
          <t>DALARNAS LÄN</t>
        </is>
      </c>
      <c r="G265" t="inlineStr">
        <is>
          <t>SMEDJEBACKEN</t>
        </is>
      </c>
      <c r="H265" t="inlineStr">
        <is>
          <t>Bergvik skog väst AB</t>
        </is>
      </c>
      <c r="I265" t="n">
        <v>0.8</v>
      </c>
      <c r="J265" t="n">
        <v>0</v>
      </c>
      <c r="K265" t="n">
        <v>0</v>
      </c>
      <c r="L265" t="n">
        <v>0</v>
      </c>
      <c r="M265" t="n">
        <v>0</v>
      </c>
      <c r="N265" t="n">
        <v>0</v>
      </c>
      <c r="O265" t="n">
        <v>0</v>
      </c>
      <c r="P265" t="n">
        <v>0</v>
      </c>
      <c r="Q265" t="n">
        <v>0</v>
      </c>
      <c r="R265" t="n">
        <v>0</v>
      </c>
      <c r="S265" t="n">
        <v>0</v>
      </c>
      <c r="T265" t="n">
        <v>0</v>
      </c>
      <c r="U265" s="2" t="inlineStr"/>
    </row>
    <row r="266" ht="15" customHeight="1">
      <c r="A266" t="inlineStr">
        <is>
          <t>A 36171-2025</t>
        </is>
      </c>
      <c r="B266" t="inlineStr">
        <is>
          <t>avverkningsanmälan</t>
        </is>
      </c>
      <c r="C266" t="inlineStr">
        <is>
          <t>Föryngringsavverkning</t>
        </is>
      </c>
      <c r="D266" s="1" t="n">
        <v>45867</v>
      </c>
      <c r="E266" s="1" t="n">
        <v>46223</v>
      </c>
      <c r="F266" t="inlineStr">
        <is>
          <t>DALARNAS LÄN</t>
        </is>
      </c>
      <c r="G266" t="inlineStr">
        <is>
          <t>SMEDJEBACKEN</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55811-2022</t>
        </is>
      </c>
      <c r="B267" t="inlineStr">
        <is>
          <t>avverkningsanmälan</t>
        </is>
      </c>
      <c r="C267" t="inlineStr">
        <is>
          <t>Föryngringsavverkning</t>
        </is>
      </c>
      <c r="D267" s="1" t="n">
        <v>44888</v>
      </c>
      <c r="E267" s="1" t="n">
        <v>46223</v>
      </c>
      <c r="F267" t="inlineStr">
        <is>
          <t>DALARNAS LÄN</t>
        </is>
      </c>
      <c r="G267" t="inlineStr">
        <is>
          <t>SMEDJEBACKEN</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45152-2024</t>
        </is>
      </c>
      <c r="B268" t="inlineStr">
        <is>
          <t>avverkningsanmälan</t>
        </is>
      </c>
      <c r="C268" t="inlineStr">
        <is>
          <t>Föryngringsavverkning</t>
        </is>
      </c>
      <c r="D268" s="1" t="n">
        <v>45575</v>
      </c>
      <c r="E268" s="1" t="n">
        <v>46223</v>
      </c>
      <c r="F268" t="inlineStr">
        <is>
          <t>DALARNAS LÄN</t>
        </is>
      </c>
      <c r="G268" t="inlineStr">
        <is>
          <t>SMEDJEBACKEN</t>
        </is>
      </c>
      <c r="H268" t="inlineStr">
        <is>
          <t>Sveaskog</t>
        </is>
      </c>
      <c r="I268" t="n">
        <v>2.7</v>
      </c>
      <c r="J268" t="n">
        <v>0</v>
      </c>
      <c r="K268" t="n">
        <v>0</v>
      </c>
      <c r="L268" t="n">
        <v>0</v>
      </c>
      <c r="M268" t="n">
        <v>0</v>
      </c>
      <c r="N268" t="n">
        <v>0</v>
      </c>
      <c r="O268" t="n">
        <v>0</v>
      </c>
      <c r="P268" t="n">
        <v>0</v>
      </c>
      <c r="Q268" t="n">
        <v>0</v>
      </c>
      <c r="R268" t="n">
        <v>0</v>
      </c>
      <c r="S268" t="n">
        <v>0</v>
      </c>
      <c r="T268" t="n">
        <v>0</v>
      </c>
      <c r="U268" s="2" t="inlineStr"/>
    </row>
    <row r="269" ht="15" customHeight="1">
      <c r="A269" t="inlineStr">
        <is>
          <t>A 53474-2024</t>
        </is>
      </c>
      <c r="B269" t="inlineStr">
        <is>
          <t>avverkningsanmälan</t>
        </is>
      </c>
      <c r="C269" t="inlineStr">
        <is>
          <t>Föryngringsavverkning</t>
        </is>
      </c>
      <c r="D269" s="1" t="n">
        <v>45611</v>
      </c>
      <c r="E269" s="1" t="n">
        <v>46223</v>
      </c>
      <c r="F269" t="inlineStr">
        <is>
          <t>DALARNAS LÄN</t>
        </is>
      </c>
      <c r="G269" t="inlineStr">
        <is>
          <t>SMEDJEBACKEN</t>
        </is>
      </c>
      <c r="I269" t="n">
        <v>4.9</v>
      </c>
      <c r="J269" t="n">
        <v>0</v>
      </c>
      <c r="K269" t="n">
        <v>0</v>
      </c>
      <c r="L269" t="n">
        <v>0</v>
      </c>
      <c r="M269" t="n">
        <v>0</v>
      </c>
      <c r="N269" t="n">
        <v>0</v>
      </c>
      <c r="O269" t="n">
        <v>0</v>
      </c>
      <c r="P269" t="n">
        <v>0</v>
      </c>
      <c r="Q269" t="n">
        <v>0</v>
      </c>
      <c r="R269" t="n">
        <v>0</v>
      </c>
      <c r="S269" t="n">
        <v>0</v>
      </c>
      <c r="T269" t="n">
        <v>0</v>
      </c>
      <c r="U269" s="2" t="inlineStr"/>
    </row>
    <row r="270" ht="15" customHeight="1">
      <c r="A270" t="inlineStr">
        <is>
          <t>A 49205-2025</t>
        </is>
      </c>
      <c r="B270" t="inlineStr">
        <is>
          <t>avverkningsanmälan</t>
        </is>
      </c>
      <c r="C270" t="inlineStr">
        <is>
          <t>Föryngringsavverkning</t>
        </is>
      </c>
      <c r="D270" s="1" t="n">
        <v>45938</v>
      </c>
      <c r="E270" s="1" t="n">
        <v>46223</v>
      </c>
      <c r="F270" t="inlineStr">
        <is>
          <t>DALARNAS LÄN</t>
        </is>
      </c>
      <c r="G270" t="inlineStr">
        <is>
          <t>SMEDJEBACKEN</t>
        </is>
      </c>
      <c r="I270" t="n">
        <v>1.9</v>
      </c>
      <c r="J270" t="n">
        <v>0</v>
      </c>
      <c r="K270" t="n">
        <v>0</v>
      </c>
      <c r="L270" t="n">
        <v>0</v>
      </c>
      <c r="M270" t="n">
        <v>0</v>
      </c>
      <c r="N270" t="n">
        <v>0</v>
      </c>
      <c r="O270" t="n">
        <v>0</v>
      </c>
      <c r="P270" t="n">
        <v>0</v>
      </c>
      <c r="Q270" t="n">
        <v>0</v>
      </c>
      <c r="R270" t="n">
        <v>0</v>
      </c>
      <c r="S270" t="n">
        <v>0</v>
      </c>
      <c r="T270" t="n">
        <v>0</v>
      </c>
      <c r="U270" s="2" t="inlineStr"/>
    </row>
    <row r="271" ht="15" customHeight="1">
      <c r="A271" t="inlineStr">
        <is>
          <t>A 50680-2025</t>
        </is>
      </c>
      <c r="B271" t="inlineStr">
        <is>
          <t>avverkningsanmälan</t>
        </is>
      </c>
      <c r="C271" t="inlineStr">
        <is>
          <t>Föryngringsavverkning</t>
        </is>
      </c>
      <c r="D271" s="1" t="n">
        <v>45945</v>
      </c>
      <c r="E271" s="1" t="n">
        <v>46223</v>
      </c>
      <c r="F271" t="inlineStr">
        <is>
          <t>DALARNAS LÄN</t>
        </is>
      </c>
      <c r="G271" t="inlineStr">
        <is>
          <t>SMEDJEBACKEN</t>
        </is>
      </c>
      <c r="H271" t="inlineStr">
        <is>
          <t>Bergvik skog väst AB</t>
        </is>
      </c>
      <c r="I271" t="n">
        <v>24.5</v>
      </c>
      <c r="J271" t="n">
        <v>0</v>
      </c>
      <c r="K271" t="n">
        <v>0</v>
      </c>
      <c r="L271" t="n">
        <v>0</v>
      </c>
      <c r="M271" t="n">
        <v>0</v>
      </c>
      <c r="N271" t="n">
        <v>0</v>
      </c>
      <c r="O271" t="n">
        <v>0</v>
      </c>
      <c r="P271" t="n">
        <v>0</v>
      </c>
      <c r="Q271" t="n">
        <v>0</v>
      </c>
      <c r="R271" t="n">
        <v>0</v>
      </c>
      <c r="S271" t="n">
        <v>0</v>
      </c>
      <c r="T271" t="n">
        <v>0</v>
      </c>
      <c r="U271" s="2" t="inlineStr"/>
    </row>
    <row r="272" ht="15" customHeight="1">
      <c r="A272" t="inlineStr">
        <is>
          <t>A 50682-2025</t>
        </is>
      </c>
      <c r="B272" t="inlineStr">
        <is>
          <t>avverkningsanmälan</t>
        </is>
      </c>
      <c r="C272" t="inlineStr">
        <is>
          <t>Föryngringsavverkning</t>
        </is>
      </c>
      <c r="D272" s="1" t="n">
        <v>45945</v>
      </c>
      <c r="E272" s="1" t="n">
        <v>46223</v>
      </c>
      <c r="F272" t="inlineStr">
        <is>
          <t>DALARNAS LÄN</t>
        </is>
      </c>
      <c r="G272" t="inlineStr">
        <is>
          <t>SMEDJEBACKEN</t>
        </is>
      </c>
      <c r="H272" t="inlineStr">
        <is>
          <t>Bergvik skog väst AB</t>
        </is>
      </c>
      <c r="I272" t="n">
        <v>17.4</v>
      </c>
      <c r="J272" t="n">
        <v>0</v>
      </c>
      <c r="K272" t="n">
        <v>0</v>
      </c>
      <c r="L272" t="n">
        <v>0</v>
      </c>
      <c r="M272" t="n">
        <v>0</v>
      </c>
      <c r="N272" t="n">
        <v>0</v>
      </c>
      <c r="O272" t="n">
        <v>0</v>
      </c>
      <c r="P272" t="n">
        <v>0</v>
      </c>
      <c r="Q272" t="n">
        <v>0</v>
      </c>
      <c r="R272" t="n">
        <v>0</v>
      </c>
      <c r="S272" t="n">
        <v>0</v>
      </c>
      <c r="T272" t="n">
        <v>0</v>
      </c>
      <c r="U272" s="2" t="inlineStr"/>
    </row>
    <row r="273" ht="15" customHeight="1">
      <c r="A273" t="inlineStr">
        <is>
          <t>A 60025-2024</t>
        </is>
      </c>
      <c r="B273" t="inlineStr">
        <is>
          <t>avverkningsanmälan</t>
        </is>
      </c>
      <c r="C273" t="inlineStr">
        <is>
          <t>Föryngringsavverkning</t>
        </is>
      </c>
      <c r="D273" s="1" t="n">
        <v>45642</v>
      </c>
      <c r="E273" s="1" t="n">
        <v>46223</v>
      </c>
      <c r="F273" t="inlineStr">
        <is>
          <t>DALARNAS LÄN</t>
        </is>
      </c>
      <c r="G273" t="inlineStr">
        <is>
          <t>SMEDJEBACKEN</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50779-2025</t>
        </is>
      </c>
      <c r="B274" t="inlineStr">
        <is>
          <t>avverkningsanmälan</t>
        </is>
      </c>
      <c r="C274" t="inlineStr">
        <is>
          <t>Föryngringsavverkning</t>
        </is>
      </c>
      <c r="D274" s="1" t="n">
        <v>45946</v>
      </c>
      <c r="E274" s="1" t="n">
        <v>46223</v>
      </c>
      <c r="F274" t="inlineStr">
        <is>
          <t>DALARNAS LÄN</t>
        </is>
      </c>
      <c r="G274" t="inlineStr">
        <is>
          <t>SMEDJEBACKEN</t>
        </is>
      </c>
      <c r="H274" t="inlineStr">
        <is>
          <t>Sveaskog</t>
        </is>
      </c>
      <c r="I274" t="n">
        <v>6.5</v>
      </c>
      <c r="J274" t="n">
        <v>0</v>
      </c>
      <c r="K274" t="n">
        <v>0</v>
      </c>
      <c r="L274" t="n">
        <v>0</v>
      </c>
      <c r="M274" t="n">
        <v>0</v>
      </c>
      <c r="N274" t="n">
        <v>0</v>
      </c>
      <c r="O274" t="n">
        <v>0</v>
      </c>
      <c r="P274" t="n">
        <v>0</v>
      </c>
      <c r="Q274" t="n">
        <v>0</v>
      </c>
      <c r="R274" t="n">
        <v>0</v>
      </c>
      <c r="S274" t="n">
        <v>0</v>
      </c>
      <c r="T274" t="n">
        <v>0</v>
      </c>
      <c r="U274" s="2" t="inlineStr"/>
    </row>
    <row r="275" ht="15" customHeight="1">
      <c r="A275" t="inlineStr">
        <is>
          <t>A 50668-2025</t>
        </is>
      </c>
      <c r="B275" t="inlineStr">
        <is>
          <t>avverkningsanmälan</t>
        </is>
      </c>
      <c r="C275" t="inlineStr">
        <is>
          <t>Föryngringsavverkning</t>
        </is>
      </c>
      <c r="D275" s="1" t="n">
        <v>45945</v>
      </c>
      <c r="E275" s="1" t="n">
        <v>46223</v>
      </c>
      <c r="F275" t="inlineStr">
        <is>
          <t>DALARNAS LÄN</t>
        </is>
      </c>
      <c r="G275" t="inlineStr">
        <is>
          <t>SMEDJEBACKEN</t>
        </is>
      </c>
      <c r="H275" t="inlineStr">
        <is>
          <t>Bergvik skog väst AB</t>
        </is>
      </c>
      <c r="I275" t="n">
        <v>14.5</v>
      </c>
      <c r="J275" t="n">
        <v>0</v>
      </c>
      <c r="K275" t="n">
        <v>0</v>
      </c>
      <c r="L275" t="n">
        <v>0</v>
      </c>
      <c r="M275" t="n">
        <v>0</v>
      </c>
      <c r="N275" t="n">
        <v>0</v>
      </c>
      <c r="O275" t="n">
        <v>0</v>
      </c>
      <c r="P275" t="n">
        <v>0</v>
      </c>
      <c r="Q275" t="n">
        <v>0</v>
      </c>
      <c r="R275" t="n">
        <v>0</v>
      </c>
      <c r="S275" t="n">
        <v>0</v>
      </c>
      <c r="T275" t="n">
        <v>0</v>
      </c>
      <c r="U275" s="2" t="inlineStr"/>
    </row>
    <row r="276" ht="15" customHeight="1">
      <c r="A276" t="inlineStr">
        <is>
          <t>A 51071-2025</t>
        </is>
      </c>
      <c r="B276" t="inlineStr">
        <is>
          <t>avverkningsanmälan</t>
        </is>
      </c>
      <c r="C276" t="inlineStr">
        <is>
          <t>Avverkning för att bevara och utveckla /försöksver</t>
        </is>
      </c>
      <c r="D276" s="1" t="n">
        <v>45947</v>
      </c>
      <c r="E276" s="1" t="n">
        <v>46223</v>
      </c>
      <c r="F276" t="inlineStr">
        <is>
          <t>DALARNAS LÄN</t>
        </is>
      </c>
      <c r="G276" t="inlineStr">
        <is>
          <t>SMEDJEBACKEN</t>
        </is>
      </c>
      <c r="H276" t="inlineStr">
        <is>
          <t>Sveaskog</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51053-2025</t>
        </is>
      </c>
      <c r="B277" t="inlineStr">
        <is>
          <t>avverkningsanmälan</t>
        </is>
      </c>
      <c r="C277" t="inlineStr">
        <is>
          <t>Föryngringsavverkning</t>
        </is>
      </c>
      <c r="D277" s="1" t="n">
        <v>45947</v>
      </c>
      <c r="E277" s="1" t="n">
        <v>46223</v>
      </c>
      <c r="F277" t="inlineStr">
        <is>
          <t>DALARNAS LÄN</t>
        </is>
      </c>
      <c r="G277" t="inlineStr">
        <is>
          <t>SMEDJEBACKEN</t>
        </is>
      </c>
      <c r="H277" t="inlineStr">
        <is>
          <t>Sveaskog</t>
        </is>
      </c>
      <c r="I277" t="n">
        <v>2</v>
      </c>
      <c r="J277" t="n">
        <v>0</v>
      </c>
      <c r="K277" t="n">
        <v>0</v>
      </c>
      <c r="L277" t="n">
        <v>0</v>
      </c>
      <c r="M277" t="n">
        <v>0</v>
      </c>
      <c r="N277" t="n">
        <v>0</v>
      </c>
      <c r="O277" t="n">
        <v>0</v>
      </c>
      <c r="P277" t="n">
        <v>0</v>
      </c>
      <c r="Q277" t="n">
        <v>0</v>
      </c>
      <c r="R277" t="n">
        <v>0</v>
      </c>
      <c r="S277" t="n">
        <v>0</v>
      </c>
      <c r="T277" t="n">
        <v>0</v>
      </c>
      <c r="U277" s="2" t="inlineStr"/>
    </row>
    <row r="278" ht="15" customHeight="1">
      <c r="A278" t="inlineStr">
        <is>
          <t>A 51054-2025</t>
        </is>
      </c>
      <c r="B278" t="inlineStr">
        <is>
          <t>avverkningsanmälan</t>
        </is>
      </c>
      <c r="C278" t="inlineStr">
        <is>
          <t>Föryngringsavverkning</t>
        </is>
      </c>
      <c r="D278" s="1" t="n">
        <v>45947</v>
      </c>
      <c r="E278" s="1" t="n">
        <v>46223</v>
      </c>
      <c r="F278" t="inlineStr">
        <is>
          <t>DALARNAS LÄN</t>
        </is>
      </c>
      <c r="G278" t="inlineStr">
        <is>
          <t>SMEDJEBACKEN</t>
        </is>
      </c>
      <c r="H278" t="inlineStr">
        <is>
          <t>Sveaskog</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51443-2025</t>
        </is>
      </c>
      <c r="B279" t="inlineStr">
        <is>
          <t>avverkningsanmälan</t>
        </is>
      </c>
      <c r="C279" t="inlineStr">
        <is>
          <t>Föryngringsavverkning</t>
        </is>
      </c>
      <c r="D279" s="1" t="n">
        <v>45950</v>
      </c>
      <c r="E279" s="1" t="n">
        <v>46223</v>
      </c>
      <c r="F279" t="inlineStr">
        <is>
          <t>DALARNAS LÄN</t>
        </is>
      </c>
      <c r="G279" t="inlineStr">
        <is>
          <t>SMEDJEBACKEN</t>
        </is>
      </c>
      <c r="H279" t="inlineStr">
        <is>
          <t>Bergvik skog väst AB</t>
        </is>
      </c>
      <c r="I279" t="n">
        <v>5.2</v>
      </c>
      <c r="J279" t="n">
        <v>0</v>
      </c>
      <c r="K279" t="n">
        <v>0</v>
      </c>
      <c r="L279" t="n">
        <v>0</v>
      </c>
      <c r="M279" t="n">
        <v>0</v>
      </c>
      <c r="N279" t="n">
        <v>0</v>
      </c>
      <c r="O279" t="n">
        <v>0</v>
      </c>
      <c r="P279" t="n">
        <v>0</v>
      </c>
      <c r="Q279" t="n">
        <v>0</v>
      </c>
      <c r="R279" t="n">
        <v>0</v>
      </c>
      <c r="S279" t="n">
        <v>0</v>
      </c>
      <c r="T279" t="n">
        <v>0</v>
      </c>
      <c r="U279" s="2" t="inlineStr"/>
    </row>
    <row r="280" ht="15" customHeight="1">
      <c r="A280" t="inlineStr">
        <is>
          <t>A 50524-2024</t>
        </is>
      </c>
      <c r="B280" t="inlineStr">
        <is>
          <t>avverkningsanmälan</t>
        </is>
      </c>
      <c r="C280" t="inlineStr">
        <is>
          <t>Föryngringsavverkning</t>
        </is>
      </c>
      <c r="D280" s="1" t="n">
        <v>45600</v>
      </c>
      <c r="E280" s="1" t="n">
        <v>46223</v>
      </c>
      <c r="F280" t="inlineStr">
        <is>
          <t>DALARNAS LÄN</t>
        </is>
      </c>
      <c r="G280" t="inlineStr">
        <is>
          <t>SMEDJEBACKEN</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51063-2025</t>
        </is>
      </c>
      <c r="B281" t="inlineStr">
        <is>
          <t>avverkningsanmälan</t>
        </is>
      </c>
      <c r="C281" t="inlineStr">
        <is>
          <t>Avverkning för att bevara och utveckla /försöksver</t>
        </is>
      </c>
      <c r="D281" s="1" t="n">
        <v>45947</v>
      </c>
      <c r="E281" s="1" t="n">
        <v>46223</v>
      </c>
      <c r="F281" t="inlineStr">
        <is>
          <t>DALARNAS LÄN</t>
        </is>
      </c>
      <c r="G281" t="inlineStr">
        <is>
          <t>SMEDJEBACKEN</t>
        </is>
      </c>
      <c r="H281" t="inlineStr">
        <is>
          <t>Sveaskog</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51151-2025</t>
        </is>
      </c>
      <c r="B282" t="inlineStr">
        <is>
          <t>avverkningsanmälan</t>
        </is>
      </c>
      <c r="C282" t="inlineStr">
        <is>
          <t>Avverkning för att bevara och utveckla /försöksver</t>
        </is>
      </c>
      <c r="D282" s="1" t="n">
        <v>45947</v>
      </c>
      <c r="E282" s="1" t="n">
        <v>46223</v>
      </c>
      <c r="F282" t="inlineStr">
        <is>
          <t>DALARNAS LÄN</t>
        </is>
      </c>
      <c r="G282" t="inlineStr">
        <is>
          <t>SMEDJEBACKEN</t>
        </is>
      </c>
      <c r="H282" t="inlineStr">
        <is>
          <t>Sveaskog</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51051-2025</t>
        </is>
      </c>
      <c r="B283" t="inlineStr">
        <is>
          <t>avverkningsanmälan</t>
        </is>
      </c>
      <c r="C283" t="inlineStr">
        <is>
          <t>Avverkning för att bevara och utveckla /försöksver</t>
        </is>
      </c>
      <c r="D283" s="1" t="n">
        <v>45947</v>
      </c>
      <c r="E283" s="1" t="n">
        <v>46223</v>
      </c>
      <c r="F283" t="inlineStr">
        <is>
          <t>DALARNAS LÄN</t>
        </is>
      </c>
      <c r="G283" t="inlineStr">
        <is>
          <t>SMEDJEBACKEN</t>
        </is>
      </c>
      <c r="H283" t="inlineStr">
        <is>
          <t>Sveaskog</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51138-2025</t>
        </is>
      </c>
      <c r="B284" t="inlineStr">
        <is>
          <t>avverkningsanmälan</t>
        </is>
      </c>
      <c r="C284" t="inlineStr">
        <is>
          <t>Föryngringsavverkning</t>
        </is>
      </c>
      <c r="D284" s="1" t="n">
        <v>45947</v>
      </c>
      <c r="E284" s="1" t="n">
        <v>46223</v>
      </c>
      <c r="F284" t="inlineStr">
        <is>
          <t>DALARNAS LÄN</t>
        </is>
      </c>
      <c r="G284" t="inlineStr">
        <is>
          <t>SMEDJEBACKEN</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51173-2025</t>
        </is>
      </c>
      <c r="B285" t="inlineStr">
        <is>
          <t>avverkningsanmälan</t>
        </is>
      </c>
      <c r="C285" t="inlineStr">
        <is>
          <t>Avverkning för att bevara och utveckla /försöksver</t>
        </is>
      </c>
      <c r="D285" s="1" t="n">
        <v>45947</v>
      </c>
      <c r="E285" s="1" t="n">
        <v>46223</v>
      </c>
      <c r="F285" t="inlineStr">
        <is>
          <t>DALARNAS LÄN</t>
        </is>
      </c>
      <c r="G285" t="inlineStr">
        <is>
          <t>SMEDJEBACKEN</t>
        </is>
      </c>
      <c r="H285" t="inlineStr">
        <is>
          <t>Sveaskog</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51444-2025</t>
        </is>
      </c>
      <c r="B286" t="inlineStr">
        <is>
          <t>avverkningsanmälan</t>
        </is>
      </c>
      <c r="C286" t="inlineStr">
        <is>
          <t>Föryngringsavverkning</t>
        </is>
      </c>
      <c r="D286" s="1" t="n">
        <v>45950</v>
      </c>
      <c r="E286" s="1" t="n">
        <v>46223</v>
      </c>
      <c r="F286" t="inlineStr">
        <is>
          <t>DALARNAS LÄN</t>
        </is>
      </c>
      <c r="G286" t="inlineStr">
        <is>
          <t>SMEDJEBACKEN</t>
        </is>
      </c>
      <c r="H286" t="inlineStr">
        <is>
          <t>Bergvik skog väst AB</t>
        </is>
      </c>
      <c r="I286" t="n">
        <v>2.8</v>
      </c>
      <c r="J286" t="n">
        <v>0</v>
      </c>
      <c r="K286" t="n">
        <v>0</v>
      </c>
      <c r="L286" t="n">
        <v>0</v>
      </c>
      <c r="M286" t="n">
        <v>0</v>
      </c>
      <c r="N286" t="n">
        <v>0</v>
      </c>
      <c r="O286" t="n">
        <v>0</v>
      </c>
      <c r="P286" t="n">
        <v>0</v>
      </c>
      <c r="Q286" t="n">
        <v>0</v>
      </c>
      <c r="R286" t="n">
        <v>0</v>
      </c>
      <c r="S286" t="n">
        <v>0</v>
      </c>
      <c r="T286" t="n">
        <v>0</v>
      </c>
      <c r="U286" s="2" t="inlineStr"/>
    </row>
    <row r="287" ht="15" customHeight="1">
      <c r="A287" t="inlineStr">
        <is>
          <t>A 51456-2025</t>
        </is>
      </c>
      <c r="B287" t="inlineStr">
        <is>
          <t>avverkningsanmälan</t>
        </is>
      </c>
      <c r="C287" t="inlineStr">
        <is>
          <t>Föryngringsavverkning</t>
        </is>
      </c>
      <c r="D287" s="1" t="n">
        <v>45950</v>
      </c>
      <c r="E287" s="1" t="n">
        <v>46223</v>
      </c>
      <c r="F287" t="inlineStr">
        <is>
          <t>DALARNAS LÄN</t>
        </is>
      </c>
      <c r="G287" t="inlineStr">
        <is>
          <t>SMEDJEBACKEN</t>
        </is>
      </c>
      <c r="H287" t="inlineStr">
        <is>
          <t>Bergvik skog väst AB</t>
        </is>
      </c>
      <c r="I287" t="n">
        <v>6.1</v>
      </c>
      <c r="J287" t="n">
        <v>0</v>
      </c>
      <c r="K287" t="n">
        <v>0</v>
      </c>
      <c r="L287" t="n">
        <v>0</v>
      </c>
      <c r="M287" t="n">
        <v>0</v>
      </c>
      <c r="N287" t="n">
        <v>0</v>
      </c>
      <c r="O287" t="n">
        <v>0</v>
      </c>
      <c r="P287" t="n">
        <v>0</v>
      </c>
      <c r="Q287" t="n">
        <v>0</v>
      </c>
      <c r="R287" t="n">
        <v>0</v>
      </c>
      <c r="S287" t="n">
        <v>0</v>
      </c>
      <c r="T287" t="n">
        <v>0</v>
      </c>
      <c r="U287" s="2" t="inlineStr"/>
    </row>
    <row r="288" ht="15" customHeight="1">
      <c r="A288" t="inlineStr">
        <is>
          <t>A 51555-2025</t>
        </is>
      </c>
      <c r="B288" t="inlineStr">
        <is>
          <t>avverkningsanmälan</t>
        </is>
      </c>
      <c r="C288" t="inlineStr">
        <is>
          <t>Föryngringsavverkning</t>
        </is>
      </c>
      <c r="D288" s="1" t="n">
        <v>45950</v>
      </c>
      <c r="E288" s="1" t="n">
        <v>46223</v>
      </c>
      <c r="F288" t="inlineStr">
        <is>
          <t>DALARNAS LÄN</t>
        </is>
      </c>
      <c r="G288" t="inlineStr">
        <is>
          <t>SMEDJEBACKEN</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52000-2025</t>
        </is>
      </c>
      <c r="B289" t="inlineStr">
        <is>
          <t>avverkningsanmälan</t>
        </is>
      </c>
      <c r="C289" t="inlineStr">
        <is>
          <t>Föryngringsavverkning</t>
        </is>
      </c>
      <c r="D289" s="1" t="n">
        <v>45952</v>
      </c>
      <c r="E289" s="1" t="n">
        <v>46223</v>
      </c>
      <c r="F289" t="inlineStr">
        <is>
          <t>DALARNAS LÄN</t>
        </is>
      </c>
      <c r="G289" t="inlineStr">
        <is>
          <t>SMEDJEBACKEN</t>
        </is>
      </c>
      <c r="H289" t="inlineStr">
        <is>
          <t>Sveaskog</t>
        </is>
      </c>
      <c r="I289" t="n">
        <v>4.7</v>
      </c>
      <c r="J289" t="n">
        <v>0</v>
      </c>
      <c r="K289" t="n">
        <v>0</v>
      </c>
      <c r="L289" t="n">
        <v>0</v>
      </c>
      <c r="M289" t="n">
        <v>0</v>
      </c>
      <c r="N289" t="n">
        <v>0</v>
      </c>
      <c r="O289" t="n">
        <v>0</v>
      </c>
      <c r="P289" t="n">
        <v>0</v>
      </c>
      <c r="Q289" t="n">
        <v>0</v>
      </c>
      <c r="R289" t="n">
        <v>0</v>
      </c>
      <c r="S289" t="n">
        <v>0</v>
      </c>
      <c r="T289" t="n">
        <v>0</v>
      </c>
      <c r="U289" s="2" t="inlineStr"/>
    </row>
    <row r="290" ht="15" customHeight="1">
      <c r="A290" t="inlineStr">
        <is>
          <t>A 52004-2025</t>
        </is>
      </c>
      <c r="B290" t="inlineStr">
        <is>
          <t>avverkningsanmälan</t>
        </is>
      </c>
      <c r="C290" t="inlineStr">
        <is>
          <t>Föryngringsavverkning</t>
        </is>
      </c>
      <c r="D290" s="1" t="n">
        <v>45952</v>
      </c>
      <c r="E290" s="1" t="n">
        <v>46223</v>
      </c>
      <c r="F290" t="inlineStr">
        <is>
          <t>DALARNAS LÄN</t>
        </is>
      </c>
      <c r="G290" t="inlineStr">
        <is>
          <t>SMEDJEBACKEN</t>
        </is>
      </c>
      <c r="H290" t="inlineStr">
        <is>
          <t>Sveaskog</t>
        </is>
      </c>
      <c r="I290" t="n">
        <v>1.9</v>
      </c>
      <c r="J290" t="n">
        <v>0</v>
      </c>
      <c r="K290" t="n">
        <v>0</v>
      </c>
      <c r="L290" t="n">
        <v>0</v>
      </c>
      <c r="M290" t="n">
        <v>0</v>
      </c>
      <c r="N290" t="n">
        <v>0</v>
      </c>
      <c r="O290" t="n">
        <v>0</v>
      </c>
      <c r="P290" t="n">
        <v>0</v>
      </c>
      <c r="Q290" t="n">
        <v>0</v>
      </c>
      <c r="R290" t="n">
        <v>0</v>
      </c>
      <c r="S290" t="n">
        <v>0</v>
      </c>
      <c r="T290" t="n">
        <v>0</v>
      </c>
      <c r="U290" s="2" t="inlineStr"/>
    </row>
    <row r="291" ht="15" customHeight="1">
      <c r="A291" t="inlineStr">
        <is>
          <t>A 52713-2025</t>
        </is>
      </c>
      <c r="B291" t="inlineStr">
        <is>
          <t>avverkningsanmälan</t>
        </is>
      </c>
      <c r="C291" t="inlineStr">
        <is>
          <t>Föryngringsavverkning</t>
        </is>
      </c>
      <c r="D291" s="1" t="n">
        <v>45953</v>
      </c>
      <c r="E291" s="1" t="n">
        <v>46223</v>
      </c>
      <c r="F291" t="inlineStr">
        <is>
          <t>DALARNAS LÄN</t>
        </is>
      </c>
      <c r="G291" t="inlineStr">
        <is>
          <t>SMEDJEBACKEN</t>
        </is>
      </c>
      <c r="H291" t="inlineStr">
        <is>
          <t>Bergvik skog väst AB</t>
        </is>
      </c>
      <c r="I291" t="n">
        <v>0.3</v>
      </c>
      <c r="J291" t="n">
        <v>0</v>
      </c>
      <c r="K291" t="n">
        <v>0</v>
      </c>
      <c r="L291" t="n">
        <v>0</v>
      </c>
      <c r="M291" t="n">
        <v>0</v>
      </c>
      <c r="N291" t="n">
        <v>0</v>
      </c>
      <c r="O291" t="n">
        <v>0</v>
      </c>
      <c r="P291" t="n">
        <v>0</v>
      </c>
      <c r="Q291" t="n">
        <v>0</v>
      </c>
      <c r="R291" t="n">
        <v>0</v>
      </c>
      <c r="S291" t="n">
        <v>0</v>
      </c>
      <c r="T291" t="n">
        <v>0</v>
      </c>
      <c r="U291" s="2" t="inlineStr"/>
    </row>
    <row r="292" ht="15" customHeight="1">
      <c r="A292" t="inlineStr">
        <is>
          <t>A 31788-2022</t>
        </is>
      </c>
      <c r="B292" t="inlineStr">
        <is>
          <t>avverkningsanmälan</t>
        </is>
      </c>
      <c r="C292" t="inlineStr">
        <is>
          <t>Föryngringsavverkning</t>
        </is>
      </c>
      <c r="D292" s="1" t="n">
        <v>44776</v>
      </c>
      <c r="E292" s="1" t="n">
        <v>46223</v>
      </c>
      <c r="F292" t="inlineStr">
        <is>
          <t>DALARNAS LÄN</t>
        </is>
      </c>
      <c r="G292" t="inlineStr">
        <is>
          <t>SMEDJEBACKEN</t>
        </is>
      </c>
      <c r="H292" t="inlineStr">
        <is>
          <t>Bergvik skog väst AB</t>
        </is>
      </c>
      <c r="I292" t="n">
        <v>3.9</v>
      </c>
      <c r="J292" t="n">
        <v>0</v>
      </c>
      <c r="K292" t="n">
        <v>0</v>
      </c>
      <c r="L292" t="n">
        <v>0</v>
      </c>
      <c r="M292" t="n">
        <v>0</v>
      </c>
      <c r="N292" t="n">
        <v>0</v>
      </c>
      <c r="O292" t="n">
        <v>0</v>
      </c>
      <c r="P292" t="n">
        <v>0</v>
      </c>
      <c r="Q292" t="n">
        <v>0</v>
      </c>
      <c r="R292" t="n">
        <v>0</v>
      </c>
      <c r="S292" t="n">
        <v>0</v>
      </c>
      <c r="T292" t="n">
        <v>0</v>
      </c>
      <c r="U292" s="2" t="inlineStr"/>
    </row>
    <row r="293" ht="15" customHeight="1">
      <c r="A293" t="inlineStr">
        <is>
          <t>A 32384-2022</t>
        </is>
      </c>
      <c r="B293" t="inlineStr">
        <is>
          <t>avverkningsanmälan</t>
        </is>
      </c>
      <c r="C293" t="inlineStr">
        <is>
          <t>Föryngringsavverkning</t>
        </is>
      </c>
      <c r="D293" s="1" t="n">
        <v>44782</v>
      </c>
      <c r="E293" s="1" t="n">
        <v>46223</v>
      </c>
      <c r="F293" t="inlineStr">
        <is>
          <t>DALARNAS LÄN</t>
        </is>
      </c>
      <c r="G293" t="inlineStr">
        <is>
          <t>SMEDJEBACKEN</t>
        </is>
      </c>
      <c r="I293" t="n">
        <v>2.9</v>
      </c>
      <c r="J293" t="n">
        <v>0</v>
      </c>
      <c r="K293" t="n">
        <v>0</v>
      </c>
      <c r="L293" t="n">
        <v>0</v>
      </c>
      <c r="M293" t="n">
        <v>0</v>
      </c>
      <c r="N293" t="n">
        <v>0</v>
      </c>
      <c r="O293" t="n">
        <v>0</v>
      </c>
      <c r="P293" t="n">
        <v>0</v>
      </c>
      <c r="Q293" t="n">
        <v>0</v>
      </c>
      <c r="R293" t="n">
        <v>0</v>
      </c>
      <c r="S293" t="n">
        <v>0</v>
      </c>
      <c r="T293" t="n">
        <v>0</v>
      </c>
      <c r="U293" s="2" t="inlineStr"/>
    </row>
    <row r="294" ht="15" customHeight="1">
      <c r="A294" t="inlineStr">
        <is>
          <t>A 52610-2025</t>
        </is>
      </c>
      <c r="B294" t="inlineStr">
        <is>
          <t>avverkningsanmälan</t>
        </is>
      </c>
      <c r="C294" t="inlineStr">
        <is>
          <t>Föryngringsavverkning</t>
        </is>
      </c>
      <c r="D294" s="1" t="n">
        <v>45954</v>
      </c>
      <c r="E294" s="1" t="n">
        <v>46223</v>
      </c>
      <c r="F294" t="inlineStr">
        <is>
          <t>DALARNAS LÄN</t>
        </is>
      </c>
      <c r="G294" t="inlineStr">
        <is>
          <t>SMEDJEBACKEN</t>
        </is>
      </c>
      <c r="I294" t="n">
        <v>5.5</v>
      </c>
      <c r="J294" t="n">
        <v>0</v>
      </c>
      <c r="K294" t="n">
        <v>0</v>
      </c>
      <c r="L294" t="n">
        <v>0</v>
      </c>
      <c r="M294" t="n">
        <v>0</v>
      </c>
      <c r="N294" t="n">
        <v>0</v>
      </c>
      <c r="O294" t="n">
        <v>0</v>
      </c>
      <c r="P294" t="n">
        <v>0</v>
      </c>
      <c r="Q294" t="n">
        <v>0</v>
      </c>
      <c r="R294" t="n">
        <v>0</v>
      </c>
      <c r="S294" t="n">
        <v>0</v>
      </c>
      <c r="T294" t="n">
        <v>0</v>
      </c>
      <c r="U294" s="2" t="inlineStr"/>
    </row>
    <row r="295" ht="15" customHeight="1">
      <c r="A295" t="inlineStr">
        <is>
          <t>A 45214-2025</t>
        </is>
      </c>
      <c r="B295" t="inlineStr">
        <is>
          <t>avverkningsanmälan</t>
        </is>
      </c>
      <c r="C295" t="inlineStr">
        <is>
          <t>Föryngringsavverkning</t>
        </is>
      </c>
      <c r="D295" s="1" t="n">
        <v>45919</v>
      </c>
      <c r="E295" s="1" t="n">
        <v>46223</v>
      </c>
      <c r="F295" t="inlineStr">
        <is>
          <t>DALARNAS LÄN</t>
        </is>
      </c>
      <c r="G295" t="inlineStr">
        <is>
          <t>SMEDJEBACKEN</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A 36231-2022</t>
        </is>
      </c>
      <c r="B296" t="inlineStr">
        <is>
          <t>avverkningsanmälan</t>
        </is>
      </c>
      <c r="C296" t="inlineStr">
        <is>
          <t>Föryngringsavverkning</t>
        </is>
      </c>
      <c r="D296" s="1" t="n">
        <v>44803</v>
      </c>
      <c r="E296" s="1" t="n">
        <v>46223</v>
      </c>
      <c r="F296" t="inlineStr">
        <is>
          <t>DALARNAS LÄN</t>
        </is>
      </c>
      <c r="G296" t="inlineStr">
        <is>
          <t>SMEDJEBACKEN</t>
        </is>
      </c>
      <c r="I296" t="n">
        <v>5.7</v>
      </c>
      <c r="J296" t="n">
        <v>0</v>
      </c>
      <c r="K296" t="n">
        <v>0</v>
      </c>
      <c r="L296" t="n">
        <v>0</v>
      </c>
      <c r="M296" t="n">
        <v>0</v>
      </c>
      <c r="N296" t="n">
        <v>0</v>
      </c>
      <c r="O296" t="n">
        <v>0</v>
      </c>
      <c r="P296" t="n">
        <v>0</v>
      </c>
      <c r="Q296" t="n">
        <v>0</v>
      </c>
      <c r="R296" t="n">
        <v>0</v>
      </c>
      <c r="S296" t="n">
        <v>0</v>
      </c>
      <c r="T296" t="n">
        <v>0</v>
      </c>
      <c r="U296" s="2" t="inlineStr"/>
    </row>
    <row r="297" ht="15" customHeight="1">
      <c r="A297" t="inlineStr">
        <is>
          <t>A 53285-2025</t>
        </is>
      </c>
      <c r="B297" t="inlineStr">
        <is>
          <t>avverkningsanmälan</t>
        </is>
      </c>
      <c r="C297" t="inlineStr">
        <is>
          <t>Föryngringsavverkning</t>
        </is>
      </c>
      <c r="D297" s="1" t="n">
        <v>45958</v>
      </c>
      <c r="E297" s="1" t="n">
        <v>46223</v>
      </c>
      <c r="F297" t="inlineStr">
        <is>
          <t>DALARNAS LÄN</t>
        </is>
      </c>
      <c r="G297" t="inlineStr">
        <is>
          <t>SMEDJEBACKEN</t>
        </is>
      </c>
      <c r="H297" t="inlineStr">
        <is>
          <t>Bergvik skog väst AB</t>
        </is>
      </c>
      <c r="I297" t="n">
        <v>4.6</v>
      </c>
      <c r="J297" t="n">
        <v>0</v>
      </c>
      <c r="K297" t="n">
        <v>0</v>
      </c>
      <c r="L297" t="n">
        <v>0</v>
      </c>
      <c r="M297" t="n">
        <v>0</v>
      </c>
      <c r="N297" t="n">
        <v>0</v>
      </c>
      <c r="O297" t="n">
        <v>0</v>
      </c>
      <c r="P297" t="n">
        <v>0</v>
      </c>
      <c r="Q297" t="n">
        <v>0</v>
      </c>
      <c r="R297" t="n">
        <v>0</v>
      </c>
      <c r="S297" t="n">
        <v>0</v>
      </c>
      <c r="T297" t="n">
        <v>0</v>
      </c>
      <c r="U297" s="2" t="inlineStr"/>
    </row>
    <row r="298" ht="15" customHeight="1">
      <c r="A298" t="inlineStr">
        <is>
          <t>A 34673-2023</t>
        </is>
      </c>
      <c r="B298" t="inlineStr">
        <is>
          <t>avverkningsanmälan</t>
        </is>
      </c>
      <c r="C298" t="inlineStr">
        <is>
          <t>Föryngringsavverkning</t>
        </is>
      </c>
      <c r="D298" s="1" t="n">
        <v>45140</v>
      </c>
      <c r="E298" s="1" t="n">
        <v>46223</v>
      </c>
      <c r="F298" t="inlineStr">
        <is>
          <t>DALARNAS LÄN</t>
        </is>
      </c>
      <c r="G298" t="inlineStr">
        <is>
          <t>SMEDJEBACKEN</t>
        </is>
      </c>
      <c r="I298" t="n">
        <v>10</v>
      </c>
      <c r="J298" t="n">
        <v>0</v>
      </c>
      <c r="K298" t="n">
        <v>0</v>
      </c>
      <c r="L298" t="n">
        <v>0</v>
      </c>
      <c r="M298" t="n">
        <v>0</v>
      </c>
      <c r="N298" t="n">
        <v>0</v>
      </c>
      <c r="O298" t="n">
        <v>0</v>
      </c>
      <c r="P298" t="n">
        <v>0</v>
      </c>
      <c r="Q298" t="n">
        <v>0</v>
      </c>
      <c r="R298" t="n">
        <v>0</v>
      </c>
      <c r="S298" t="n">
        <v>0</v>
      </c>
      <c r="T298" t="n">
        <v>0</v>
      </c>
      <c r="U298" s="2" t="inlineStr"/>
    </row>
    <row r="299" ht="15" customHeight="1">
      <c r="A299" t="inlineStr">
        <is>
          <t>A 52968-2025</t>
        </is>
      </c>
      <c r="B299" t="inlineStr">
        <is>
          <t>avverkningsanmälan</t>
        </is>
      </c>
      <c r="C299" t="inlineStr">
        <is>
          <t>Föryngringsavverkning</t>
        </is>
      </c>
      <c r="D299" s="1" t="n">
        <v>45957</v>
      </c>
      <c r="E299" s="1" t="n">
        <v>46223</v>
      </c>
      <c r="F299" t="inlineStr">
        <is>
          <t>DALARNAS LÄN</t>
        </is>
      </c>
      <c r="G299" t="inlineStr">
        <is>
          <t>SMEDJEBACKEN</t>
        </is>
      </c>
      <c r="H299" t="inlineStr">
        <is>
          <t>Sveaskog</t>
        </is>
      </c>
      <c r="I299" t="n">
        <v>3.6</v>
      </c>
      <c r="J299" t="n">
        <v>0</v>
      </c>
      <c r="K299" t="n">
        <v>0</v>
      </c>
      <c r="L299" t="n">
        <v>0</v>
      </c>
      <c r="M299" t="n">
        <v>0</v>
      </c>
      <c r="N299" t="n">
        <v>0</v>
      </c>
      <c r="O299" t="n">
        <v>0</v>
      </c>
      <c r="P299" t="n">
        <v>0</v>
      </c>
      <c r="Q299" t="n">
        <v>0</v>
      </c>
      <c r="R299" t="n">
        <v>0</v>
      </c>
      <c r="S299" t="n">
        <v>0</v>
      </c>
      <c r="T299" t="n">
        <v>0</v>
      </c>
      <c r="U299" s="2" t="inlineStr"/>
    </row>
    <row r="300" ht="15" customHeight="1">
      <c r="A300" t="inlineStr">
        <is>
          <t>A 53769-2025</t>
        </is>
      </c>
      <c r="B300" t="inlineStr">
        <is>
          <t>avverkningsanmälan</t>
        </is>
      </c>
      <c r="C300" t="inlineStr">
        <is>
          <t>Föryngringsavverkning</t>
        </is>
      </c>
      <c r="D300" s="1" t="n">
        <v>45960</v>
      </c>
      <c r="E300" s="1" t="n">
        <v>46223</v>
      </c>
      <c r="F300" t="inlineStr">
        <is>
          <t>DALARNAS LÄN</t>
        </is>
      </c>
      <c r="G300" t="inlineStr">
        <is>
          <t>SMEDJEBACKEN</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44034-2023</t>
        </is>
      </c>
      <c r="B301" t="inlineStr">
        <is>
          <t>avverkningsanmälan</t>
        </is>
      </c>
      <c r="C301" t="inlineStr">
        <is>
          <t>Avverkning för annat ändamål</t>
        </is>
      </c>
      <c r="D301" s="1" t="n">
        <v>45188</v>
      </c>
      <c r="E301" s="1" t="n">
        <v>46223</v>
      </c>
      <c r="F301" t="inlineStr">
        <is>
          <t>DALARNAS LÄN</t>
        </is>
      </c>
      <c r="G301" t="inlineStr">
        <is>
          <t>SMEDJEBACKEN</t>
        </is>
      </c>
      <c r="H301" t="inlineStr">
        <is>
          <t>Sveaskog</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38440-2022</t>
        </is>
      </c>
      <c r="B302" t="inlineStr">
        <is>
          <t>avverkningsanmälan</t>
        </is>
      </c>
      <c r="C302" t="inlineStr">
        <is>
          <t>Föryngringsavverkning</t>
        </is>
      </c>
      <c r="D302" s="1" t="n">
        <v>44813</v>
      </c>
      <c r="E302" s="1" t="n">
        <v>46223</v>
      </c>
      <c r="F302" t="inlineStr">
        <is>
          <t>DALARNAS LÄN</t>
        </is>
      </c>
      <c r="G302" t="inlineStr">
        <is>
          <t>SMEDJEBACKEN</t>
        </is>
      </c>
      <c r="H302" t="inlineStr">
        <is>
          <t>Bergvik skog väst AB</t>
        </is>
      </c>
      <c r="I302" t="n">
        <v>2.4</v>
      </c>
      <c r="J302" t="n">
        <v>0</v>
      </c>
      <c r="K302" t="n">
        <v>0</v>
      </c>
      <c r="L302" t="n">
        <v>0</v>
      </c>
      <c r="M302" t="n">
        <v>0</v>
      </c>
      <c r="N302" t="n">
        <v>0</v>
      </c>
      <c r="O302" t="n">
        <v>0</v>
      </c>
      <c r="P302" t="n">
        <v>0</v>
      </c>
      <c r="Q302" t="n">
        <v>0</v>
      </c>
      <c r="R302" t="n">
        <v>0</v>
      </c>
      <c r="S302" t="n">
        <v>0</v>
      </c>
      <c r="T302" t="n">
        <v>0</v>
      </c>
      <c r="U302" s="2" t="inlineStr"/>
    </row>
    <row r="303" ht="15" customHeight="1">
      <c r="A303" t="inlineStr">
        <is>
          <t>A 56012-2021</t>
        </is>
      </c>
      <c r="B303" t="inlineStr">
        <is>
          <t>avverkningsanmälan</t>
        </is>
      </c>
      <c r="C303" t="inlineStr">
        <is>
          <t>Föryngringsavverkning</t>
        </is>
      </c>
      <c r="D303" s="1" t="n">
        <v>44477</v>
      </c>
      <c r="E303" s="1" t="n">
        <v>46223</v>
      </c>
      <c r="F303" t="inlineStr">
        <is>
          <t>DALARNAS LÄN</t>
        </is>
      </c>
      <c r="G303" t="inlineStr">
        <is>
          <t>SMEDJEBACKEN</t>
        </is>
      </c>
      <c r="H303" t="inlineStr">
        <is>
          <t>Bergvik skog väst AB</t>
        </is>
      </c>
      <c r="I303" t="n">
        <v>3.1</v>
      </c>
      <c r="J303" t="n">
        <v>0</v>
      </c>
      <c r="K303" t="n">
        <v>0</v>
      </c>
      <c r="L303" t="n">
        <v>0</v>
      </c>
      <c r="M303" t="n">
        <v>0</v>
      </c>
      <c r="N303" t="n">
        <v>0</v>
      </c>
      <c r="O303" t="n">
        <v>0</v>
      </c>
      <c r="P303" t="n">
        <v>0</v>
      </c>
      <c r="Q303" t="n">
        <v>0</v>
      </c>
      <c r="R303" t="n">
        <v>0</v>
      </c>
      <c r="S303" t="n">
        <v>0</v>
      </c>
      <c r="T303" t="n">
        <v>0</v>
      </c>
      <c r="U303" s="2" t="inlineStr"/>
    </row>
    <row r="304" ht="15" customHeight="1">
      <c r="A304" t="inlineStr">
        <is>
          <t>A 38755-2025</t>
        </is>
      </c>
      <c r="B304" t="inlineStr">
        <is>
          <t>avverkningsanmälan</t>
        </is>
      </c>
      <c r="C304" t="inlineStr">
        <is>
          <t>Föryngringsavverkning</t>
        </is>
      </c>
      <c r="D304" s="1" t="n">
        <v>45887</v>
      </c>
      <c r="E304" s="1" t="n">
        <v>46223</v>
      </c>
      <c r="F304" t="inlineStr">
        <is>
          <t>DALARNAS LÄN</t>
        </is>
      </c>
      <c r="G304" t="inlineStr">
        <is>
          <t>SMEDJEBACKEN</t>
        </is>
      </c>
      <c r="H304" t="inlineStr">
        <is>
          <t>Sveaskog</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44116-2023</t>
        </is>
      </c>
      <c r="B305" t="inlineStr">
        <is>
          <t>avverkningsanmälan</t>
        </is>
      </c>
      <c r="C305" t="inlineStr">
        <is>
          <t>Föryngringsavverkning</t>
        </is>
      </c>
      <c r="D305" s="1" t="n">
        <v>45188</v>
      </c>
      <c r="E305" s="1" t="n">
        <v>46223</v>
      </c>
      <c r="F305" t="inlineStr">
        <is>
          <t>DALARNAS LÄN</t>
        </is>
      </c>
      <c r="G305" t="inlineStr">
        <is>
          <t>SMEDJEBACKEN</t>
        </is>
      </c>
      <c r="H305" t="inlineStr">
        <is>
          <t>Bergvik skog väst AB</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52354-2023</t>
        </is>
      </c>
      <c r="B306" t="inlineStr">
        <is>
          <t>avverkningsanmälan</t>
        </is>
      </c>
      <c r="C306" t="inlineStr">
        <is>
          <t>Föryngringsavverkning</t>
        </is>
      </c>
      <c r="D306" s="1" t="n">
        <v>45224</v>
      </c>
      <c r="E306" s="1" t="n">
        <v>46223</v>
      </c>
      <c r="F306" t="inlineStr">
        <is>
          <t>DALARNAS LÄN</t>
        </is>
      </c>
      <c r="G306" t="inlineStr">
        <is>
          <t>SMEDJEBACKEN</t>
        </is>
      </c>
      <c r="I306" t="n">
        <v>14.9</v>
      </c>
      <c r="J306" t="n">
        <v>0</v>
      </c>
      <c r="K306" t="n">
        <v>0</v>
      </c>
      <c r="L306" t="n">
        <v>0</v>
      </c>
      <c r="M306" t="n">
        <v>0</v>
      </c>
      <c r="N306" t="n">
        <v>0</v>
      </c>
      <c r="O306" t="n">
        <v>0</v>
      </c>
      <c r="P306" t="n">
        <v>0</v>
      </c>
      <c r="Q306" t="n">
        <v>0</v>
      </c>
      <c r="R306" t="n">
        <v>0</v>
      </c>
      <c r="S306" t="n">
        <v>0</v>
      </c>
      <c r="T306" t="n">
        <v>0</v>
      </c>
      <c r="U306" s="2" t="inlineStr"/>
    </row>
    <row r="307" ht="15" customHeight="1">
      <c r="A307" t="inlineStr">
        <is>
          <t>A 54107-2025</t>
        </is>
      </c>
      <c r="B307" t="inlineStr">
        <is>
          <t>avverkningsanmälan</t>
        </is>
      </c>
      <c r="C307" t="inlineStr">
        <is>
          <t>Föryngringsavverkning</t>
        </is>
      </c>
      <c r="D307" s="1" t="n">
        <v>45964</v>
      </c>
      <c r="E307" s="1" t="n">
        <v>46223</v>
      </c>
      <c r="F307" t="inlineStr">
        <is>
          <t>DALARNAS LÄN</t>
        </is>
      </c>
      <c r="G307" t="inlineStr">
        <is>
          <t>SMEDJEBACKEN</t>
        </is>
      </c>
      <c r="H307" t="inlineStr">
        <is>
          <t>Sveaskog</t>
        </is>
      </c>
      <c r="I307" t="n">
        <v>9.9</v>
      </c>
      <c r="J307" t="n">
        <v>0</v>
      </c>
      <c r="K307" t="n">
        <v>0</v>
      </c>
      <c r="L307" t="n">
        <v>0</v>
      </c>
      <c r="M307" t="n">
        <v>0</v>
      </c>
      <c r="N307" t="n">
        <v>0</v>
      </c>
      <c r="O307" t="n">
        <v>0</v>
      </c>
      <c r="P307" t="n">
        <v>0</v>
      </c>
      <c r="Q307" t="n">
        <v>0</v>
      </c>
      <c r="R307" t="n">
        <v>0</v>
      </c>
      <c r="S307" t="n">
        <v>0</v>
      </c>
      <c r="T307" t="n">
        <v>0</v>
      </c>
      <c r="U307" s="2" t="inlineStr"/>
    </row>
    <row r="308" ht="15" customHeight="1">
      <c r="A308" t="inlineStr">
        <is>
          <t>A 38750-2025</t>
        </is>
      </c>
      <c r="B308" t="inlineStr">
        <is>
          <t>avverkningsanmälan</t>
        </is>
      </c>
      <c r="C308" t="inlineStr">
        <is>
          <t>Föryngringsavverkning</t>
        </is>
      </c>
      <c r="D308" s="1" t="n">
        <v>45887</v>
      </c>
      <c r="E308" s="1" t="n">
        <v>46223</v>
      </c>
      <c r="F308" t="inlineStr">
        <is>
          <t>DALARNAS LÄN</t>
        </is>
      </c>
      <c r="G308" t="inlineStr">
        <is>
          <t>SMEDJEBACKEN</t>
        </is>
      </c>
      <c r="H308" t="inlineStr">
        <is>
          <t>Sveaskog</t>
        </is>
      </c>
      <c r="I308" t="n">
        <v>4.8</v>
      </c>
      <c r="J308" t="n">
        <v>0</v>
      </c>
      <c r="K308" t="n">
        <v>0</v>
      </c>
      <c r="L308" t="n">
        <v>0</v>
      </c>
      <c r="M308" t="n">
        <v>0</v>
      </c>
      <c r="N308" t="n">
        <v>0</v>
      </c>
      <c r="O308" t="n">
        <v>0</v>
      </c>
      <c r="P308" t="n">
        <v>0</v>
      </c>
      <c r="Q308" t="n">
        <v>0</v>
      </c>
      <c r="R308" t="n">
        <v>0</v>
      </c>
      <c r="S308" t="n">
        <v>0</v>
      </c>
      <c r="T308" t="n">
        <v>0</v>
      </c>
      <c r="U308" s="2" t="inlineStr"/>
    </row>
    <row r="309" ht="15" customHeight="1">
      <c r="A309" t="inlineStr">
        <is>
          <t>A 54083-2025</t>
        </is>
      </c>
      <c r="B309" t="inlineStr">
        <is>
          <t>avverkningsanmälan</t>
        </is>
      </c>
      <c r="C309" t="inlineStr">
        <is>
          <t>Föryngringsavverkning</t>
        </is>
      </c>
      <c r="D309" s="1" t="n">
        <v>45964</v>
      </c>
      <c r="E309" s="1" t="n">
        <v>46223</v>
      </c>
      <c r="F309" t="inlineStr">
        <is>
          <t>DALARNAS LÄN</t>
        </is>
      </c>
      <c r="G309" t="inlineStr">
        <is>
          <t>SMEDJEBACKEN</t>
        </is>
      </c>
      <c r="H309" t="inlineStr">
        <is>
          <t>Sveaskog</t>
        </is>
      </c>
      <c r="I309" t="n">
        <v>7.1</v>
      </c>
      <c r="J309" t="n">
        <v>0</v>
      </c>
      <c r="K309" t="n">
        <v>0</v>
      </c>
      <c r="L309" t="n">
        <v>0</v>
      </c>
      <c r="M309" t="n">
        <v>0</v>
      </c>
      <c r="N309" t="n">
        <v>0</v>
      </c>
      <c r="O309" t="n">
        <v>0</v>
      </c>
      <c r="P309" t="n">
        <v>0</v>
      </c>
      <c r="Q309" t="n">
        <v>0</v>
      </c>
      <c r="R309" t="n">
        <v>0</v>
      </c>
      <c r="S309" t="n">
        <v>0</v>
      </c>
      <c r="T309" t="n">
        <v>0</v>
      </c>
      <c r="U309" s="2" t="inlineStr"/>
    </row>
    <row r="310" ht="15" customHeight="1">
      <c r="A310" t="inlineStr">
        <is>
          <t>A 54084-2025</t>
        </is>
      </c>
      <c r="B310" t="inlineStr">
        <is>
          <t>avverkningsanmälan</t>
        </is>
      </c>
      <c r="C310" t="inlineStr">
        <is>
          <t>Föryngringsavverkning</t>
        </is>
      </c>
      <c r="D310" s="1" t="n">
        <v>45964</v>
      </c>
      <c r="E310" s="1" t="n">
        <v>46223</v>
      </c>
      <c r="F310" t="inlineStr">
        <is>
          <t>DALARNAS LÄN</t>
        </is>
      </c>
      <c r="G310" t="inlineStr">
        <is>
          <t>SMEDJEBACKEN</t>
        </is>
      </c>
      <c r="H310" t="inlineStr">
        <is>
          <t>Sveaskog</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16870-2023</t>
        </is>
      </c>
      <c r="B311" t="inlineStr">
        <is>
          <t>avverkningsanmälan</t>
        </is>
      </c>
      <c r="C311" t="inlineStr">
        <is>
          <t>Föryngringsavverkning</t>
        </is>
      </c>
      <c r="D311" s="1" t="n">
        <v>45033</v>
      </c>
      <c r="E311" s="1" t="n">
        <v>46223</v>
      </c>
      <c r="F311" t="inlineStr">
        <is>
          <t>DALARNAS LÄN</t>
        </is>
      </c>
      <c r="G311" t="inlineStr">
        <is>
          <t>SMEDJEBACKEN</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9847-2026</t>
        </is>
      </c>
      <c r="B312" t="inlineStr">
        <is>
          <t>avverkningsanmälan</t>
        </is>
      </c>
      <c r="C312" t="inlineStr">
        <is>
          <t>Föryngringsavverkning</t>
        </is>
      </c>
      <c r="D312" s="1" t="n">
        <v>46072</v>
      </c>
      <c r="E312" s="1" t="n">
        <v>46223</v>
      </c>
      <c r="F312" t="inlineStr">
        <is>
          <t>DALARNAS LÄN</t>
        </is>
      </c>
      <c r="G312" t="inlineStr">
        <is>
          <t>SMEDJEBACKEN</t>
        </is>
      </c>
      <c r="H312" t="inlineStr">
        <is>
          <t>Övriga Aktiebolag</t>
        </is>
      </c>
      <c r="I312" t="n">
        <v>3.4</v>
      </c>
      <c r="J312" t="n">
        <v>0</v>
      </c>
      <c r="K312" t="n">
        <v>0</v>
      </c>
      <c r="L312" t="n">
        <v>0</v>
      </c>
      <c r="M312" t="n">
        <v>0</v>
      </c>
      <c r="N312" t="n">
        <v>0</v>
      </c>
      <c r="O312" t="n">
        <v>0</v>
      </c>
      <c r="P312" t="n">
        <v>0</v>
      </c>
      <c r="Q312" t="n">
        <v>0</v>
      </c>
      <c r="R312" t="n">
        <v>0</v>
      </c>
      <c r="S312" t="n">
        <v>0</v>
      </c>
      <c r="T312" t="n">
        <v>0</v>
      </c>
      <c r="U312" s="2" t="inlineStr"/>
    </row>
    <row r="313" ht="15" customHeight="1">
      <c r="A313" t="inlineStr">
        <is>
          <t>A 28760-2024</t>
        </is>
      </c>
      <c r="B313" t="inlineStr">
        <is>
          <t>avverkningsanmälan</t>
        </is>
      </c>
      <c r="C313" t="inlineStr">
        <is>
          <t>Föryngringsavverkning</t>
        </is>
      </c>
      <c r="D313" s="1" t="n">
        <v>45478</v>
      </c>
      <c r="E313" s="1" t="n">
        <v>46223</v>
      </c>
      <c r="F313" t="inlineStr">
        <is>
          <t>DALARNAS LÄN</t>
        </is>
      </c>
      <c r="G313" t="inlineStr">
        <is>
          <t>SMEDJEBACKEN</t>
        </is>
      </c>
      <c r="H313" t="inlineStr">
        <is>
          <t>Bergvik skog väst AB</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38803-2021</t>
        </is>
      </c>
      <c r="B314" t="inlineStr">
        <is>
          <t>avverkningsanmälan</t>
        </is>
      </c>
      <c r="C314" t="inlineStr">
        <is>
          <t>Föryngringsavverkning</t>
        </is>
      </c>
      <c r="D314" s="1" t="n">
        <v>44410</v>
      </c>
      <c r="E314" s="1" t="n">
        <v>46223</v>
      </c>
      <c r="F314" t="inlineStr">
        <is>
          <t>DALARNAS LÄN</t>
        </is>
      </c>
      <c r="G314" t="inlineStr">
        <is>
          <t>SMEDJEBACKEN</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14875-2025</t>
        </is>
      </c>
      <c r="B315" t="inlineStr">
        <is>
          <t>avverkningsanmälan</t>
        </is>
      </c>
      <c r="C315" t="inlineStr">
        <is>
          <t>Föryngringsavverkning</t>
        </is>
      </c>
      <c r="D315" s="1" t="n">
        <v>45743</v>
      </c>
      <c r="E315" s="1" t="n">
        <v>46223</v>
      </c>
      <c r="F315" t="inlineStr">
        <is>
          <t>DALARNAS LÄN</t>
        </is>
      </c>
      <c r="G315" t="inlineStr">
        <is>
          <t>SMEDJEBACKEN</t>
        </is>
      </c>
      <c r="I315" t="n">
        <v>2.7</v>
      </c>
      <c r="J315" t="n">
        <v>0</v>
      </c>
      <c r="K315" t="n">
        <v>0</v>
      </c>
      <c r="L315" t="n">
        <v>0</v>
      </c>
      <c r="M315" t="n">
        <v>0</v>
      </c>
      <c r="N315" t="n">
        <v>0</v>
      </c>
      <c r="O315" t="n">
        <v>0</v>
      </c>
      <c r="P315" t="n">
        <v>0</v>
      </c>
      <c r="Q315" t="n">
        <v>0</v>
      </c>
      <c r="R315" t="n">
        <v>0</v>
      </c>
      <c r="S315" t="n">
        <v>0</v>
      </c>
      <c r="T315" t="n">
        <v>0</v>
      </c>
      <c r="U315" s="2" t="inlineStr"/>
    </row>
    <row r="316" ht="15" customHeight="1">
      <c r="A316" t="inlineStr">
        <is>
          <t>A 45091-2022</t>
        </is>
      </c>
      <c r="B316" t="inlineStr">
        <is>
          <t>avverkningsanmälan</t>
        </is>
      </c>
      <c r="C316" t="inlineStr">
        <is>
          <t>Föryngringsavverkning</t>
        </is>
      </c>
      <c r="D316" s="1" t="n">
        <v>44842</v>
      </c>
      <c r="E316" s="1" t="n">
        <v>46223</v>
      </c>
      <c r="F316" t="inlineStr">
        <is>
          <t>DALARNAS LÄN</t>
        </is>
      </c>
      <c r="G316" t="inlineStr">
        <is>
          <t>SMEDJEBACKEN</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45373-2023</t>
        </is>
      </c>
      <c r="B317" t="inlineStr">
        <is>
          <t>avverkningsanmälan</t>
        </is>
      </c>
      <c r="C317" t="inlineStr">
        <is>
          <t>Föryngringsavverkning</t>
        </is>
      </c>
      <c r="D317" s="1" t="n">
        <v>45193</v>
      </c>
      <c r="E317" s="1" t="n">
        <v>46223</v>
      </c>
      <c r="F317" t="inlineStr">
        <is>
          <t>DALARNAS LÄN</t>
        </is>
      </c>
      <c r="G317" t="inlineStr">
        <is>
          <t>SMEDJEBACKEN</t>
        </is>
      </c>
      <c r="H317" t="inlineStr">
        <is>
          <t>Sveaskog</t>
        </is>
      </c>
      <c r="I317" t="n">
        <v>1.3</v>
      </c>
      <c r="J317" t="n">
        <v>0</v>
      </c>
      <c r="K317" t="n">
        <v>0</v>
      </c>
      <c r="L317" t="n">
        <v>0</v>
      </c>
      <c r="M317" t="n">
        <v>0</v>
      </c>
      <c r="N317" t="n">
        <v>0</v>
      </c>
      <c r="O317" t="n">
        <v>0</v>
      </c>
      <c r="P317" t="n">
        <v>0</v>
      </c>
      <c r="Q317" t="n">
        <v>0</v>
      </c>
      <c r="R317" t="n">
        <v>0</v>
      </c>
      <c r="S317" t="n">
        <v>0</v>
      </c>
      <c r="T317" t="n">
        <v>0</v>
      </c>
      <c r="U317" s="2" t="inlineStr"/>
    </row>
    <row r="318" ht="15" customHeight="1">
      <c r="A318" t="inlineStr">
        <is>
          <t>A 55364-2025</t>
        </is>
      </c>
      <c r="B318" t="inlineStr">
        <is>
          <t>avverkningsanmälan</t>
        </is>
      </c>
      <c r="C318" t="inlineStr">
        <is>
          <t>Föryngringsavverkning</t>
        </is>
      </c>
      <c r="D318" s="1" t="n">
        <v>45971</v>
      </c>
      <c r="E318" s="1" t="n">
        <v>46223</v>
      </c>
      <c r="F318" t="inlineStr">
        <is>
          <t>DALARNAS LÄN</t>
        </is>
      </c>
      <c r="G318" t="inlineStr">
        <is>
          <t>SMEDJEBACKEN</t>
        </is>
      </c>
      <c r="H318" t="inlineStr">
        <is>
          <t>Sveaskog</t>
        </is>
      </c>
      <c r="I318" t="n">
        <v>7.9</v>
      </c>
      <c r="J318" t="n">
        <v>0</v>
      </c>
      <c r="K318" t="n">
        <v>0</v>
      </c>
      <c r="L318" t="n">
        <v>0</v>
      </c>
      <c r="M318" t="n">
        <v>0</v>
      </c>
      <c r="N318" t="n">
        <v>0</v>
      </c>
      <c r="O318" t="n">
        <v>0</v>
      </c>
      <c r="P318" t="n">
        <v>0</v>
      </c>
      <c r="Q318" t="n">
        <v>0</v>
      </c>
      <c r="R318" t="n">
        <v>0</v>
      </c>
      <c r="S318" t="n">
        <v>0</v>
      </c>
      <c r="T318" t="n">
        <v>0</v>
      </c>
      <c r="U318" s="2" t="inlineStr"/>
    </row>
    <row r="319" ht="15" customHeight="1">
      <c r="A319" t="inlineStr">
        <is>
          <t>A 48214-2023</t>
        </is>
      </c>
      <c r="B319" t="inlineStr">
        <is>
          <t>avverkningsanmälan</t>
        </is>
      </c>
      <c r="C319" t="inlineStr">
        <is>
          <t>Föryngringsavverkning</t>
        </is>
      </c>
      <c r="D319" s="1" t="n">
        <v>45205</v>
      </c>
      <c r="E319" s="1" t="n">
        <v>46223</v>
      </c>
      <c r="F319" t="inlineStr">
        <is>
          <t>DALARNAS LÄN</t>
        </is>
      </c>
      <c r="G319" t="inlineStr">
        <is>
          <t>SMEDJEBACKEN</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56029-2025</t>
        </is>
      </c>
      <c r="B320" t="inlineStr">
        <is>
          <t>avverkningsanmälan</t>
        </is>
      </c>
      <c r="C320" t="inlineStr">
        <is>
          <t>Föryngringsavverkning</t>
        </is>
      </c>
      <c r="D320" s="1" t="n">
        <v>45973</v>
      </c>
      <c r="E320" s="1" t="n">
        <v>46223</v>
      </c>
      <c r="F320" t="inlineStr">
        <is>
          <t>DALARNAS LÄN</t>
        </is>
      </c>
      <c r="G320" t="inlineStr">
        <is>
          <t>SMEDJEBACKEN</t>
        </is>
      </c>
      <c r="I320" t="n">
        <v>3.2</v>
      </c>
      <c r="J320" t="n">
        <v>0</v>
      </c>
      <c r="K320" t="n">
        <v>0</v>
      </c>
      <c r="L320" t="n">
        <v>0</v>
      </c>
      <c r="M320" t="n">
        <v>0</v>
      </c>
      <c r="N320" t="n">
        <v>0</v>
      </c>
      <c r="O320" t="n">
        <v>0</v>
      </c>
      <c r="P320" t="n">
        <v>0</v>
      </c>
      <c r="Q320" t="n">
        <v>0</v>
      </c>
      <c r="R320" t="n">
        <v>0</v>
      </c>
      <c r="S320" t="n">
        <v>0</v>
      </c>
      <c r="T320" t="n">
        <v>0</v>
      </c>
      <c r="U320" s="2" t="inlineStr"/>
    </row>
    <row r="321" ht="15" customHeight="1">
      <c r="A321" t="inlineStr">
        <is>
          <t>A 40870-2023</t>
        </is>
      </c>
      <c r="B321" t="inlineStr">
        <is>
          <t>avverkningsanmälan</t>
        </is>
      </c>
      <c r="C321" t="inlineStr">
        <is>
          <t>Föryngringsavverkning</t>
        </is>
      </c>
      <c r="D321" s="1" t="n">
        <v>45173</v>
      </c>
      <c r="E321" s="1" t="n">
        <v>46223</v>
      </c>
      <c r="F321" t="inlineStr">
        <is>
          <t>DALARNAS LÄN</t>
        </is>
      </c>
      <c r="G321" t="inlineStr">
        <is>
          <t>SMEDJEBACKEN</t>
        </is>
      </c>
      <c r="I321" t="n">
        <v>1.5</v>
      </c>
      <c r="J321" t="n">
        <v>0</v>
      </c>
      <c r="K321" t="n">
        <v>0</v>
      </c>
      <c r="L321" t="n">
        <v>0</v>
      </c>
      <c r="M321" t="n">
        <v>0</v>
      </c>
      <c r="N321" t="n">
        <v>0</v>
      </c>
      <c r="O321" t="n">
        <v>0</v>
      </c>
      <c r="P321" t="n">
        <v>0</v>
      </c>
      <c r="Q321" t="n">
        <v>0</v>
      </c>
      <c r="R321" t="n">
        <v>0</v>
      </c>
      <c r="S321" t="n">
        <v>0</v>
      </c>
      <c r="T321" t="n">
        <v>0</v>
      </c>
      <c r="U321" s="2" t="inlineStr"/>
    </row>
    <row r="322" ht="15" customHeight="1">
      <c r="A322" t="inlineStr">
        <is>
          <t>A 56069-2025</t>
        </is>
      </c>
      <c r="B322" t="inlineStr">
        <is>
          <t>avverkningsanmälan</t>
        </is>
      </c>
      <c r="C322" t="inlineStr">
        <is>
          <t>Föryngringsavverkning</t>
        </is>
      </c>
      <c r="D322" s="1" t="n">
        <v>45973</v>
      </c>
      <c r="E322" s="1" t="n">
        <v>46223</v>
      </c>
      <c r="F322" t="inlineStr">
        <is>
          <t>DALARNAS LÄN</t>
        </is>
      </c>
      <c r="G322" t="inlineStr">
        <is>
          <t>SMEDJEBACKEN</t>
        </is>
      </c>
      <c r="H322" t="inlineStr">
        <is>
          <t>Bergvik skog väst AB</t>
        </is>
      </c>
      <c r="I322" t="n">
        <v>8</v>
      </c>
      <c r="J322" t="n">
        <v>0</v>
      </c>
      <c r="K322" t="n">
        <v>0</v>
      </c>
      <c r="L322" t="n">
        <v>0</v>
      </c>
      <c r="M322" t="n">
        <v>0</v>
      </c>
      <c r="N322" t="n">
        <v>0</v>
      </c>
      <c r="O322" t="n">
        <v>0</v>
      </c>
      <c r="P322" t="n">
        <v>0</v>
      </c>
      <c r="Q322" t="n">
        <v>0</v>
      </c>
      <c r="R322" t="n">
        <v>0</v>
      </c>
      <c r="S322" t="n">
        <v>0</v>
      </c>
      <c r="T322" t="n">
        <v>0</v>
      </c>
      <c r="U322" s="2" t="inlineStr"/>
    </row>
    <row r="323" ht="15" customHeight="1">
      <c r="A323" t="inlineStr">
        <is>
          <t>A 56674-2025</t>
        </is>
      </c>
      <c r="B323" t="inlineStr">
        <is>
          <t>avverkningsanmälan</t>
        </is>
      </c>
      <c r="C323" t="inlineStr">
        <is>
          <t>Föryngringsavverkning</t>
        </is>
      </c>
      <c r="D323" s="1" t="n">
        <v>45975</v>
      </c>
      <c r="E323" s="1" t="n">
        <v>46223</v>
      </c>
      <c r="F323" t="inlineStr">
        <is>
          <t>DALARNAS LÄN</t>
        </is>
      </c>
      <c r="G323" t="inlineStr">
        <is>
          <t>SMEDJEBACKEN</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57416-2025</t>
        </is>
      </c>
      <c r="B324" t="inlineStr">
        <is>
          <t>avverkningsanmälan</t>
        </is>
      </c>
      <c r="C324" t="inlineStr">
        <is>
          <t>Föryngringsavverkning</t>
        </is>
      </c>
      <c r="D324" s="1" t="n">
        <v>45980</v>
      </c>
      <c r="E324" s="1" t="n">
        <v>46223</v>
      </c>
      <c r="F324" t="inlineStr">
        <is>
          <t>DALARNAS LÄN</t>
        </is>
      </c>
      <c r="G324" t="inlineStr">
        <is>
          <t>SMEDJEBACKEN</t>
        </is>
      </c>
      <c r="H324" t="inlineStr">
        <is>
          <t>Sveaskog</t>
        </is>
      </c>
      <c r="I324" t="n">
        <v>2.6</v>
      </c>
      <c r="J324" t="n">
        <v>0</v>
      </c>
      <c r="K324" t="n">
        <v>0</v>
      </c>
      <c r="L324" t="n">
        <v>0</v>
      </c>
      <c r="M324" t="n">
        <v>0</v>
      </c>
      <c r="N324" t="n">
        <v>0</v>
      </c>
      <c r="O324" t="n">
        <v>0</v>
      </c>
      <c r="P324" t="n">
        <v>0</v>
      </c>
      <c r="Q324" t="n">
        <v>0</v>
      </c>
      <c r="R324" t="n">
        <v>0</v>
      </c>
      <c r="S324" t="n">
        <v>0</v>
      </c>
      <c r="T324" t="n">
        <v>0</v>
      </c>
      <c r="U324" s="2" t="inlineStr"/>
    </row>
    <row r="325" ht="15" customHeight="1">
      <c r="A325" t="inlineStr">
        <is>
          <t>A 39734-2021</t>
        </is>
      </c>
      <c r="B325" t="inlineStr">
        <is>
          <t>avverkningsanmälan</t>
        </is>
      </c>
      <c r="C325" t="inlineStr">
        <is>
          <t>Föryngringsavverkning</t>
        </is>
      </c>
      <c r="D325" s="1" t="n">
        <v>44414</v>
      </c>
      <c r="E325" s="1" t="n">
        <v>46223</v>
      </c>
      <c r="F325" t="inlineStr">
        <is>
          <t>DALARNAS LÄN</t>
        </is>
      </c>
      <c r="G325" t="inlineStr">
        <is>
          <t>SMEDJEBACKEN</t>
        </is>
      </c>
      <c r="I325" t="n">
        <v>4.4</v>
      </c>
      <c r="J325" t="n">
        <v>0</v>
      </c>
      <c r="K325" t="n">
        <v>0</v>
      </c>
      <c r="L325" t="n">
        <v>0</v>
      </c>
      <c r="M325" t="n">
        <v>0</v>
      </c>
      <c r="N325" t="n">
        <v>0</v>
      </c>
      <c r="O325" t="n">
        <v>0</v>
      </c>
      <c r="P325" t="n">
        <v>0</v>
      </c>
      <c r="Q325" t="n">
        <v>0</v>
      </c>
      <c r="R325" t="n">
        <v>0</v>
      </c>
      <c r="S325" t="n">
        <v>0</v>
      </c>
      <c r="T325" t="n">
        <v>0</v>
      </c>
      <c r="U325" s="2" t="inlineStr"/>
    </row>
    <row r="326" ht="15" customHeight="1">
      <c r="A326" t="inlineStr">
        <is>
          <t>A 11740-2026</t>
        </is>
      </c>
      <c r="B326" t="inlineStr">
        <is>
          <t>avverkningsanmälan</t>
        </is>
      </c>
      <c r="C326" t="inlineStr">
        <is>
          <t>Föryngringsavverkning</t>
        </is>
      </c>
      <c r="D326" s="1" t="n">
        <v>46084</v>
      </c>
      <c r="E326" s="1" t="n">
        <v>46223</v>
      </c>
      <c r="F326" t="inlineStr">
        <is>
          <t>DALARNAS LÄN</t>
        </is>
      </c>
      <c r="G326" t="inlineStr">
        <is>
          <t>SMEDJEBACKEN</t>
        </is>
      </c>
      <c r="H326" t="inlineStr">
        <is>
          <t>Övriga Aktiebolag</t>
        </is>
      </c>
      <c r="I326" t="n">
        <v>5.2</v>
      </c>
      <c r="J326" t="n">
        <v>0</v>
      </c>
      <c r="K326" t="n">
        <v>0</v>
      </c>
      <c r="L326" t="n">
        <v>0</v>
      </c>
      <c r="M326" t="n">
        <v>0</v>
      </c>
      <c r="N326" t="n">
        <v>0</v>
      </c>
      <c r="O326" t="n">
        <v>0</v>
      </c>
      <c r="P326" t="n">
        <v>0</v>
      </c>
      <c r="Q326" t="n">
        <v>0</v>
      </c>
      <c r="R326" t="n">
        <v>0</v>
      </c>
      <c r="S326" t="n">
        <v>0</v>
      </c>
      <c r="T326" t="n">
        <v>0</v>
      </c>
      <c r="U326" s="2" t="inlineStr"/>
    </row>
    <row r="327" ht="15" customHeight="1">
      <c r="A327" t="inlineStr">
        <is>
          <t>A 57408-2025</t>
        </is>
      </c>
      <c r="B327" t="inlineStr">
        <is>
          <t>avverkningsanmälan</t>
        </is>
      </c>
      <c r="C327" t="inlineStr">
        <is>
          <t>Föryngringsavverkning</t>
        </is>
      </c>
      <c r="D327" s="1" t="n">
        <v>45980</v>
      </c>
      <c r="E327" s="1" t="n">
        <v>46223</v>
      </c>
      <c r="F327" t="inlineStr">
        <is>
          <t>DALARNAS LÄN</t>
        </is>
      </c>
      <c r="G327" t="inlineStr">
        <is>
          <t>SMEDJEBACKEN</t>
        </is>
      </c>
      <c r="H327" t="inlineStr">
        <is>
          <t>Sveaskog</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57409-2025</t>
        </is>
      </c>
      <c r="B328" t="inlineStr">
        <is>
          <t>avverkningsanmälan</t>
        </is>
      </c>
      <c r="C328" t="inlineStr">
        <is>
          <t>Föryngringsavverkning</t>
        </is>
      </c>
      <c r="D328" s="1" t="n">
        <v>45980</v>
      </c>
      <c r="E328" s="1" t="n">
        <v>46223</v>
      </c>
      <c r="F328" t="inlineStr">
        <is>
          <t>DALARNAS LÄN</t>
        </is>
      </c>
      <c r="G328" t="inlineStr">
        <is>
          <t>SMEDJEBACKEN</t>
        </is>
      </c>
      <c r="H328" t="inlineStr">
        <is>
          <t>Sveaskog</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40561-2021</t>
        </is>
      </c>
      <c r="B329" t="inlineStr">
        <is>
          <t>avverkningsanmälan</t>
        </is>
      </c>
      <c r="C329" t="inlineStr">
        <is>
          <t>Föryngringsavverkning</t>
        </is>
      </c>
      <c r="D329" s="1" t="n">
        <v>44420</v>
      </c>
      <c r="E329" s="1" t="n">
        <v>46223</v>
      </c>
      <c r="F329" t="inlineStr">
        <is>
          <t>DALARNAS LÄN</t>
        </is>
      </c>
      <c r="G329" t="inlineStr">
        <is>
          <t>SMEDJEBACKEN</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57660-2025</t>
        </is>
      </c>
      <c r="B330" t="inlineStr">
        <is>
          <t>avverkningsanmälan</t>
        </is>
      </c>
      <c r="C330" t="inlineStr">
        <is>
          <t>Föryngringsavverkning</t>
        </is>
      </c>
      <c r="D330" s="1" t="n">
        <v>45981</v>
      </c>
      <c r="E330" s="1" t="n">
        <v>46223</v>
      </c>
      <c r="F330" t="inlineStr">
        <is>
          <t>DALARNAS LÄN</t>
        </is>
      </c>
      <c r="G330" t="inlineStr">
        <is>
          <t>SMEDJEBACKEN</t>
        </is>
      </c>
      <c r="I330" t="n">
        <v>6.3</v>
      </c>
      <c r="J330" t="n">
        <v>0</v>
      </c>
      <c r="K330" t="n">
        <v>0</v>
      </c>
      <c r="L330" t="n">
        <v>0</v>
      </c>
      <c r="M330" t="n">
        <v>0</v>
      </c>
      <c r="N330" t="n">
        <v>0</v>
      </c>
      <c r="O330" t="n">
        <v>0</v>
      </c>
      <c r="P330" t="n">
        <v>0</v>
      </c>
      <c r="Q330" t="n">
        <v>0</v>
      </c>
      <c r="R330" t="n">
        <v>0</v>
      </c>
      <c r="S330" t="n">
        <v>0</v>
      </c>
      <c r="T330" t="n">
        <v>0</v>
      </c>
      <c r="U330" s="2" t="inlineStr"/>
    </row>
    <row r="331" ht="15" customHeight="1">
      <c r="A331" t="inlineStr">
        <is>
          <t>A 13354-2025</t>
        </is>
      </c>
      <c r="B331" t="inlineStr">
        <is>
          <t>avverkningsanmälan</t>
        </is>
      </c>
      <c r="C331" t="inlineStr">
        <is>
          <t>Föryngringsavverkning</t>
        </is>
      </c>
      <c r="D331" s="1" t="n">
        <v>45735</v>
      </c>
      <c r="E331" s="1" t="n">
        <v>46223</v>
      </c>
      <c r="F331" t="inlineStr">
        <is>
          <t>DALARNAS LÄN</t>
        </is>
      </c>
      <c r="G331" t="inlineStr">
        <is>
          <t>SMEDJEBACKEN</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21626-2023</t>
        </is>
      </c>
      <c r="B332" t="inlineStr">
        <is>
          <t>avverkningsanmälan</t>
        </is>
      </c>
      <c r="C332" t="inlineStr">
        <is>
          <t>Föryngringsavverkning</t>
        </is>
      </c>
      <c r="D332" s="1" t="n">
        <v>45063</v>
      </c>
      <c r="E332" s="1" t="n">
        <v>46223</v>
      </c>
      <c r="F332" t="inlineStr">
        <is>
          <t>DALARNAS LÄN</t>
        </is>
      </c>
      <c r="G332" t="inlineStr">
        <is>
          <t>SMEDJEBACKEN</t>
        </is>
      </c>
      <c r="H332" t="inlineStr">
        <is>
          <t>Övriga Aktiebolag</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58280-2025</t>
        </is>
      </c>
      <c r="B333" t="inlineStr">
        <is>
          <t>avverkningsanmälan</t>
        </is>
      </c>
      <c r="C333" t="inlineStr">
        <is>
          <t>Föryngringsavverkning</t>
        </is>
      </c>
      <c r="D333" s="1" t="n">
        <v>45985</v>
      </c>
      <c r="E333" s="1" t="n">
        <v>46223</v>
      </c>
      <c r="F333" t="inlineStr">
        <is>
          <t>DALARNAS LÄN</t>
        </is>
      </c>
      <c r="G333" t="inlineStr">
        <is>
          <t>SMEDJEBACKEN</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23684-2025</t>
        </is>
      </c>
      <c r="B334" t="inlineStr">
        <is>
          <t>avverkningsanmälan</t>
        </is>
      </c>
      <c r="C334" t="inlineStr">
        <is>
          <t>Föryngringsavverkning</t>
        </is>
      </c>
      <c r="D334" s="1" t="n">
        <v>45793</v>
      </c>
      <c r="E334" s="1" t="n">
        <v>46223</v>
      </c>
      <c r="F334" t="inlineStr">
        <is>
          <t>DALARNAS LÄN</t>
        </is>
      </c>
      <c r="G334" t="inlineStr">
        <is>
          <t>SMEDJEBACKEN</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15350-2022</t>
        </is>
      </c>
      <c r="B335" t="inlineStr">
        <is>
          <t>avverkningsanmälan</t>
        </is>
      </c>
      <c r="C335" t="inlineStr">
        <is>
          <t>Föryngringsavverkning</t>
        </is>
      </c>
      <c r="D335" s="1" t="n">
        <v>44659</v>
      </c>
      <c r="E335" s="1" t="n">
        <v>46223</v>
      </c>
      <c r="F335" t="inlineStr">
        <is>
          <t>DALARNAS LÄN</t>
        </is>
      </c>
      <c r="G335" t="inlineStr">
        <is>
          <t>SMEDJEBACKEN</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12441-2026</t>
        </is>
      </c>
      <c r="B336" t="inlineStr">
        <is>
          <t>avverkningsanmälan</t>
        </is>
      </c>
      <c r="C336" t="inlineStr">
        <is>
          <t>Föryngringsavverkning</t>
        </is>
      </c>
      <c r="D336" s="1" t="n">
        <v>46090</v>
      </c>
      <c r="E336" s="1" t="n">
        <v>46223</v>
      </c>
      <c r="F336" t="inlineStr">
        <is>
          <t>DALARNAS LÄN</t>
        </is>
      </c>
      <c r="G336" t="inlineStr">
        <is>
          <t>SMEDJEBACKEN</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12447-2026</t>
        </is>
      </c>
      <c r="B337" t="inlineStr">
        <is>
          <t>avverkningsanmälan</t>
        </is>
      </c>
      <c r="C337" t="inlineStr">
        <is>
          <t>Föryngringsavverkning</t>
        </is>
      </c>
      <c r="D337" s="1" t="n">
        <v>46090</v>
      </c>
      <c r="E337" s="1" t="n">
        <v>46223</v>
      </c>
      <c r="F337" t="inlineStr">
        <is>
          <t>DALARNAS LÄN</t>
        </is>
      </c>
      <c r="G337" t="inlineStr">
        <is>
          <t>SMEDJEBACKEN</t>
        </is>
      </c>
      <c r="I337" t="n">
        <v>21</v>
      </c>
      <c r="J337" t="n">
        <v>0</v>
      </c>
      <c r="K337" t="n">
        <v>0</v>
      </c>
      <c r="L337" t="n">
        <v>0</v>
      </c>
      <c r="M337" t="n">
        <v>0</v>
      </c>
      <c r="N337" t="n">
        <v>0</v>
      </c>
      <c r="O337" t="n">
        <v>0</v>
      </c>
      <c r="P337" t="n">
        <v>0</v>
      </c>
      <c r="Q337" t="n">
        <v>0</v>
      </c>
      <c r="R337" t="n">
        <v>0</v>
      </c>
      <c r="S337" t="n">
        <v>0</v>
      </c>
      <c r="T337" t="n">
        <v>0</v>
      </c>
      <c r="U337" s="2" t="inlineStr"/>
    </row>
    <row r="338" ht="15" customHeight="1">
      <c r="A338" t="inlineStr">
        <is>
          <t>A 33960-2023</t>
        </is>
      </c>
      <c r="B338" t="inlineStr">
        <is>
          <t>avverkningsanmälan</t>
        </is>
      </c>
      <c r="C338" t="inlineStr">
        <is>
          <t>Avverkning för annat ändamål</t>
        </is>
      </c>
      <c r="D338" s="1" t="n">
        <v>45124</v>
      </c>
      <c r="E338" s="1" t="n">
        <v>46223</v>
      </c>
      <c r="F338" t="inlineStr">
        <is>
          <t>DALARNAS LÄN</t>
        </is>
      </c>
      <c r="G338" t="inlineStr">
        <is>
          <t>SMEDJEBACKEN</t>
        </is>
      </c>
      <c r="I338" t="n">
        <v>2.6</v>
      </c>
      <c r="J338" t="n">
        <v>0</v>
      </c>
      <c r="K338" t="n">
        <v>0</v>
      </c>
      <c r="L338" t="n">
        <v>0</v>
      </c>
      <c r="M338" t="n">
        <v>0</v>
      </c>
      <c r="N338" t="n">
        <v>0</v>
      </c>
      <c r="O338" t="n">
        <v>0</v>
      </c>
      <c r="P338" t="n">
        <v>0</v>
      </c>
      <c r="Q338" t="n">
        <v>0</v>
      </c>
      <c r="R338" t="n">
        <v>0</v>
      </c>
      <c r="S338" t="n">
        <v>0</v>
      </c>
      <c r="T338" t="n">
        <v>0</v>
      </c>
      <c r="U338" s="2" t="inlineStr"/>
    </row>
    <row r="339" ht="15" customHeight="1">
      <c r="A339" t="inlineStr">
        <is>
          <t>A 14843-2023</t>
        </is>
      </c>
      <c r="B339" t="inlineStr">
        <is>
          <t>avverkningsanmälan</t>
        </is>
      </c>
      <c r="C339" t="inlineStr">
        <is>
          <t>Föryngringsavverkning</t>
        </is>
      </c>
      <c r="D339" s="1" t="n">
        <v>45014</v>
      </c>
      <c r="E339" s="1" t="n">
        <v>46223</v>
      </c>
      <c r="F339" t="inlineStr">
        <is>
          <t>DALARNAS LÄN</t>
        </is>
      </c>
      <c r="G339" t="inlineStr">
        <is>
          <t>SMEDJEBACKEN</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13535-2026</t>
        </is>
      </c>
      <c r="B340" t="inlineStr">
        <is>
          <t>avverkningsanmälan</t>
        </is>
      </c>
      <c r="C340" t="inlineStr">
        <is>
          <t>Föryngringsavverkning</t>
        </is>
      </c>
      <c r="D340" s="1" t="n">
        <v>46094</v>
      </c>
      <c r="E340" s="1" t="n">
        <v>46223</v>
      </c>
      <c r="F340" t="inlineStr">
        <is>
          <t>DALARNAS LÄN</t>
        </is>
      </c>
      <c r="G340" t="inlineStr">
        <is>
          <t>SMEDJEBACKEN</t>
        </is>
      </c>
      <c r="H340" t="inlineStr">
        <is>
          <t>Övriga Aktiebolag</t>
        </is>
      </c>
      <c r="I340" t="n">
        <v>1.5</v>
      </c>
      <c r="J340" t="n">
        <v>0</v>
      </c>
      <c r="K340" t="n">
        <v>0</v>
      </c>
      <c r="L340" t="n">
        <v>0</v>
      </c>
      <c r="M340" t="n">
        <v>0</v>
      </c>
      <c r="N340" t="n">
        <v>0</v>
      </c>
      <c r="O340" t="n">
        <v>0</v>
      </c>
      <c r="P340" t="n">
        <v>0</v>
      </c>
      <c r="Q340" t="n">
        <v>0</v>
      </c>
      <c r="R340" t="n">
        <v>0</v>
      </c>
      <c r="S340" t="n">
        <v>0</v>
      </c>
      <c r="T340" t="n">
        <v>0</v>
      </c>
      <c r="U340" s="2" t="inlineStr"/>
    </row>
    <row r="341" ht="15" customHeight="1">
      <c r="A341" t="inlineStr">
        <is>
          <t>A 60528-2025</t>
        </is>
      </c>
      <c r="B341" t="inlineStr">
        <is>
          <t>avverkningsanmälan</t>
        </is>
      </c>
      <c r="C341" t="inlineStr">
        <is>
          <t>Föryngringsavverkning</t>
        </is>
      </c>
      <c r="D341" s="1" t="n">
        <v>45995</v>
      </c>
      <c r="E341" s="1" t="n">
        <v>46223</v>
      </c>
      <c r="F341" t="inlineStr">
        <is>
          <t>DALARNAS LÄN</t>
        </is>
      </c>
      <c r="G341" t="inlineStr">
        <is>
          <t>SMEDJEBACKEN</t>
        </is>
      </c>
      <c r="H341" t="inlineStr">
        <is>
          <t>Bergvik skog väst AB</t>
        </is>
      </c>
      <c r="I341" t="n">
        <v>5.1</v>
      </c>
      <c r="J341" t="n">
        <v>0</v>
      </c>
      <c r="K341" t="n">
        <v>0</v>
      </c>
      <c r="L341" t="n">
        <v>0</v>
      </c>
      <c r="M341" t="n">
        <v>0</v>
      </c>
      <c r="N341" t="n">
        <v>0</v>
      </c>
      <c r="O341" t="n">
        <v>0</v>
      </c>
      <c r="P341" t="n">
        <v>0</v>
      </c>
      <c r="Q341" t="n">
        <v>0</v>
      </c>
      <c r="R341" t="n">
        <v>0</v>
      </c>
      <c r="S341" t="n">
        <v>0</v>
      </c>
      <c r="T341" t="n">
        <v>0</v>
      </c>
      <c r="U341" s="2" t="inlineStr"/>
    </row>
    <row r="342" ht="15" customHeight="1">
      <c r="A342" t="inlineStr">
        <is>
          <t>A 14011-2026</t>
        </is>
      </c>
      <c r="B342" t="inlineStr">
        <is>
          <t>avverkningsanmälan</t>
        </is>
      </c>
      <c r="C342" t="inlineStr">
        <is>
          <t>Föryngringsavverkning</t>
        </is>
      </c>
      <c r="D342" s="1" t="n">
        <v>46098</v>
      </c>
      <c r="E342" s="1" t="n">
        <v>46223</v>
      </c>
      <c r="F342" t="inlineStr">
        <is>
          <t>DALARNAS LÄN</t>
        </is>
      </c>
      <c r="G342" t="inlineStr">
        <is>
          <t>SMEDJEBACKEN</t>
        </is>
      </c>
      <c r="H342" t="inlineStr">
        <is>
          <t>Bergvik skog väst AB</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62380-2021</t>
        </is>
      </c>
      <c r="B343" t="inlineStr">
        <is>
          <t>avverkningsanmälan</t>
        </is>
      </c>
      <c r="C343" t="inlineStr">
        <is>
          <t>Föryngringsavverkning</t>
        </is>
      </c>
      <c r="D343" s="1" t="n">
        <v>44503</v>
      </c>
      <c r="E343" s="1" t="n">
        <v>46223</v>
      </c>
      <c r="F343" t="inlineStr">
        <is>
          <t>DALARNAS LÄN</t>
        </is>
      </c>
      <c r="G343" t="inlineStr">
        <is>
          <t>SMEDJEBACKEN</t>
        </is>
      </c>
      <c r="I343" t="n">
        <v>10.4</v>
      </c>
      <c r="J343" t="n">
        <v>0</v>
      </c>
      <c r="K343" t="n">
        <v>0</v>
      </c>
      <c r="L343" t="n">
        <v>0</v>
      </c>
      <c r="M343" t="n">
        <v>0</v>
      </c>
      <c r="N343" t="n">
        <v>0</v>
      </c>
      <c r="O343" t="n">
        <v>0</v>
      </c>
      <c r="P343" t="n">
        <v>0</v>
      </c>
      <c r="Q343" t="n">
        <v>0</v>
      </c>
      <c r="R343" t="n">
        <v>0</v>
      </c>
      <c r="S343" t="n">
        <v>0</v>
      </c>
      <c r="T343" t="n">
        <v>0</v>
      </c>
      <c r="U343" s="2" t="inlineStr"/>
    </row>
    <row r="344" ht="15" customHeight="1">
      <c r="A344" t="inlineStr">
        <is>
          <t>A 56315-2022</t>
        </is>
      </c>
      <c r="B344" t="inlineStr">
        <is>
          <t>avverkningsanmälan</t>
        </is>
      </c>
      <c r="C344" t="inlineStr">
        <is>
          <t>Föryngringsavverkning</t>
        </is>
      </c>
      <c r="D344" s="1" t="n">
        <v>44890</v>
      </c>
      <c r="E344" s="1" t="n">
        <v>46223</v>
      </c>
      <c r="F344" t="inlineStr">
        <is>
          <t>DALARNAS LÄN</t>
        </is>
      </c>
      <c r="G344" t="inlineStr">
        <is>
          <t>SMEDJEBACKEN</t>
        </is>
      </c>
      <c r="H344" t="inlineStr">
        <is>
          <t>Kyrkan</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53139-2023</t>
        </is>
      </c>
      <c r="B345" t="inlineStr">
        <is>
          <t>avverkningsanmälan</t>
        </is>
      </c>
      <c r="C345" t="inlineStr">
        <is>
          <t>Föryngringsavverkning</t>
        </is>
      </c>
      <c r="D345" s="1" t="n">
        <v>45229</v>
      </c>
      <c r="E345" s="1" t="n">
        <v>46223</v>
      </c>
      <c r="F345" t="inlineStr">
        <is>
          <t>DALARNAS LÄN</t>
        </is>
      </c>
      <c r="G345" t="inlineStr">
        <is>
          <t>SMEDJEBACKEN</t>
        </is>
      </c>
      <c r="H345" t="inlineStr">
        <is>
          <t>Övriga Aktiebolag</t>
        </is>
      </c>
      <c r="I345" t="n">
        <v>13.8</v>
      </c>
      <c r="J345" t="n">
        <v>0</v>
      </c>
      <c r="K345" t="n">
        <v>0</v>
      </c>
      <c r="L345" t="n">
        <v>0</v>
      </c>
      <c r="M345" t="n">
        <v>0</v>
      </c>
      <c r="N345" t="n">
        <v>0</v>
      </c>
      <c r="O345" t="n">
        <v>0</v>
      </c>
      <c r="P345" t="n">
        <v>0</v>
      </c>
      <c r="Q345" t="n">
        <v>0</v>
      </c>
      <c r="R345" t="n">
        <v>0</v>
      </c>
      <c r="S345" t="n">
        <v>0</v>
      </c>
      <c r="T345" t="n">
        <v>0</v>
      </c>
      <c r="U345" s="2" t="inlineStr"/>
    </row>
    <row r="346" ht="15" customHeight="1">
      <c r="A346" t="inlineStr">
        <is>
          <t>A 14276-2026</t>
        </is>
      </c>
      <c r="B346" t="inlineStr">
        <is>
          <t>avverkningsanmälan</t>
        </is>
      </c>
      <c r="C346" t="inlineStr">
        <is>
          <t>Föryngringsavverkning</t>
        </is>
      </c>
      <c r="D346" s="1" t="n">
        <v>46099</v>
      </c>
      <c r="E346" s="1" t="n">
        <v>46223</v>
      </c>
      <c r="F346" t="inlineStr">
        <is>
          <t>DALARNAS LÄN</t>
        </is>
      </c>
      <c r="G346" t="inlineStr">
        <is>
          <t>SMEDJEBACKEN</t>
        </is>
      </c>
      <c r="I346" t="n">
        <v>5.1</v>
      </c>
      <c r="J346" t="n">
        <v>0</v>
      </c>
      <c r="K346" t="n">
        <v>0</v>
      </c>
      <c r="L346" t="n">
        <v>0</v>
      </c>
      <c r="M346" t="n">
        <v>0</v>
      </c>
      <c r="N346" t="n">
        <v>0</v>
      </c>
      <c r="O346" t="n">
        <v>0</v>
      </c>
      <c r="P346" t="n">
        <v>0</v>
      </c>
      <c r="Q346" t="n">
        <v>0</v>
      </c>
      <c r="R346" t="n">
        <v>0</v>
      </c>
      <c r="S346" t="n">
        <v>0</v>
      </c>
      <c r="T346" t="n">
        <v>0</v>
      </c>
      <c r="U346" s="2" t="inlineStr"/>
    </row>
    <row r="347" ht="15" customHeight="1">
      <c r="A347" t="inlineStr">
        <is>
          <t>A 60023-2024</t>
        </is>
      </c>
      <c r="B347" t="inlineStr">
        <is>
          <t>avverkningsanmälan</t>
        </is>
      </c>
      <c r="C347" t="inlineStr">
        <is>
          <t>Föryngringsavverkning</t>
        </is>
      </c>
      <c r="D347" s="1" t="n">
        <v>45642</v>
      </c>
      <c r="E347" s="1" t="n">
        <v>46223</v>
      </c>
      <c r="F347" t="inlineStr">
        <is>
          <t>DALARNAS LÄN</t>
        </is>
      </c>
      <c r="G347" t="inlineStr">
        <is>
          <t>SMEDJEBACKEN</t>
        </is>
      </c>
      <c r="I347" t="n">
        <v>1</v>
      </c>
      <c r="J347" t="n">
        <v>0</v>
      </c>
      <c r="K347" t="n">
        <v>0</v>
      </c>
      <c r="L347" t="n">
        <v>0</v>
      </c>
      <c r="M347" t="n">
        <v>0</v>
      </c>
      <c r="N347" t="n">
        <v>0</v>
      </c>
      <c r="O347" t="n">
        <v>0</v>
      </c>
      <c r="P347" t="n">
        <v>0</v>
      </c>
      <c r="Q347" t="n">
        <v>0</v>
      </c>
      <c r="R347" t="n">
        <v>0</v>
      </c>
      <c r="S347" t="n">
        <v>0</v>
      </c>
      <c r="T347" t="n">
        <v>0</v>
      </c>
      <c r="U347" s="2" t="inlineStr"/>
    </row>
    <row r="348" ht="15" customHeight="1">
      <c r="A348" t="inlineStr">
        <is>
          <t>A 13851-2026</t>
        </is>
      </c>
      <c r="B348" t="inlineStr">
        <is>
          <t>avverkningsanmälan</t>
        </is>
      </c>
      <c r="C348" t="inlineStr">
        <is>
          <t>Föryngringsavverkning</t>
        </is>
      </c>
      <c r="D348" s="1" t="n">
        <v>46098</v>
      </c>
      <c r="E348" s="1" t="n">
        <v>46223</v>
      </c>
      <c r="F348" t="inlineStr">
        <is>
          <t>DALARNAS LÄN</t>
        </is>
      </c>
      <c r="G348" t="inlineStr">
        <is>
          <t>SMEDJEBACKEN</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57390-2022</t>
        </is>
      </c>
      <c r="B349" t="inlineStr">
        <is>
          <t>avverkningsanmälan</t>
        </is>
      </c>
      <c r="C349" t="inlineStr">
        <is>
          <t>Föryngringsavverkning</t>
        </is>
      </c>
      <c r="D349" s="1" t="n">
        <v>44896</v>
      </c>
      <c r="E349" s="1" t="n">
        <v>46223</v>
      </c>
      <c r="F349" t="inlineStr">
        <is>
          <t>DALARNAS LÄN</t>
        </is>
      </c>
      <c r="G349" t="inlineStr">
        <is>
          <t>SMEDJEBACKEN</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13956-2026</t>
        </is>
      </c>
      <c r="B350" t="inlineStr">
        <is>
          <t>avverkningsanmälan</t>
        </is>
      </c>
      <c r="C350" t="inlineStr">
        <is>
          <t>Föryngringsavverkning</t>
        </is>
      </c>
      <c r="D350" s="1" t="n">
        <v>46098</v>
      </c>
      <c r="E350" s="1" t="n">
        <v>46223</v>
      </c>
      <c r="F350" t="inlineStr">
        <is>
          <t>DALARNAS LÄN</t>
        </is>
      </c>
      <c r="G350" t="inlineStr">
        <is>
          <t>SMEDJEBACKEN</t>
        </is>
      </c>
      <c r="H350" t="inlineStr">
        <is>
          <t>Övriga Aktiebolag</t>
        </is>
      </c>
      <c r="I350" t="n">
        <v>28.8</v>
      </c>
      <c r="J350" t="n">
        <v>0</v>
      </c>
      <c r="K350" t="n">
        <v>0</v>
      </c>
      <c r="L350" t="n">
        <v>0</v>
      </c>
      <c r="M350" t="n">
        <v>0</v>
      </c>
      <c r="N350" t="n">
        <v>0</v>
      </c>
      <c r="O350" t="n">
        <v>0</v>
      </c>
      <c r="P350" t="n">
        <v>0</v>
      </c>
      <c r="Q350" t="n">
        <v>0</v>
      </c>
      <c r="R350" t="n">
        <v>0</v>
      </c>
      <c r="S350" t="n">
        <v>0</v>
      </c>
      <c r="T350" t="n">
        <v>0</v>
      </c>
      <c r="U350" s="2" t="inlineStr"/>
    </row>
    <row r="351" ht="15" customHeight="1">
      <c r="A351" t="inlineStr">
        <is>
          <t>A 14613-2026</t>
        </is>
      </c>
      <c r="B351" t="inlineStr">
        <is>
          <t>avverkningsanmälan</t>
        </is>
      </c>
      <c r="C351" t="inlineStr">
        <is>
          <t>Föryngringsavverkning</t>
        </is>
      </c>
      <c r="D351" s="1" t="n">
        <v>46101</v>
      </c>
      <c r="E351" s="1" t="n">
        <v>46223</v>
      </c>
      <c r="F351" t="inlineStr">
        <is>
          <t>DALARNAS LÄN</t>
        </is>
      </c>
      <c r="G351" t="inlineStr">
        <is>
          <t>SMEDJEBACKEN</t>
        </is>
      </c>
      <c r="H351" t="inlineStr">
        <is>
          <t>Sveaskog</t>
        </is>
      </c>
      <c r="I351" t="n">
        <v>2.8</v>
      </c>
      <c r="J351" t="n">
        <v>0</v>
      </c>
      <c r="K351" t="n">
        <v>0</v>
      </c>
      <c r="L351" t="n">
        <v>0</v>
      </c>
      <c r="M351" t="n">
        <v>0</v>
      </c>
      <c r="N351" t="n">
        <v>0</v>
      </c>
      <c r="O351" t="n">
        <v>0</v>
      </c>
      <c r="P351" t="n">
        <v>0</v>
      </c>
      <c r="Q351" t="n">
        <v>0</v>
      </c>
      <c r="R351" t="n">
        <v>0</v>
      </c>
      <c r="S351" t="n">
        <v>0</v>
      </c>
      <c r="T351" t="n">
        <v>0</v>
      </c>
      <c r="U351" s="2" t="inlineStr"/>
    </row>
    <row r="352" ht="15" customHeight="1">
      <c r="A352" t="inlineStr">
        <is>
          <t>A 14601-2026</t>
        </is>
      </c>
      <c r="B352" t="inlineStr">
        <is>
          <t>avverkningsanmälan</t>
        </is>
      </c>
      <c r="C352" t="inlineStr">
        <is>
          <t>Föryngringsavverkning</t>
        </is>
      </c>
      <c r="D352" s="1" t="n">
        <v>46101</v>
      </c>
      <c r="E352" s="1" t="n">
        <v>46223</v>
      </c>
      <c r="F352" t="inlineStr">
        <is>
          <t>DALARNAS LÄN</t>
        </is>
      </c>
      <c r="G352" t="inlineStr">
        <is>
          <t>SMEDJEBACKEN</t>
        </is>
      </c>
      <c r="H352" t="inlineStr">
        <is>
          <t>Sveaskog</t>
        </is>
      </c>
      <c r="I352" t="n">
        <v>4.9</v>
      </c>
      <c r="J352" t="n">
        <v>0</v>
      </c>
      <c r="K352" t="n">
        <v>0</v>
      </c>
      <c r="L352" t="n">
        <v>0</v>
      </c>
      <c r="M352" t="n">
        <v>0</v>
      </c>
      <c r="N352" t="n">
        <v>0</v>
      </c>
      <c r="O352" t="n">
        <v>0</v>
      </c>
      <c r="P352" t="n">
        <v>0</v>
      </c>
      <c r="Q352" t="n">
        <v>0</v>
      </c>
      <c r="R352" t="n">
        <v>0</v>
      </c>
      <c r="S352" t="n">
        <v>0</v>
      </c>
      <c r="T352" t="n">
        <v>0</v>
      </c>
      <c r="U352" s="2" t="inlineStr"/>
    </row>
    <row r="353" ht="15" customHeight="1">
      <c r="A353" t="inlineStr">
        <is>
          <t>A 14609-2026</t>
        </is>
      </c>
      <c r="B353" t="inlineStr">
        <is>
          <t>avverkningsanmälan</t>
        </is>
      </c>
      <c r="C353" t="inlineStr">
        <is>
          <t>Föryngringsavverkning</t>
        </is>
      </c>
      <c r="D353" s="1" t="n">
        <v>46101</v>
      </c>
      <c r="E353" s="1" t="n">
        <v>46223</v>
      </c>
      <c r="F353" t="inlineStr">
        <is>
          <t>DALARNAS LÄN</t>
        </is>
      </c>
      <c r="G353" t="inlineStr">
        <is>
          <t>SMEDJEBACKEN</t>
        </is>
      </c>
      <c r="H353" t="inlineStr">
        <is>
          <t>Sveaskog</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62110-2025</t>
        </is>
      </c>
      <c r="B354" t="inlineStr">
        <is>
          <t>avverkningsanmälan</t>
        </is>
      </c>
      <c r="C354" t="inlineStr">
        <is>
          <t>Föryngringsavverkning</t>
        </is>
      </c>
      <c r="D354" s="1" t="n">
        <v>46006</v>
      </c>
      <c r="E354" s="1" t="n">
        <v>46223</v>
      </c>
      <c r="F354" t="inlineStr">
        <is>
          <t>DALARNAS LÄN</t>
        </is>
      </c>
      <c r="G354" t="inlineStr">
        <is>
          <t>SMEDJEBACKEN</t>
        </is>
      </c>
      <c r="H354" t="inlineStr">
        <is>
          <t>Bergvik skog väst AB</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16351-2025</t>
        </is>
      </c>
      <c r="B355" t="inlineStr">
        <is>
          <t>avverkningsanmälan</t>
        </is>
      </c>
      <c r="C355" t="inlineStr">
        <is>
          <t>Föryngringsavverkning</t>
        </is>
      </c>
      <c r="D355" s="1" t="n">
        <v>45751</v>
      </c>
      <c r="E355" s="1" t="n">
        <v>46223</v>
      </c>
      <c r="F355" t="inlineStr">
        <is>
          <t>DALARNAS LÄN</t>
        </is>
      </c>
      <c r="G355" t="inlineStr">
        <is>
          <t>SMEDJEBACKEN</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47839-2022</t>
        </is>
      </c>
      <c r="B356" t="inlineStr">
        <is>
          <t>avverkningsanmälan</t>
        </is>
      </c>
      <c r="C356" t="inlineStr">
        <is>
          <t>Föryngringsavverkning</t>
        </is>
      </c>
      <c r="D356" s="1" t="n">
        <v>44855</v>
      </c>
      <c r="E356" s="1" t="n">
        <v>46223</v>
      </c>
      <c r="F356" t="inlineStr">
        <is>
          <t>DALARNAS LÄN</t>
        </is>
      </c>
      <c r="G356" t="inlineStr">
        <is>
          <t>SMEDJEBACKEN</t>
        </is>
      </c>
      <c r="H356" t="inlineStr">
        <is>
          <t>Sveaskog</t>
        </is>
      </c>
      <c r="I356" t="n">
        <v>6.1</v>
      </c>
      <c r="J356" t="n">
        <v>0</v>
      </c>
      <c r="K356" t="n">
        <v>0</v>
      </c>
      <c r="L356" t="n">
        <v>0</v>
      </c>
      <c r="M356" t="n">
        <v>0</v>
      </c>
      <c r="N356" t="n">
        <v>0</v>
      </c>
      <c r="O356" t="n">
        <v>0</v>
      </c>
      <c r="P356" t="n">
        <v>0</v>
      </c>
      <c r="Q356" t="n">
        <v>0</v>
      </c>
      <c r="R356" t="n">
        <v>0</v>
      </c>
      <c r="S356" t="n">
        <v>0</v>
      </c>
      <c r="T356" t="n">
        <v>0</v>
      </c>
      <c r="U356" s="2" t="inlineStr"/>
    </row>
    <row r="357" ht="15" customHeight="1">
      <c r="A357" t="inlineStr">
        <is>
          <t>A 62693-2025</t>
        </is>
      </c>
      <c r="B357" t="inlineStr">
        <is>
          <t>avverkningsanmälan</t>
        </is>
      </c>
      <c r="C357" t="inlineStr">
        <is>
          <t>Föryngringsavverkning</t>
        </is>
      </c>
      <c r="D357" s="1" t="n">
        <v>46008</v>
      </c>
      <c r="E357" s="1" t="n">
        <v>46223</v>
      </c>
      <c r="F357" t="inlineStr">
        <is>
          <t>DALARNAS LÄN</t>
        </is>
      </c>
      <c r="G357" t="inlineStr">
        <is>
          <t>SMEDJEBACKEN</t>
        </is>
      </c>
      <c r="H357" t="inlineStr">
        <is>
          <t>Bergvik skog väst AB</t>
        </is>
      </c>
      <c r="I357" t="n">
        <v>0.6</v>
      </c>
      <c r="J357" t="n">
        <v>0</v>
      </c>
      <c r="K357" t="n">
        <v>0</v>
      </c>
      <c r="L357" t="n">
        <v>0</v>
      </c>
      <c r="M357" t="n">
        <v>0</v>
      </c>
      <c r="N357" t="n">
        <v>0</v>
      </c>
      <c r="O357" t="n">
        <v>0</v>
      </c>
      <c r="P357" t="n">
        <v>0</v>
      </c>
      <c r="Q357" t="n">
        <v>0</v>
      </c>
      <c r="R357" t="n">
        <v>0</v>
      </c>
      <c r="S357" t="n">
        <v>0</v>
      </c>
      <c r="T357" t="n">
        <v>0</v>
      </c>
      <c r="U357" s="2" t="inlineStr"/>
    </row>
    <row r="358" ht="15" customHeight="1">
      <c r="A358" t="inlineStr">
        <is>
          <t>A 62713-2025</t>
        </is>
      </c>
      <c r="B358" t="inlineStr">
        <is>
          <t>avverkningsanmälan</t>
        </is>
      </c>
      <c r="C358" t="inlineStr">
        <is>
          <t>Föryngringsavverkning</t>
        </is>
      </c>
      <c r="D358" s="1" t="n">
        <v>46008</v>
      </c>
      <c r="E358" s="1" t="n">
        <v>46223</v>
      </c>
      <c r="F358" t="inlineStr">
        <is>
          <t>DALARNAS LÄN</t>
        </is>
      </c>
      <c r="G358" t="inlineStr">
        <is>
          <t>SMEDJEBACKEN</t>
        </is>
      </c>
      <c r="H358" t="inlineStr">
        <is>
          <t>Bergvik skog väst AB</t>
        </is>
      </c>
      <c r="I358" t="n">
        <v>5</v>
      </c>
      <c r="J358" t="n">
        <v>0</v>
      </c>
      <c r="K358" t="n">
        <v>0</v>
      </c>
      <c r="L358" t="n">
        <v>0</v>
      </c>
      <c r="M358" t="n">
        <v>0</v>
      </c>
      <c r="N358" t="n">
        <v>0</v>
      </c>
      <c r="O358" t="n">
        <v>0</v>
      </c>
      <c r="P358" t="n">
        <v>0</v>
      </c>
      <c r="Q358" t="n">
        <v>0</v>
      </c>
      <c r="R358" t="n">
        <v>0</v>
      </c>
      <c r="S358" t="n">
        <v>0</v>
      </c>
      <c r="T358" t="n">
        <v>0</v>
      </c>
      <c r="U358" s="2" t="inlineStr"/>
    </row>
    <row r="359" ht="15" customHeight="1">
      <c r="A359" t="inlineStr">
        <is>
          <t>A 17681-2025</t>
        </is>
      </c>
      <c r="B359" t="inlineStr">
        <is>
          <t>avverkningsanmälan</t>
        </is>
      </c>
      <c r="C359" t="inlineStr">
        <is>
          <t>Föryngringsavverkning</t>
        </is>
      </c>
      <c r="D359" s="1" t="n">
        <v>45758</v>
      </c>
      <c r="E359" s="1" t="n">
        <v>46223</v>
      </c>
      <c r="F359" t="inlineStr">
        <is>
          <t>DALARNAS LÄN</t>
        </is>
      </c>
      <c r="G359" t="inlineStr">
        <is>
          <t>SMEDJEBACKEN</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62875-2025</t>
        </is>
      </c>
      <c r="B360" t="inlineStr">
        <is>
          <t>avverkningsanmälan</t>
        </is>
      </c>
      <c r="C360" t="inlineStr">
        <is>
          <t>Föryngringsavverkning</t>
        </is>
      </c>
      <c r="D360" s="1" t="n">
        <v>46008</v>
      </c>
      <c r="E360" s="1" t="n">
        <v>46223</v>
      </c>
      <c r="F360" t="inlineStr">
        <is>
          <t>DALARNAS LÄN</t>
        </is>
      </c>
      <c r="G360" t="inlineStr">
        <is>
          <t>SMEDJEBACKEN</t>
        </is>
      </c>
      <c r="H360" t="inlineStr">
        <is>
          <t>Övriga Aktiebolag</t>
        </is>
      </c>
      <c r="I360" t="n">
        <v>4.6</v>
      </c>
      <c r="J360" t="n">
        <v>0</v>
      </c>
      <c r="K360" t="n">
        <v>0</v>
      </c>
      <c r="L360" t="n">
        <v>0</v>
      </c>
      <c r="M360" t="n">
        <v>0</v>
      </c>
      <c r="N360" t="n">
        <v>0</v>
      </c>
      <c r="O360" t="n">
        <v>0</v>
      </c>
      <c r="P360" t="n">
        <v>0</v>
      </c>
      <c r="Q360" t="n">
        <v>0</v>
      </c>
      <c r="R360" t="n">
        <v>0</v>
      </c>
      <c r="S360" t="n">
        <v>0</v>
      </c>
      <c r="T360" t="n">
        <v>0</v>
      </c>
      <c r="U360" s="2" t="inlineStr"/>
    </row>
    <row r="361" ht="15" customHeight="1">
      <c r="A361" t="inlineStr">
        <is>
          <t>A 63347-2025</t>
        </is>
      </c>
      <c r="B361" t="inlineStr">
        <is>
          <t>avverkningsanmälan</t>
        </is>
      </c>
      <c r="C361" t="inlineStr">
        <is>
          <t>Föryngringsavverkning</t>
        </is>
      </c>
      <c r="D361" s="1" t="n">
        <v>46010</v>
      </c>
      <c r="E361" s="1" t="n">
        <v>46223</v>
      </c>
      <c r="F361" t="inlineStr">
        <is>
          <t>DALARNAS LÄN</t>
        </is>
      </c>
      <c r="G361" t="inlineStr">
        <is>
          <t>SMEDJEBACKEN</t>
        </is>
      </c>
      <c r="H361" t="inlineStr">
        <is>
          <t>Bergvik skog väst AB</t>
        </is>
      </c>
      <c r="I361" t="n">
        <v>13.6</v>
      </c>
      <c r="J361" t="n">
        <v>0</v>
      </c>
      <c r="K361" t="n">
        <v>0</v>
      </c>
      <c r="L361" t="n">
        <v>0</v>
      </c>
      <c r="M361" t="n">
        <v>0</v>
      </c>
      <c r="N361" t="n">
        <v>0</v>
      </c>
      <c r="O361" t="n">
        <v>0</v>
      </c>
      <c r="P361" t="n">
        <v>0</v>
      </c>
      <c r="Q361" t="n">
        <v>0</v>
      </c>
      <c r="R361" t="n">
        <v>0</v>
      </c>
      <c r="S361" t="n">
        <v>0</v>
      </c>
      <c r="T361" t="n">
        <v>0</v>
      </c>
      <c r="U361" s="2" t="inlineStr"/>
    </row>
    <row r="362" ht="15" customHeight="1">
      <c r="A362" t="inlineStr">
        <is>
          <t>A 63058-2025</t>
        </is>
      </c>
      <c r="B362" t="inlineStr">
        <is>
          <t>avverkningsanmälan</t>
        </is>
      </c>
      <c r="C362" t="inlineStr">
        <is>
          <t>Föryngringsavverkning</t>
        </is>
      </c>
      <c r="D362" s="1" t="n">
        <v>46009</v>
      </c>
      <c r="E362" s="1" t="n">
        <v>46223</v>
      </c>
      <c r="F362" t="inlineStr">
        <is>
          <t>DALARNAS LÄN</t>
        </is>
      </c>
      <c r="G362" t="inlineStr">
        <is>
          <t>SMEDJEBACKEN</t>
        </is>
      </c>
      <c r="H362" t="inlineStr">
        <is>
          <t>Övriga Aktiebolag</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63234-2025</t>
        </is>
      </c>
      <c r="B363" t="inlineStr">
        <is>
          <t>avverkningsanmälan</t>
        </is>
      </c>
      <c r="C363" t="inlineStr">
        <is>
          <t>Föryngringsavverkning</t>
        </is>
      </c>
      <c r="D363" s="1" t="n">
        <v>46010</v>
      </c>
      <c r="E363" s="1" t="n">
        <v>46223</v>
      </c>
      <c r="F363" t="inlineStr">
        <is>
          <t>DALARNAS LÄN</t>
        </is>
      </c>
      <c r="G363" t="inlineStr">
        <is>
          <t>SMEDJEBACKEN</t>
        </is>
      </c>
      <c r="I363" t="n">
        <v>5.7</v>
      </c>
      <c r="J363" t="n">
        <v>0</v>
      </c>
      <c r="K363" t="n">
        <v>0</v>
      </c>
      <c r="L363" t="n">
        <v>0</v>
      </c>
      <c r="M363" t="n">
        <v>0</v>
      </c>
      <c r="N363" t="n">
        <v>0</v>
      </c>
      <c r="O363" t="n">
        <v>0</v>
      </c>
      <c r="P363" t="n">
        <v>0</v>
      </c>
      <c r="Q363" t="n">
        <v>0</v>
      </c>
      <c r="R363" t="n">
        <v>0</v>
      </c>
      <c r="S363" t="n">
        <v>0</v>
      </c>
      <c r="T363" t="n">
        <v>0</v>
      </c>
      <c r="U363" s="2" t="inlineStr"/>
    </row>
    <row r="364" ht="15" customHeight="1">
      <c r="A364" t="inlineStr">
        <is>
          <t>A 14415-2026</t>
        </is>
      </c>
      <c r="B364" t="inlineStr">
        <is>
          <t>avverkningsanmälan</t>
        </is>
      </c>
      <c r="C364" t="inlineStr">
        <is>
          <t>Föryngringsavverkning</t>
        </is>
      </c>
      <c r="D364" s="1" t="n">
        <v>46100</v>
      </c>
      <c r="E364" s="1" t="n">
        <v>46223</v>
      </c>
      <c r="F364" t="inlineStr">
        <is>
          <t>DALARNAS LÄN</t>
        </is>
      </c>
      <c r="G364" t="inlineStr">
        <is>
          <t>SMEDJEBACKEN</t>
        </is>
      </c>
      <c r="H364" t="inlineStr">
        <is>
          <t>Övriga Aktiebolag</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14430-2026</t>
        </is>
      </c>
      <c r="B365" t="inlineStr">
        <is>
          <t>avverkningsanmälan</t>
        </is>
      </c>
      <c r="C365" t="inlineStr">
        <is>
          <t>Föryngringsavverkning</t>
        </is>
      </c>
      <c r="D365" s="1" t="n">
        <v>46100</v>
      </c>
      <c r="E365" s="1" t="n">
        <v>46223</v>
      </c>
      <c r="F365" t="inlineStr">
        <is>
          <t>DALARNAS LÄN</t>
        </is>
      </c>
      <c r="G365" t="inlineStr">
        <is>
          <t>SMEDJEBACKEN</t>
        </is>
      </c>
      <c r="H365" t="inlineStr">
        <is>
          <t>Övriga Aktiebolag</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14602-2026</t>
        </is>
      </c>
      <c r="B366" t="inlineStr">
        <is>
          <t>avverkningsanmälan</t>
        </is>
      </c>
      <c r="C366" t="inlineStr">
        <is>
          <t>Föryngringsavverkning</t>
        </is>
      </c>
      <c r="D366" s="1" t="n">
        <v>46101</v>
      </c>
      <c r="E366" s="1" t="n">
        <v>46223</v>
      </c>
      <c r="F366" t="inlineStr">
        <is>
          <t>DALARNAS LÄN</t>
        </is>
      </c>
      <c r="G366" t="inlineStr">
        <is>
          <t>SMEDJEBACKEN</t>
        </is>
      </c>
      <c r="H366" t="inlineStr">
        <is>
          <t>Sveaskog</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14605-2026</t>
        </is>
      </c>
      <c r="B367" t="inlineStr">
        <is>
          <t>avverkningsanmälan</t>
        </is>
      </c>
      <c r="C367" t="inlineStr">
        <is>
          <t>Föryngringsavverkning</t>
        </is>
      </c>
      <c r="D367" s="1" t="n">
        <v>46101</v>
      </c>
      <c r="E367" s="1" t="n">
        <v>46223</v>
      </c>
      <c r="F367" t="inlineStr">
        <is>
          <t>DALARNAS LÄN</t>
        </is>
      </c>
      <c r="G367" t="inlineStr">
        <is>
          <t>SMEDJEBACKEN</t>
        </is>
      </c>
      <c r="H367" t="inlineStr">
        <is>
          <t>Sveaskog</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14606-2026</t>
        </is>
      </c>
      <c r="B368" t="inlineStr">
        <is>
          <t>avverkningsanmälan</t>
        </is>
      </c>
      <c r="C368" t="inlineStr">
        <is>
          <t>Föryngringsavverkning</t>
        </is>
      </c>
      <c r="D368" s="1" t="n">
        <v>46101</v>
      </c>
      <c r="E368" s="1" t="n">
        <v>46223</v>
      </c>
      <c r="F368" t="inlineStr">
        <is>
          <t>DALARNAS LÄN</t>
        </is>
      </c>
      <c r="G368" t="inlineStr">
        <is>
          <t>SMEDJEBACKEN</t>
        </is>
      </c>
      <c r="H368" t="inlineStr">
        <is>
          <t>Sveaskog</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15049-2026</t>
        </is>
      </c>
      <c r="B369" t="inlineStr">
        <is>
          <t>avverkningsanmälan</t>
        </is>
      </c>
      <c r="C369" t="inlineStr">
        <is>
          <t>Föryngringsavverkning</t>
        </is>
      </c>
      <c r="D369" s="1" t="n">
        <v>46104</v>
      </c>
      <c r="E369" s="1" t="n">
        <v>46223</v>
      </c>
      <c r="F369" t="inlineStr">
        <is>
          <t>DALARNAS LÄN</t>
        </is>
      </c>
      <c r="G369" t="inlineStr">
        <is>
          <t>SMEDJEBACKEN</t>
        </is>
      </c>
      <c r="H369" t="inlineStr">
        <is>
          <t>Sveaskog</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37024-2023</t>
        </is>
      </c>
      <c r="B370" t="inlineStr">
        <is>
          <t>avverkningsanmälan</t>
        </is>
      </c>
      <c r="C370" t="inlineStr">
        <is>
          <t>Föryngringsavverkning</t>
        </is>
      </c>
      <c r="D370" s="1" t="n">
        <v>45154</v>
      </c>
      <c r="E370" s="1" t="n">
        <v>46223</v>
      </c>
      <c r="F370" t="inlineStr">
        <is>
          <t>DALARNAS LÄN</t>
        </is>
      </c>
      <c r="G370" t="inlineStr">
        <is>
          <t>SMEDJEBACKEN</t>
        </is>
      </c>
      <c r="I370" t="n">
        <v>3.2</v>
      </c>
      <c r="J370" t="n">
        <v>0</v>
      </c>
      <c r="K370" t="n">
        <v>0</v>
      </c>
      <c r="L370" t="n">
        <v>0</v>
      </c>
      <c r="M370" t="n">
        <v>0</v>
      </c>
      <c r="N370" t="n">
        <v>0</v>
      </c>
      <c r="O370" t="n">
        <v>0</v>
      </c>
      <c r="P370" t="n">
        <v>0</v>
      </c>
      <c r="Q370" t="n">
        <v>0</v>
      </c>
      <c r="R370" t="n">
        <v>0</v>
      </c>
      <c r="S370" t="n">
        <v>0</v>
      </c>
      <c r="T370" t="n">
        <v>0</v>
      </c>
      <c r="U370" s="2" t="inlineStr"/>
    </row>
    <row r="371" ht="15" customHeight="1">
      <c r="A371" t="inlineStr">
        <is>
          <t>A 15047-2026</t>
        </is>
      </c>
      <c r="B371" t="inlineStr">
        <is>
          <t>avverkningsanmälan</t>
        </is>
      </c>
      <c r="C371" t="inlineStr">
        <is>
          <t>Föryngringsavverkning</t>
        </is>
      </c>
      <c r="D371" s="1" t="n">
        <v>46104</v>
      </c>
      <c r="E371" s="1" t="n">
        <v>46223</v>
      </c>
      <c r="F371" t="inlineStr">
        <is>
          <t>DALARNAS LÄN</t>
        </is>
      </c>
      <c r="G371" t="inlineStr">
        <is>
          <t>SMEDJEBACKEN</t>
        </is>
      </c>
      <c r="H371" t="inlineStr">
        <is>
          <t>Sveaskog</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63753-2025</t>
        </is>
      </c>
      <c r="B372" t="inlineStr">
        <is>
          <t>avverkningsanmälan</t>
        </is>
      </c>
      <c r="C372" t="inlineStr">
        <is>
          <t>Föryngringsavverkning</t>
        </is>
      </c>
      <c r="D372" s="1" t="n">
        <v>46017</v>
      </c>
      <c r="E372" s="1" t="n">
        <v>46223</v>
      </c>
      <c r="F372" t="inlineStr">
        <is>
          <t>DALARNAS LÄN</t>
        </is>
      </c>
      <c r="G372" t="inlineStr">
        <is>
          <t>SMEDJEBACKEN</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57260-2021</t>
        </is>
      </c>
      <c r="B373" t="inlineStr">
        <is>
          <t>avverkningsanmälan</t>
        </is>
      </c>
      <c r="C373" t="inlineStr">
        <is>
          <t>Föryngringsavverkning</t>
        </is>
      </c>
      <c r="D373" s="1" t="n">
        <v>44482</v>
      </c>
      <c r="E373" s="1" t="n">
        <v>46223</v>
      </c>
      <c r="F373" t="inlineStr">
        <is>
          <t>DALARNAS LÄN</t>
        </is>
      </c>
      <c r="G373" t="inlineStr">
        <is>
          <t>SMEDJEBACKEN</t>
        </is>
      </c>
      <c r="H373" t="inlineStr">
        <is>
          <t>Bergvik skog väst AB</t>
        </is>
      </c>
      <c r="I373" t="n">
        <v>3.1</v>
      </c>
      <c r="J373" t="n">
        <v>0</v>
      </c>
      <c r="K373" t="n">
        <v>0</v>
      </c>
      <c r="L373" t="n">
        <v>0</v>
      </c>
      <c r="M373" t="n">
        <v>0</v>
      </c>
      <c r="N373" t="n">
        <v>0</v>
      </c>
      <c r="O373" t="n">
        <v>0</v>
      </c>
      <c r="P373" t="n">
        <v>0</v>
      </c>
      <c r="Q373" t="n">
        <v>0</v>
      </c>
      <c r="R373" t="n">
        <v>0</v>
      </c>
      <c r="S373" t="n">
        <v>0</v>
      </c>
      <c r="T373" t="n">
        <v>0</v>
      </c>
      <c r="U373" s="2" t="inlineStr"/>
    </row>
    <row r="374" ht="15" customHeight="1">
      <c r="A374" t="inlineStr">
        <is>
          <t>A 57269-2021</t>
        </is>
      </c>
      <c r="B374" t="inlineStr">
        <is>
          <t>avverkningsanmälan</t>
        </is>
      </c>
      <c r="C374" t="inlineStr">
        <is>
          <t>Föryngringsavverkning</t>
        </is>
      </c>
      <c r="D374" s="1" t="n">
        <v>44482</v>
      </c>
      <c r="E374" s="1" t="n">
        <v>46223</v>
      </c>
      <c r="F374" t="inlineStr">
        <is>
          <t>DALARNAS LÄN</t>
        </is>
      </c>
      <c r="G374" t="inlineStr">
        <is>
          <t>SMEDJEBACKEN</t>
        </is>
      </c>
      <c r="H374" t="inlineStr">
        <is>
          <t>Bergvik skog väst AB</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5706-2026</t>
        </is>
      </c>
      <c r="B375" t="inlineStr">
        <is>
          <t>avverkningsanmälan</t>
        </is>
      </c>
      <c r="C375" t="inlineStr">
        <is>
          <t>Föryngringsavverkning</t>
        </is>
      </c>
      <c r="D375" s="1" t="n">
        <v>46051</v>
      </c>
      <c r="E375" s="1" t="n">
        <v>46223</v>
      </c>
      <c r="F375" t="inlineStr">
        <is>
          <t>DALARNAS LÄN</t>
        </is>
      </c>
      <c r="G375" t="inlineStr">
        <is>
          <t>SMEDJEBACKEN</t>
        </is>
      </c>
      <c r="I375" t="n">
        <v>1.2</v>
      </c>
      <c r="J375" t="n">
        <v>0</v>
      </c>
      <c r="K375" t="n">
        <v>0</v>
      </c>
      <c r="L375" t="n">
        <v>0</v>
      </c>
      <c r="M375" t="n">
        <v>0</v>
      </c>
      <c r="N375" t="n">
        <v>0</v>
      </c>
      <c r="O375" t="n">
        <v>0</v>
      </c>
      <c r="P375" t="n">
        <v>0</v>
      </c>
      <c r="Q375" t="n">
        <v>0</v>
      </c>
      <c r="R375" t="n">
        <v>0</v>
      </c>
      <c r="S375" t="n">
        <v>0</v>
      </c>
      <c r="T375" t="n">
        <v>0</v>
      </c>
      <c r="U375" s="2" t="inlineStr"/>
    </row>
    <row r="376" ht="15" customHeight="1">
      <c r="A376" t="inlineStr">
        <is>
          <t>A 46396-2024</t>
        </is>
      </c>
      <c r="B376" t="inlineStr">
        <is>
          <t>avverkningsanmälan</t>
        </is>
      </c>
      <c r="C376" t="inlineStr">
        <is>
          <t>Föryngringsavverkning</t>
        </is>
      </c>
      <c r="D376" s="1" t="n">
        <v>45582</v>
      </c>
      <c r="E376" s="1" t="n">
        <v>46223</v>
      </c>
      <c r="F376" t="inlineStr">
        <is>
          <t>DALARNAS LÄN</t>
        </is>
      </c>
      <c r="G376" t="inlineStr">
        <is>
          <t>SMEDJEBACKEN</t>
        </is>
      </c>
      <c r="H376" t="inlineStr">
        <is>
          <t>Bergvik skog väst AB</t>
        </is>
      </c>
      <c r="I376" t="n">
        <v>10.2</v>
      </c>
      <c r="J376" t="n">
        <v>0</v>
      </c>
      <c r="K376" t="n">
        <v>0</v>
      </c>
      <c r="L376" t="n">
        <v>0</v>
      </c>
      <c r="M376" t="n">
        <v>0</v>
      </c>
      <c r="N376" t="n">
        <v>0</v>
      </c>
      <c r="O376" t="n">
        <v>0</v>
      </c>
      <c r="P376" t="n">
        <v>0</v>
      </c>
      <c r="Q376" t="n">
        <v>0</v>
      </c>
      <c r="R376" t="n">
        <v>0</v>
      </c>
      <c r="S376" t="n">
        <v>0</v>
      </c>
      <c r="T376" t="n">
        <v>0</v>
      </c>
      <c r="U376" s="2" t="inlineStr"/>
    </row>
    <row r="377" ht="15" customHeight="1">
      <c r="A377" t="inlineStr">
        <is>
          <t>A 49447-2025</t>
        </is>
      </c>
      <c r="B377" t="inlineStr">
        <is>
          <t>avverkningsanmälan</t>
        </is>
      </c>
      <c r="C377" t="inlineStr">
        <is>
          <t>Föryngringsavverkning</t>
        </is>
      </c>
      <c r="D377" s="1" t="n">
        <v>45938</v>
      </c>
      <c r="E377" s="1" t="n">
        <v>46223</v>
      </c>
      <c r="F377" t="inlineStr">
        <is>
          <t>DALARNAS LÄN</t>
        </is>
      </c>
      <c r="G377" t="inlineStr">
        <is>
          <t>SMEDJEBACKEN</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48964-2025</t>
        </is>
      </c>
      <c r="B378" t="inlineStr">
        <is>
          <t>avverkningsanmälan</t>
        </is>
      </c>
      <c r="C378" t="inlineStr">
        <is>
          <t>Föryngringsavverkning</t>
        </is>
      </c>
      <c r="D378" s="1" t="n">
        <v>45937</v>
      </c>
      <c r="E378" s="1" t="n">
        <v>46223</v>
      </c>
      <c r="F378" t="inlineStr">
        <is>
          <t>DALARNAS LÄN</t>
        </is>
      </c>
      <c r="G378" t="inlineStr">
        <is>
          <t>SMEDJEBACKEN</t>
        </is>
      </c>
      <c r="H378" t="inlineStr">
        <is>
          <t>Sveaskog</t>
        </is>
      </c>
      <c r="I378" t="n">
        <v>3</v>
      </c>
      <c r="J378" t="n">
        <v>0</v>
      </c>
      <c r="K378" t="n">
        <v>0</v>
      </c>
      <c r="L378" t="n">
        <v>0</v>
      </c>
      <c r="M378" t="n">
        <v>0</v>
      </c>
      <c r="N378" t="n">
        <v>0</v>
      </c>
      <c r="O378" t="n">
        <v>0</v>
      </c>
      <c r="P378" t="n">
        <v>0</v>
      </c>
      <c r="Q378" t="n">
        <v>0</v>
      </c>
      <c r="R378" t="n">
        <v>0</v>
      </c>
      <c r="S378" t="n">
        <v>0</v>
      </c>
      <c r="T378" t="n">
        <v>0</v>
      </c>
      <c r="U378" s="2" t="inlineStr"/>
    </row>
    <row r="379" ht="15" customHeight="1">
      <c r="A379" t="inlineStr">
        <is>
          <t>A 355-2026</t>
        </is>
      </c>
      <c r="B379" t="inlineStr">
        <is>
          <t>avverkningsanmälan</t>
        </is>
      </c>
      <c r="C379" t="inlineStr">
        <is>
          <t>Föryngringsavverkning</t>
        </is>
      </c>
      <c r="D379" s="1" t="n">
        <v>46027</v>
      </c>
      <c r="E379" s="1" t="n">
        <v>46223</v>
      </c>
      <c r="F379" t="inlineStr">
        <is>
          <t>DALARNAS LÄN</t>
        </is>
      </c>
      <c r="G379" t="inlineStr">
        <is>
          <t>SMEDJEBACKEN</t>
        </is>
      </c>
      <c r="I379" t="n">
        <v>7.5</v>
      </c>
      <c r="J379" t="n">
        <v>0</v>
      </c>
      <c r="K379" t="n">
        <v>0</v>
      </c>
      <c r="L379" t="n">
        <v>0</v>
      </c>
      <c r="M379" t="n">
        <v>0</v>
      </c>
      <c r="N379" t="n">
        <v>0</v>
      </c>
      <c r="O379" t="n">
        <v>0</v>
      </c>
      <c r="P379" t="n">
        <v>0</v>
      </c>
      <c r="Q379" t="n">
        <v>0</v>
      </c>
      <c r="R379" t="n">
        <v>0</v>
      </c>
      <c r="S379" t="n">
        <v>0</v>
      </c>
      <c r="T379" t="n">
        <v>0</v>
      </c>
      <c r="U379" s="2" t="inlineStr"/>
    </row>
    <row r="380" ht="15" customHeight="1">
      <c r="A380" t="inlineStr">
        <is>
          <t>A 29820-2023</t>
        </is>
      </c>
      <c r="B380" t="inlineStr">
        <is>
          <t>avverkningsanmälan</t>
        </is>
      </c>
      <c r="C380" t="inlineStr">
        <is>
          <t>Föryngringsavverkning</t>
        </is>
      </c>
      <c r="D380" s="1" t="n">
        <v>45107</v>
      </c>
      <c r="E380" s="1" t="n">
        <v>46223</v>
      </c>
      <c r="F380" t="inlineStr">
        <is>
          <t>DALARNAS LÄN</t>
        </is>
      </c>
      <c r="G380" t="inlineStr">
        <is>
          <t>SMEDJEBACKEN</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2765-2026</t>
        </is>
      </c>
      <c r="B381" t="inlineStr">
        <is>
          <t>avverkningsanmälan</t>
        </is>
      </c>
      <c r="C381" t="inlineStr">
        <is>
          <t>Föryngringsavverkning</t>
        </is>
      </c>
      <c r="D381" s="1" t="n">
        <v>46038</v>
      </c>
      <c r="E381" s="1" t="n">
        <v>46223</v>
      </c>
      <c r="F381" t="inlineStr">
        <is>
          <t>DALARNAS LÄN</t>
        </is>
      </c>
      <c r="G381" t="inlineStr">
        <is>
          <t>SMEDJEBACKEN</t>
        </is>
      </c>
      <c r="I381" t="n">
        <v>3.9</v>
      </c>
      <c r="J381" t="n">
        <v>0</v>
      </c>
      <c r="K381" t="n">
        <v>0</v>
      </c>
      <c r="L381" t="n">
        <v>0</v>
      </c>
      <c r="M381" t="n">
        <v>0</v>
      </c>
      <c r="N381" t="n">
        <v>0</v>
      </c>
      <c r="O381" t="n">
        <v>0</v>
      </c>
      <c r="P381" t="n">
        <v>0</v>
      </c>
      <c r="Q381" t="n">
        <v>0</v>
      </c>
      <c r="R381" t="n">
        <v>0</v>
      </c>
      <c r="S381" t="n">
        <v>0</v>
      </c>
      <c r="T381" t="n">
        <v>0</v>
      </c>
      <c r="U381" s="2" t="inlineStr"/>
    </row>
    <row r="382" ht="15" customHeight="1">
      <c r="A382" t="inlineStr">
        <is>
          <t>A 26430-2024</t>
        </is>
      </c>
      <c r="B382" t="inlineStr">
        <is>
          <t>avverkningsanmälan</t>
        </is>
      </c>
      <c r="C382" t="inlineStr">
        <is>
          <t>Föryngringsavverkning</t>
        </is>
      </c>
      <c r="D382" s="1" t="n">
        <v>45469</v>
      </c>
      <c r="E382" s="1" t="n">
        <v>46223</v>
      </c>
      <c r="F382" t="inlineStr">
        <is>
          <t>DALARNAS LÄN</t>
        </is>
      </c>
      <c r="G382" t="inlineStr">
        <is>
          <t>SMEDJEBACKEN</t>
        </is>
      </c>
      <c r="H382" t="inlineStr">
        <is>
          <t>Bergvik skog väst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17834-2023</t>
        </is>
      </c>
      <c r="B383" t="inlineStr">
        <is>
          <t>avverkningsanmälan</t>
        </is>
      </c>
      <c r="C383" t="inlineStr">
        <is>
          <t>Föryngringsavverkning</t>
        </is>
      </c>
      <c r="D383" s="1" t="n">
        <v>45037</v>
      </c>
      <c r="E383" s="1" t="n">
        <v>46223</v>
      </c>
      <c r="F383" t="inlineStr">
        <is>
          <t>DALARNAS LÄN</t>
        </is>
      </c>
      <c r="G383" t="inlineStr">
        <is>
          <t>SMEDJEBACKEN</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16881-2026</t>
        </is>
      </c>
      <c r="B384" t="inlineStr">
        <is>
          <t>avverkningsanmälan</t>
        </is>
      </c>
      <c r="C384" t="inlineStr">
        <is>
          <t>Föryngringsavverkning</t>
        </is>
      </c>
      <c r="D384" s="1" t="n">
        <v>46113</v>
      </c>
      <c r="E384" s="1" t="n">
        <v>46223</v>
      </c>
      <c r="F384" t="inlineStr">
        <is>
          <t>DALARNAS LÄN</t>
        </is>
      </c>
      <c r="G384" t="inlineStr">
        <is>
          <t>SMEDJEBACKEN</t>
        </is>
      </c>
      <c r="I384" t="n">
        <v>1.9</v>
      </c>
      <c r="J384" t="n">
        <v>0</v>
      </c>
      <c r="K384" t="n">
        <v>0</v>
      </c>
      <c r="L384" t="n">
        <v>0</v>
      </c>
      <c r="M384" t="n">
        <v>0</v>
      </c>
      <c r="N384" t="n">
        <v>0</v>
      </c>
      <c r="O384" t="n">
        <v>0</v>
      </c>
      <c r="P384" t="n">
        <v>0</v>
      </c>
      <c r="Q384" t="n">
        <v>0</v>
      </c>
      <c r="R384" t="n">
        <v>0</v>
      </c>
      <c r="S384" t="n">
        <v>0</v>
      </c>
      <c r="T384" t="n">
        <v>0</v>
      </c>
      <c r="U384" s="2" t="inlineStr"/>
    </row>
    <row r="385" ht="15" customHeight="1">
      <c r="A385" t="inlineStr">
        <is>
          <t>A 19469-2024</t>
        </is>
      </c>
      <c r="B385" t="inlineStr">
        <is>
          <t>avverkningsanmälan</t>
        </is>
      </c>
      <c r="C385" t="inlineStr">
        <is>
          <t>Föryngringsavverkning</t>
        </is>
      </c>
      <c r="D385" s="1" t="n">
        <v>45429</v>
      </c>
      <c r="E385" s="1" t="n">
        <v>46223</v>
      </c>
      <c r="F385" t="inlineStr">
        <is>
          <t>DALARNAS LÄN</t>
        </is>
      </c>
      <c r="G385" t="inlineStr">
        <is>
          <t>SMEDJEBACKEN</t>
        </is>
      </c>
      <c r="H385" t="inlineStr">
        <is>
          <t>Sveaskog</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28248-2024</t>
        </is>
      </c>
      <c r="B386" t="inlineStr">
        <is>
          <t>avverkningsanmälan</t>
        </is>
      </c>
      <c r="C386" t="inlineStr">
        <is>
          <t>Föryngringsavverkning</t>
        </is>
      </c>
      <c r="D386" s="1" t="n">
        <v>45477</v>
      </c>
      <c r="E386" s="1" t="n">
        <v>46223</v>
      </c>
      <c r="F386" t="inlineStr">
        <is>
          <t>DALARNAS LÄN</t>
        </is>
      </c>
      <c r="G386" t="inlineStr">
        <is>
          <t>SMEDJEBACKEN</t>
        </is>
      </c>
      <c r="H386" t="inlineStr">
        <is>
          <t>Sveaskog</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50778-2024</t>
        </is>
      </c>
      <c r="B387" t="inlineStr">
        <is>
          <t>avverkningsanmälan</t>
        </is>
      </c>
      <c r="C387" t="inlineStr">
        <is>
          <t>Föryngringsavverkning</t>
        </is>
      </c>
      <c r="D387" s="1" t="n">
        <v>45601</v>
      </c>
      <c r="E387" s="1" t="n">
        <v>46223</v>
      </c>
      <c r="F387" t="inlineStr">
        <is>
          <t>DALARNAS LÄN</t>
        </is>
      </c>
      <c r="G387" t="inlineStr">
        <is>
          <t>SMEDJEBACKEN</t>
        </is>
      </c>
      <c r="H387" t="inlineStr">
        <is>
          <t>Bergvik skog väst AB</t>
        </is>
      </c>
      <c r="I387" t="n">
        <v>14.8</v>
      </c>
      <c r="J387" t="n">
        <v>0</v>
      </c>
      <c r="K387" t="n">
        <v>0</v>
      </c>
      <c r="L387" t="n">
        <v>0</v>
      </c>
      <c r="M387" t="n">
        <v>0</v>
      </c>
      <c r="N387" t="n">
        <v>0</v>
      </c>
      <c r="O387" t="n">
        <v>0</v>
      </c>
      <c r="P387" t="n">
        <v>0</v>
      </c>
      <c r="Q387" t="n">
        <v>0</v>
      </c>
      <c r="R387" t="n">
        <v>0</v>
      </c>
      <c r="S387" t="n">
        <v>0</v>
      </c>
      <c r="T387" t="n">
        <v>0</v>
      </c>
      <c r="U387" s="2" t="inlineStr"/>
    </row>
    <row r="388" ht="15" customHeight="1">
      <c r="A388" t="inlineStr">
        <is>
          <t>A 16826-2026</t>
        </is>
      </c>
      <c r="B388" t="inlineStr">
        <is>
          <t>avverkningsanmälan</t>
        </is>
      </c>
      <c r="C388" t="inlineStr">
        <is>
          <t>Föryngringsavverkning</t>
        </is>
      </c>
      <c r="D388" s="1" t="n">
        <v>46113</v>
      </c>
      <c r="E388" s="1" t="n">
        <v>46223</v>
      </c>
      <c r="F388" t="inlineStr">
        <is>
          <t>DALARNAS LÄN</t>
        </is>
      </c>
      <c r="G388" t="inlineStr">
        <is>
          <t>SMEDJEBACKEN</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29420-2023</t>
        </is>
      </c>
      <c r="B389" t="inlineStr">
        <is>
          <t>avverkningsanmälan</t>
        </is>
      </c>
      <c r="C389" t="inlineStr">
        <is>
          <t>Föryngringsavverkning</t>
        </is>
      </c>
      <c r="D389" s="1" t="n">
        <v>45106</v>
      </c>
      <c r="E389" s="1" t="n">
        <v>46223</v>
      </c>
      <c r="F389" t="inlineStr">
        <is>
          <t>DALARNAS LÄN</t>
        </is>
      </c>
      <c r="G389" t="inlineStr">
        <is>
          <t>SMEDJEBACKEN</t>
        </is>
      </c>
      <c r="I389" t="n">
        <v>1.6</v>
      </c>
      <c r="J389" t="n">
        <v>0</v>
      </c>
      <c r="K389" t="n">
        <v>0</v>
      </c>
      <c r="L389" t="n">
        <v>0</v>
      </c>
      <c r="M389" t="n">
        <v>0</v>
      </c>
      <c r="N389" t="n">
        <v>0</v>
      </c>
      <c r="O389" t="n">
        <v>0</v>
      </c>
      <c r="P389" t="n">
        <v>0</v>
      </c>
      <c r="Q389" t="n">
        <v>0</v>
      </c>
      <c r="R389" t="n">
        <v>0</v>
      </c>
      <c r="S389" t="n">
        <v>0</v>
      </c>
      <c r="T389" t="n">
        <v>0</v>
      </c>
      <c r="U389" s="2" t="inlineStr"/>
    </row>
    <row r="390" ht="15" customHeight="1">
      <c r="A390" t="inlineStr">
        <is>
          <t>A 55650-2021</t>
        </is>
      </c>
      <c r="B390" t="inlineStr">
        <is>
          <t>avverkningsanmälan</t>
        </is>
      </c>
      <c r="C390" t="inlineStr">
        <is>
          <t>Föryngringsavverkning</t>
        </is>
      </c>
      <c r="D390" s="1" t="n">
        <v>44475</v>
      </c>
      <c r="E390" s="1" t="n">
        <v>46223</v>
      </c>
      <c r="F390" t="inlineStr">
        <is>
          <t>DALARNAS LÄN</t>
        </is>
      </c>
      <c r="G390" t="inlineStr">
        <is>
          <t>SMEDJEBACKEN</t>
        </is>
      </c>
      <c r="H390" t="inlineStr">
        <is>
          <t>Bergvik skog väst AB</t>
        </is>
      </c>
      <c r="I390" t="n">
        <v>2.9</v>
      </c>
      <c r="J390" t="n">
        <v>0</v>
      </c>
      <c r="K390" t="n">
        <v>0</v>
      </c>
      <c r="L390" t="n">
        <v>0</v>
      </c>
      <c r="M390" t="n">
        <v>0</v>
      </c>
      <c r="N390" t="n">
        <v>0</v>
      </c>
      <c r="O390" t="n">
        <v>0</v>
      </c>
      <c r="P390" t="n">
        <v>0</v>
      </c>
      <c r="Q390" t="n">
        <v>0</v>
      </c>
      <c r="R390" t="n">
        <v>0</v>
      </c>
      <c r="S390" t="n">
        <v>0</v>
      </c>
      <c r="T390" t="n">
        <v>0</v>
      </c>
      <c r="U390" s="2" t="inlineStr"/>
    </row>
    <row r="391" ht="15" customHeight="1">
      <c r="A391" t="inlineStr">
        <is>
          <t>A 18386-2024</t>
        </is>
      </c>
      <c r="B391" t="inlineStr">
        <is>
          <t>avverkningsanmälan</t>
        </is>
      </c>
      <c r="C391" t="inlineStr">
        <is>
          <t>Föryngringsavverkning</t>
        </is>
      </c>
      <c r="D391" s="1" t="n">
        <v>45424</v>
      </c>
      <c r="E391" s="1" t="n">
        <v>46223</v>
      </c>
      <c r="F391" t="inlineStr">
        <is>
          <t>DALARNAS LÄN</t>
        </is>
      </c>
      <c r="G391" t="inlineStr">
        <is>
          <t>SMEDJEBACKEN</t>
        </is>
      </c>
      <c r="H391" t="inlineStr">
        <is>
          <t>Sveaskog</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17335-2026</t>
        </is>
      </c>
      <c r="B392" t="inlineStr">
        <is>
          <t>avverkningsanmälan</t>
        </is>
      </c>
      <c r="C392" t="inlineStr">
        <is>
          <t>Föryngringsavverkning</t>
        </is>
      </c>
      <c r="D392" s="1" t="n">
        <v>46119</v>
      </c>
      <c r="E392" s="1" t="n">
        <v>46223</v>
      </c>
      <c r="F392" t="inlineStr">
        <is>
          <t>DALARNAS LÄN</t>
        </is>
      </c>
      <c r="G392" t="inlineStr">
        <is>
          <t>SMEDJEBACKEN</t>
        </is>
      </c>
      <c r="H392" t="inlineStr">
        <is>
          <t>Sveaskog</t>
        </is>
      </c>
      <c r="I392" t="n">
        <v>7.7</v>
      </c>
      <c r="J392" t="n">
        <v>0</v>
      </c>
      <c r="K392" t="n">
        <v>0</v>
      </c>
      <c r="L392" t="n">
        <v>0</v>
      </c>
      <c r="M392" t="n">
        <v>0</v>
      </c>
      <c r="N392" t="n">
        <v>0</v>
      </c>
      <c r="O392" t="n">
        <v>0</v>
      </c>
      <c r="P392" t="n">
        <v>0</v>
      </c>
      <c r="Q392" t="n">
        <v>0</v>
      </c>
      <c r="R392" t="n">
        <v>0</v>
      </c>
      <c r="S392" t="n">
        <v>0</v>
      </c>
      <c r="T392" t="n">
        <v>0</v>
      </c>
      <c r="U392" s="2" t="inlineStr"/>
    </row>
    <row r="393" ht="15" customHeight="1">
      <c r="A393" t="inlineStr">
        <is>
          <t>A 17337-2026</t>
        </is>
      </c>
      <c r="B393" t="inlineStr">
        <is>
          <t>avverkningsanmälan</t>
        </is>
      </c>
      <c r="C393" t="inlineStr">
        <is>
          <t>Föryngringsavverkning</t>
        </is>
      </c>
      <c r="D393" s="1" t="n">
        <v>46119</v>
      </c>
      <c r="E393" s="1" t="n">
        <v>46223</v>
      </c>
      <c r="F393" t="inlineStr">
        <is>
          <t>DALARNAS LÄN</t>
        </is>
      </c>
      <c r="G393" t="inlineStr">
        <is>
          <t>SMEDJEBACKEN</t>
        </is>
      </c>
      <c r="H393" t="inlineStr">
        <is>
          <t>Sveaskog</t>
        </is>
      </c>
      <c r="I393" t="n">
        <v>7.4</v>
      </c>
      <c r="J393" t="n">
        <v>0</v>
      </c>
      <c r="K393" t="n">
        <v>0</v>
      </c>
      <c r="L393" t="n">
        <v>0</v>
      </c>
      <c r="M393" t="n">
        <v>0</v>
      </c>
      <c r="N393" t="n">
        <v>0</v>
      </c>
      <c r="O393" t="n">
        <v>0</v>
      </c>
      <c r="P393" t="n">
        <v>0</v>
      </c>
      <c r="Q393" t="n">
        <v>0</v>
      </c>
      <c r="R393" t="n">
        <v>0</v>
      </c>
      <c r="S393" t="n">
        <v>0</v>
      </c>
      <c r="T393" t="n">
        <v>0</v>
      </c>
      <c r="U393" s="2" t="inlineStr"/>
    </row>
    <row r="394" ht="15" customHeight="1">
      <c r="A394" t="inlineStr">
        <is>
          <t>A 646-2022</t>
        </is>
      </c>
      <c r="B394" t="inlineStr">
        <is>
          <t>avverkningsanmälan</t>
        </is>
      </c>
      <c r="C394" t="inlineStr">
        <is>
          <t>Föryngringsavverkning</t>
        </is>
      </c>
      <c r="D394" s="1" t="n">
        <v>44568</v>
      </c>
      <c r="E394" s="1" t="n">
        <v>46223</v>
      </c>
      <c r="F394" t="inlineStr">
        <is>
          <t>DALARNAS LÄN</t>
        </is>
      </c>
      <c r="G394" t="inlineStr">
        <is>
          <t>SMEDJEBACKEN</t>
        </is>
      </c>
      <c r="I394" t="n">
        <v>2.2</v>
      </c>
      <c r="J394" t="n">
        <v>0</v>
      </c>
      <c r="K394" t="n">
        <v>0</v>
      </c>
      <c r="L394" t="n">
        <v>0</v>
      </c>
      <c r="M394" t="n">
        <v>0</v>
      </c>
      <c r="N394" t="n">
        <v>0</v>
      </c>
      <c r="O394" t="n">
        <v>0</v>
      </c>
      <c r="P394" t="n">
        <v>0</v>
      </c>
      <c r="Q394" t="n">
        <v>0</v>
      </c>
      <c r="R394" t="n">
        <v>0</v>
      </c>
      <c r="S394" t="n">
        <v>0</v>
      </c>
      <c r="T394" t="n">
        <v>0</v>
      </c>
      <c r="U394" s="2" t="inlineStr"/>
    </row>
    <row r="395" ht="15" customHeight="1">
      <c r="A395" t="inlineStr">
        <is>
          <t>A 17868-2026</t>
        </is>
      </c>
      <c r="B395" t="inlineStr">
        <is>
          <t>avverkningsanmälan</t>
        </is>
      </c>
      <c r="C395" t="inlineStr">
        <is>
          <t>Föryngringsavverkning</t>
        </is>
      </c>
      <c r="D395" s="1" t="n">
        <v>46122</v>
      </c>
      <c r="E395" s="1" t="n">
        <v>46223</v>
      </c>
      <c r="F395" t="inlineStr">
        <is>
          <t>DALARNAS LÄN</t>
        </is>
      </c>
      <c r="G395" t="inlineStr">
        <is>
          <t>SMEDJEBACKEN</t>
        </is>
      </c>
      <c r="H395" t="inlineStr">
        <is>
          <t>Sveaskog</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17846-2026</t>
        </is>
      </c>
      <c r="B396" t="inlineStr">
        <is>
          <t>avverkningsanmälan</t>
        </is>
      </c>
      <c r="C396" t="inlineStr">
        <is>
          <t>Föryngringsavverkning</t>
        </is>
      </c>
      <c r="D396" s="1" t="n">
        <v>46122</v>
      </c>
      <c r="E396" s="1" t="n">
        <v>46223</v>
      </c>
      <c r="F396" t="inlineStr">
        <is>
          <t>DALARNAS LÄN</t>
        </is>
      </c>
      <c r="G396" t="inlineStr">
        <is>
          <t>SMEDJEBACKEN</t>
        </is>
      </c>
      <c r="H396" t="inlineStr">
        <is>
          <t>Sveaskog</t>
        </is>
      </c>
      <c r="I396" t="n">
        <v>7</v>
      </c>
      <c r="J396" t="n">
        <v>0</v>
      </c>
      <c r="K396" t="n">
        <v>0</v>
      </c>
      <c r="L396" t="n">
        <v>0</v>
      </c>
      <c r="M396" t="n">
        <v>0</v>
      </c>
      <c r="N396" t="n">
        <v>0</v>
      </c>
      <c r="O396" t="n">
        <v>0</v>
      </c>
      <c r="P396" t="n">
        <v>0</v>
      </c>
      <c r="Q396" t="n">
        <v>0</v>
      </c>
      <c r="R396" t="n">
        <v>0</v>
      </c>
      <c r="S396" t="n">
        <v>0</v>
      </c>
      <c r="T396" t="n">
        <v>0</v>
      </c>
      <c r="U396" s="2" t="inlineStr"/>
    </row>
    <row r="397" ht="15" customHeight="1">
      <c r="A397" t="inlineStr">
        <is>
          <t>A 18093-2026</t>
        </is>
      </c>
      <c r="B397" t="inlineStr">
        <is>
          <t>avverkningsanmälan</t>
        </is>
      </c>
      <c r="C397" t="inlineStr">
        <is>
          <t>Föryngringsavverkning</t>
        </is>
      </c>
      <c r="D397" s="1" t="n">
        <v>46125</v>
      </c>
      <c r="E397" s="1" t="n">
        <v>46223</v>
      </c>
      <c r="F397" t="inlineStr">
        <is>
          <t>DALARNAS LÄN</t>
        </is>
      </c>
      <c r="G397" t="inlineStr">
        <is>
          <t>SMEDJEBACKEN</t>
        </is>
      </c>
      <c r="I397" t="n">
        <v>3.7</v>
      </c>
      <c r="J397" t="n">
        <v>0</v>
      </c>
      <c r="K397" t="n">
        <v>0</v>
      </c>
      <c r="L397" t="n">
        <v>0</v>
      </c>
      <c r="M397" t="n">
        <v>0</v>
      </c>
      <c r="N397" t="n">
        <v>0</v>
      </c>
      <c r="O397" t="n">
        <v>0</v>
      </c>
      <c r="P397" t="n">
        <v>0</v>
      </c>
      <c r="Q397" t="n">
        <v>0</v>
      </c>
      <c r="R397" t="n">
        <v>0</v>
      </c>
      <c r="S397" t="n">
        <v>0</v>
      </c>
      <c r="T397" t="n">
        <v>0</v>
      </c>
      <c r="U397" s="2" t="inlineStr"/>
    </row>
    <row r="398" ht="15" customHeight="1">
      <c r="A398" t="inlineStr">
        <is>
          <t>A 17832-2026</t>
        </is>
      </c>
      <c r="B398" t="inlineStr">
        <is>
          <t>avverkningsanmälan</t>
        </is>
      </c>
      <c r="C398" t="inlineStr">
        <is>
          <t>Föryngringsavverkning</t>
        </is>
      </c>
      <c r="D398" s="1" t="n">
        <v>46122</v>
      </c>
      <c r="E398" s="1" t="n">
        <v>46223</v>
      </c>
      <c r="F398" t="inlineStr">
        <is>
          <t>DALARNAS LÄN</t>
        </is>
      </c>
      <c r="G398" t="inlineStr">
        <is>
          <t>SMEDJEBACKEN</t>
        </is>
      </c>
      <c r="H398" t="inlineStr">
        <is>
          <t>Sveaskog</t>
        </is>
      </c>
      <c r="I398" t="n">
        <v>5.8</v>
      </c>
      <c r="J398" t="n">
        <v>0</v>
      </c>
      <c r="K398" t="n">
        <v>0</v>
      </c>
      <c r="L398" t="n">
        <v>0</v>
      </c>
      <c r="M398" t="n">
        <v>0</v>
      </c>
      <c r="N398" t="n">
        <v>0</v>
      </c>
      <c r="O398" t="n">
        <v>0</v>
      </c>
      <c r="P398" t="n">
        <v>0</v>
      </c>
      <c r="Q398" t="n">
        <v>0</v>
      </c>
      <c r="R398" t="n">
        <v>0</v>
      </c>
      <c r="S398" t="n">
        <v>0</v>
      </c>
      <c r="T398" t="n">
        <v>0</v>
      </c>
      <c r="U398" s="2" t="inlineStr"/>
    </row>
    <row r="399" ht="15" customHeight="1">
      <c r="A399" t="inlineStr">
        <is>
          <t>A 18119-2026</t>
        </is>
      </c>
      <c r="B399" t="inlineStr">
        <is>
          <t>avverkningsanmälan</t>
        </is>
      </c>
      <c r="C399" t="inlineStr">
        <is>
          <t>Föryngringsavverkning</t>
        </is>
      </c>
      <c r="D399" s="1" t="n">
        <v>46125</v>
      </c>
      <c r="E399" s="1" t="n">
        <v>46223</v>
      </c>
      <c r="F399" t="inlineStr">
        <is>
          <t>DALARNAS LÄN</t>
        </is>
      </c>
      <c r="G399" t="inlineStr">
        <is>
          <t>SMEDJEBACKEN</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17869-2026</t>
        </is>
      </c>
      <c r="B400" t="inlineStr">
        <is>
          <t>avverkningsanmälan</t>
        </is>
      </c>
      <c r="C400" t="inlineStr">
        <is>
          <t>Föryngringsavverkning</t>
        </is>
      </c>
      <c r="D400" s="1" t="n">
        <v>46122</v>
      </c>
      <c r="E400" s="1" t="n">
        <v>46223</v>
      </c>
      <c r="F400" t="inlineStr">
        <is>
          <t>DALARNAS LÄN</t>
        </is>
      </c>
      <c r="G400" t="inlineStr">
        <is>
          <t>SMEDJEBACKEN</t>
        </is>
      </c>
      <c r="H400" t="inlineStr">
        <is>
          <t>Sveaskog</t>
        </is>
      </c>
      <c r="I400" t="n">
        <v>5.2</v>
      </c>
      <c r="J400" t="n">
        <v>0</v>
      </c>
      <c r="K400" t="n">
        <v>0</v>
      </c>
      <c r="L400" t="n">
        <v>0</v>
      </c>
      <c r="M400" t="n">
        <v>0</v>
      </c>
      <c r="N400" t="n">
        <v>0</v>
      </c>
      <c r="O400" t="n">
        <v>0</v>
      </c>
      <c r="P400" t="n">
        <v>0</v>
      </c>
      <c r="Q400" t="n">
        <v>0</v>
      </c>
      <c r="R400" t="n">
        <v>0</v>
      </c>
      <c r="S400" t="n">
        <v>0</v>
      </c>
      <c r="T400" t="n">
        <v>0</v>
      </c>
      <c r="U400" s="2" t="inlineStr"/>
    </row>
    <row r="401" ht="15" customHeight="1">
      <c r="A401" t="inlineStr">
        <is>
          <t>A 18105-2025</t>
        </is>
      </c>
      <c r="B401" t="inlineStr">
        <is>
          <t>avverkningsanmälan</t>
        </is>
      </c>
      <c r="C401" t="inlineStr">
        <is>
          <t>Föryngringsavverkning</t>
        </is>
      </c>
      <c r="D401" s="1" t="n">
        <v>45761</v>
      </c>
      <c r="E401" s="1" t="n">
        <v>46223</v>
      </c>
      <c r="F401" t="inlineStr">
        <is>
          <t>DALARNAS LÄN</t>
        </is>
      </c>
      <c r="G401" t="inlineStr">
        <is>
          <t>SMEDJEBACKEN</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17831-2026</t>
        </is>
      </c>
      <c r="B402" t="inlineStr">
        <is>
          <t>avverkningsanmälan</t>
        </is>
      </c>
      <c r="C402" t="inlineStr">
        <is>
          <t>Föryngringsavverkning</t>
        </is>
      </c>
      <c r="D402" s="1" t="n">
        <v>46122</v>
      </c>
      <c r="E402" s="1" t="n">
        <v>46223</v>
      </c>
      <c r="F402" t="inlineStr">
        <is>
          <t>DALARNAS LÄN</t>
        </is>
      </c>
      <c r="G402" t="inlineStr">
        <is>
          <t>SMEDJEBACKEN</t>
        </is>
      </c>
      <c r="H402" t="inlineStr">
        <is>
          <t>Sveaskog</t>
        </is>
      </c>
      <c r="I402" t="n">
        <v>3.4</v>
      </c>
      <c r="J402" t="n">
        <v>0</v>
      </c>
      <c r="K402" t="n">
        <v>0</v>
      </c>
      <c r="L402" t="n">
        <v>0</v>
      </c>
      <c r="M402" t="n">
        <v>0</v>
      </c>
      <c r="N402" t="n">
        <v>0</v>
      </c>
      <c r="O402" t="n">
        <v>0</v>
      </c>
      <c r="P402" t="n">
        <v>0</v>
      </c>
      <c r="Q402" t="n">
        <v>0</v>
      </c>
      <c r="R402" t="n">
        <v>0</v>
      </c>
      <c r="S402" t="n">
        <v>0</v>
      </c>
      <c r="T402" t="n">
        <v>0</v>
      </c>
      <c r="U402" s="2" t="inlineStr"/>
    </row>
    <row r="403" ht="15" customHeight="1">
      <c r="A403" t="inlineStr">
        <is>
          <t>A 19470-2024</t>
        </is>
      </c>
      <c r="B403" t="inlineStr">
        <is>
          <t>avverkningsanmälan</t>
        </is>
      </c>
      <c r="C403" t="inlineStr">
        <is>
          <t>Föryngringsavverkning</t>
        </is>
      </c>
      <c r="D403" s="1" t="n">
        <v>45429</v>
      </c>
      <c r="E403" s="1" t="n">
        <v>46223</v>
      </c>
      <c r="F403" t="inlineStr">
        <is>
          <t>DALARNAS LÄN</t>
        </is>
      </c>
      <c r="G403" t="inlineStr">
        <is>
          <t>SMEDJEBACKEN</t>
        </is>
      </c>
      <c r="H403" t="inlineStr">
        <is>
          <t>Sveaskog</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18590-2026</t>
        </is>
      </c>
      <c r="B404" t="inlineStr">
        <is>
          <t>avverkningsanmälan</t>
        </is>
      </c>
      <c r="C404" t="inlineStr">
        <is>
          <t>Föryngringsavverkning</t>
        </is>
      </c>
      <c r="D404" s="1" t="n">
        <v>46127</v>
      </c>
      <c r="E404" s="1" t="n">
        <v>46223</v>
      </c>
      <c r="F404" t="inlineStr">
        <is>
          <t>DALARNAS LÄN</t>
        </is>
      </c>
      <c r="G404" t="inlineStr">
        <is>
          <t>SMEDJEBACKEN</t>
        </is>
      </c>
      <c r="H404" t="inlineStr">
        <is>
          <t>Sveaskog</t>
        </is>
      </c>
      <c r="I404" t="n">
        <v>4.3</v>
      </c>
      <c r="J404" t="n">
        <v>0</v>
      </c>
      <c r="K404" t="n">
        <v>0</v>
      </c>
      <c r="L404" t="n">
        <v>0</v>
      </c>
      <c r="M404" t="n">
        <v>0</v>
      </c>
      <c r="N404" t="n">
        <v>0</v>
      </c>
      <c r="O404" t="n">
        <v>0</v>
      </c>
      <c r="P404" t="n">
        <v>0</v>
      </c>
      <c r="Q404" t="n">
        <v>0</v>
      </c>
      <c r="R404" t="n">
        <v>0</v>
      </c>
      <c r="S404" t="n">
        <v>0</v>
      </c>
      <c r="T404" t="n">
        <v>0</v>
      </c>
      <c r="U404" s="2" t="inlineStr"/>
    </row>
    <row r="405" ht="15" customHeight="1">
      <c r="A405" t="inlineStr">
        <is>
          <t>A 18591-2026</t>
        </is>
      </c>
      <c r="B405" t="inlineStr">
        <is>
          <t>avverkningsanmälan</t>
        </is>
      </c>
      <c r="C405" t="inlineStr">
        <is>
          <t>Föryngringsavverkning</t>
        </is>
      </c>
      <c r="D405" s="1" t="n">
        <v>46127</v>
      </c>
      <c r="E405" s="1" t="n">
        <v>46223</v>
      </c>
      <c r="F405" t="inlineStr">
        <is>
          <t>DALARNAS LÄN</t>
        </is>
      </c>
      <c r="G405" t="inlineStr">
        <is>
          <t>SMEDJEBACKEN</t>
        </is>
      </c>
      <c r="H405" t="inlineStr">
        <is>
          <t>Sveaskog</t>
        </is>
      </c>
      <c r="I405" t="n">
        <v>2.1</v>
      </c>
      <c r="J405" t="n">
        <v>0</v>
      </c>
      <c r="K405" t="n">
        <v>0</v>
      </c>
      <c r="L405" t="n">
        <v>0</v>
      </c>
      <c r="M405" t="n">
        <v>0</v>
      </c>
      <c r="N405" t="n">
        <v>0</v>
      </c>
      <c r="O405" t="n">
        <v>0</v>
      </c>
      <c r="P405" t="n">
        <v>0</v>
      </c>
      <c r="Q405" t="n">
        <v>0</v>
      </c>
      <c r="R405" t="n">
        <v>0</v>
      </c>
      <c r="S405" t="n">
        <v>0</v>
      </c>
      <c r="T405" t="n">
        <v>0</v>
      </c>
      <c r="U405" s="2" t="inlineStr"/>
    </row>
    <row r="406" ht="15" customHeight="1">
      <c r="A406" t="inlineStr">
        <is>
          <t>A 18265-2026</t>
        </is>
      </c>
      <c r="B406" t="inlineStr">
        <is>
          <t>avverkningsanmälan</t>
        </is>
      </c>
      <c r="C406" t="inlineStr">
        <is>
          <t>Föryngringsavverkning</t>
        </is>
      </c>
      <c r="D406" s="1" t="n">
        <v>46126</v>
      </c>
      <c r="E406" s="1" t="n">
        <v>46223</v>
      </c>
      <c r="F406" t="inlineStr">
        <is>
          <t>DALARNAS LÄN</t>
        </is>
      </c>
      <c r="G406" t="inlineStr">
        <is>
          <t>SMEDJEBACKEN</t>
        </is>
      </c>
      <c r="I406" t="n">
        <v>2.5</v>
      </c>
      <c r="J406" t="n">
        <v>0</v>
      </c>
      <c r="K406" t="n">
        <v>0</v>
      </c>
      <c r="L406" t="n">
        <v>0</v>
      </c>
      <c r="M406" t="n">
        <v>0</v>
      </c>
      <c r="N406" t="n">
        <v>0</v>
      </c>
      <c r="O406" t="n">
        <v>0</v>
      </c>
      <c r="P406" t="n">
        <v>0</v>
      </c>
      <c r="Q406" t="n">
        <v>0</v>
      </c>
      <c r="R406" t="n">
        <v>0</v>
      </c>
      <c r="S406" t="n">
        <v>0</v>
      </c>
      <c r="T406" t="n">
        <v>0</v>
      </c>
      <c r="U406" s="2" t="inlineStr"/>
    </row>
    <row r="407" ht="15" customHeight="1">
      <c r="A407" t="inlineStr">
        <is>
          <t>A 10401-2023</t>
        </is>
      </c>
      <c r="B407" t="inlineStr">
        <is>
          <t>avverkningsanmälan</t>
        </is>
      </c>
      <c r="C407" t="inlineStr">
        <is>
          <t>Föryngringsavverkning</t>
        </is>
      </c>
      <c r="D407" s="1" t="n">
        <v>44987</v>
      </c>
      <c r="E407" s="1" t="n">
        <v>46223</v>
      </c>
      <c r="F407" t="inlineStr">
        <is>
          <t>DALARNAS LÄN</t>
        </is>
      </c>
      <c r="G407" t="inlineStr">
        <is>
          <t>SMEDJEBACKEN</t>
        </is>
      </c>
      <c r="H407" t="inlineStr">
        <is>
          <t>Kommuner</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19469-2026</t>
        </is>
      </c>
      <c r="B408" t="inlineStr">
        <is>
          <t>avverkningsanmälan</t>
        </is>
      </c>
      <c r="C408" t="inlineStr">
        <is>
          <t>Föryngringsavverkning</t>
        </is>
      </c>
      <c r="D408" s="1" t="n">
        <v>46130</v>
      </c>
      <c r="E408" s="1" t="n">
        <v>46223</v>
      </c>
      <c r="F408" t="inlineStr">
        <is>
          <t>DALARNAS LÄN</t>
        </is>
      </c>
      <c r="G408" t="inlineStr">
        <is>
          <t>SMEDJEBACKEN</t>
        </is>
      </c>
      <c r="H408" t="inlineStr">
        <is>
          <t>Bergvik skog väst AB</t>
        </is>
      </c>
      <c r="I408" t="n">
        <v>3.6</v>
      </c>
      <c r="J408" t="n">
        <v>0</v>
      </c>
      <c r="K408" t="n">
        <v>0</v>
      </c>
      <c r="L408" t="n">
        <v>0</v>
      </c>
      <c r="M408" t="n">
        <v>0</v>
      </c>
      <c r="N408" t="n">
        <v>0</v>
      </c>
      <c r="O408" t="n">
        <v>0</v>
      </c>
      <c r="P408" t="n">
        <v>0</v>
      </c>
      <c r="Q408" t="n">
        <v>0</v>
      </c>
      <c r="R408" t="n">
        <v>0</v>
      </c>
      <c r="S408" t="n">
        <v>0</v>
      </c>
      <c r="T408" t="n">
        <v>0</v>
      </c>
      <c r="U408" s="2" t="inlineStr"/>
    </row>
    <row r="409" ht="15" customHeight="1">
      <c r="A409" t="inlineStr">
        <is>
          <t>A 18877-2026</t>
        </is>
      </c>
      <c r="B409" t="inlineStr">
        <is>
          <t>avverkningsanmälan</t>
        </is>
      </c>
      <c r="C409" t="inlineStr">
        <is>
          <t>Föryngringsavverkning</t>
        </is>
      </c>
      <c r="D409" s="1" t="n">
        <v>46129</v>
      </c>
      <c r="E409" s="1" t="n">
        <v>46223</v>
      </c>
      <c r="F409" t="inlineStr">
        <is>
          <t>DALARNAS LÄN</t>
        </is>
      </c>
      <c r="G409" t="inlineStr">
        <is>
          <t>SMEDJEBACKEN</t>
        </is>
      </c>
      <c r="H409" t="inlineStr">
        <is>
          <t>Sveaskog</t>
        </is>
      </c>
      <c r="I409" t="n">
        <v>3.2</v>
      </c>
      <c r="J409" t="n">
        <v>0</v>
      </c>
      <c r="K409" t="n">
        <v>0</v>
      </c>
      <c r="L409" t="n">
        <v>0</v>
      </c>
      <c r="M409" t="n">
        <v>0</v>
      </c>
      <c r="N409" t="n">
        <v>0</v>
      </c>
      <c r="O409" t="n">
        <v>0</v>
      </c>
      <c r="P409" t="n">
        <v>0</v>
      </c>
      <c r="Q409" t="n">
        <v>0</v>
      </c>
      <c r="R409" t="n">
        <v>0</v>
      </c>
      <c r="S409" t="n">
        <v>0</v>
      </c>
      <c r="T409" t="n">
        <v>0</v>
      </c>
      <c r="U409" s="2" t="inlineStr"/>
    </row>
    <row r="410" ht="15" customHeight="1">
      <c r="A410" t="inlineStr">
        <is>
          <t>A 48634-2024</t>
        </is>
      </c>
      <c r="B410" t="inlineStr">
        <is>
          <t>avverkningsanmälan</t>
        </is>
      </c>
      <c r="C410" t="inlineStr">
        <is>
          <t>Föryngringsavverkning</t>
        </is>
      </c>
      <c r="D410" s="1" t="n">
        <v>45593</v>
      </c>
      <c r="E410" s="1" t="n">
        <v>46223</v>
      </c>
      <c r="F410" t="inlineStr">
        <is>
          <t>DALARNAS LÄN</t>
        </is>
      </c>
      <c r="G410" t="inlineStr">
        <is>
          <t>SMEDJEBACKEN</t>
        </is>
      </c>
      <c r="H410" t="inlineStr">
        <is>
          <t>Bergvik skog väst AB</t>
        </is>
      </c>
      <c r="I410" t="n">
        <v>8.699999999999999</v>
      </c>
      <c r="J410" t="n">
        <v>0</v>
      </c>
      <c r="K410" t="n">
        <v>0</v>
      </c>
      <c r="L410" t="n">
        <v>0</v>
      </c>
      <c r="M410" t="n">
        <v>0</v>
      </c>
      <c r="N410" t="n">
        <v>0</v>
      </c>
      <c r="O410" t="n">
        <v>0</v>
      </c>
      <c r="P410" t="n">
        <v>0</v>
      </c>
      <c r="Q410" t="n">
        <v>0</v>
      </c>
      <c r="R410" t="n">
        <v>0</v>
      </c>
      <c r="S410" t="n">
        <v>0</v>
      </c>
      <c r="T410" t="n">
        <v>0</v>
      </c>
      <c r="U410" s="2" t="inlineStr"/>
    </row>
    <row r="411" ht="15" customHeight="1">
      <c r="A411" t="inlineStr">
        <is>
          <t>A 19498-2026</t>
        </is>
      </c>
      <c r="B411" t="inlineStr">
        <is>
          <t>avverkningsanmälan</t>
        </is>
      </c>
      <c r="C411" t="inlineStr">
        <is>
          <t>Föryngringsavverkning</t>
        </is>
      </c>
      <c r="D411" s="1" t="n">
        <v>46134</v>
      </c>
      <c r="E411" s="1" t="n">
        <v>46223</v>
      </c>
      <c r="F411" t="inlineStr">
        <is>
          <t>DALARNAS LÄN</t>
        </is>
      </c>
      <c r="G411" t="inlineStr">
        <is>
          <t>SMEDJEBACKEN</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38767-2023</t>
        </is>
      </c>
      <c r="B412" t="inlineStr">
        <is>
          <t>avverkningsanmälan</t>
        </is>
      </c>
      <c r="C412" t="inlineStr">
        <is>
          <t>Föryngringsavverkning</t>
        </is>
      </c>
      <c r="D412" s="1" t="n">
        <v>45163</v>
      </c>
      <c r="E412" s="1" t="n">
        <v>46223</v>
      </c>
      <c r="F412" t="inlineStr">
        <is>
          <t>DALARNAS LÄN</t>
        </is>
      </c>
      <c r="G412" t="inlineStr">
        <is>
          <t>SMEDJEBACKEN</t>
        </is>
      </c>
      <c r="H412" t="inlineStr">
        <is>
          <t>Sveaskog</t>
        </is>
      </c>
      <c r="I412" t="n">
        <v>6.5</v>
      </c>
      <c r="J412" t="n">
        <v>0</v>
      </c>
      <c r="K412" t="n">
        <v>0</v>
      </c>
      <c r="L412" t="n">
        <v>0</v>
      </c>
      <c r="M412" t="n">
        <v>0</v>
      </c>
      <c r="N412" t="n">
        <v>0</v>
      </c>
      <c r="O412" t="n">
        <v>0</v>
      </c>
      <c r="P412" t="n">
        <v>0</v>
      </c>
      <c r="Q412" t="n">
        <v>0</v>
      </c>
      <c r="R412" t="n">
        <v>0</v>
      </c>
      <c r="S412" t="n">
        <v>0</v>
      </c>
      <c r="T412" t="n">
        <v>0</v>
      </c>
      <c r="U412" s="2" t="inlineStr"/>
    </row>
    <row r="413" ht="15" customHeight="1">
      <c r="A413" t="inlineStr">
        <is>
          <t>A 12125-2024</t>
        </is>
      </c>
      <c r="B413" t="inlineStr">
        <is>
          <t>avverkningsanmälan</t>
        </is>
      </c>
      <c r="C413" t="inlineStr">
        <is>
          <t>Avverkning för annat ändamål</t>
        </is>
      </c>
      <c r="D413" s="1" t="n">
        <v>45377</v>
      </c>
      <c r="E413" s="1" t="n">
        <v>46223</v>
      </c>
      <c r="F413" t="inlineStr">
        <is>
          <t>DALARNAS LÄN</t>
        </is>
      </c>
      <c r="G413" t="inlineStr">
        <is>
          <t>SMEDJEBACKEN</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18538-2026</t>
        </is>
      </c>
      <c r="B414" t="inlineStr">
        <is>
          <t>avverkningsanmälan</t>
        </is>
      </c>
      <c r="C414" t="inlineStr">
        <is>
          <t>Föryngringsavverkning</t>
        </is>
      </c>
      <c r="D414" s="1" t="n">
        <v>46127</v>
      </c>
      <c r="E414" s="1" t="n">
        <v>46223</v>
      </c>
      <c r="F414" t="inlineStr">
        <is>
          <t>DALARNAS LÄN</t>
        </is>
      </c>
      <c r="G414" t="inlineStr">
        <is>
          <t>SMEDJEBACKEN</t>
        </is>
      </c>
      <c r="I414" t="n">
        <v>13.4</v>
      </c>
      <c r="J414" t="n">
        <v>0</v>
      </c>
      <c r="K414" t="n">
        <v>0</v>
      </c>
      <c r="L414" t="n">
        <v>0</v>
      </c>
      <c r="M414" t="n">
        <v>0</v>
      </c>
      <c r="N414" t="n">
        <v>0</v>
      </c>
      <c r="O414" t="n">
        <v>0</v>
      </c>
      <c r="P414" t="n">
        <v>0</v>
      </c>
      <c r="Q414" t="n">
        <v>0</v>
      </c>
      <c r="R414" t="n">
        <v>0</v>
      </c>
      <c r="S414" t="n">
        <v>0</v>
      </c>
      <c r="T414" t="n">
        <v>0</v>
      </c>
      <c r="U414" s="2" t="inlineStr"/>
    </row>
    <row r="415" ht="15" customHeight="1">
      <c r="A415" t="inlineStr">
        <is>
          <t>A 19955-2026</t>
        </is>
      </c>
      <c r="B415" t="inlineStr">
        <is>
          <t>avverkningsanmälan</t>
        </is>
      </c>
      <c r="C415" t="inlineStr">
        <is>
          <t>Föryngringsavverkning</t>
        </is>
      </c>
      <c r="D415" s="1" t="n">
        <v>46136</v>
      </c>
      <c r="E415" s="1" t="n">
        <v>46223</v>
      </c>
      <c r="F415" t="inlineStr">
        <is>
          <t>DALARNAS LÄN</t>
        </is>
      </c>
      <c r="G415" t="inlineStr">
        <is>
          <t>SMEDJEBACKEN</t>
        </is>
      </c>
      <c r="I415" t="n">
        <v>1.9</v>
      </c>
      <c r="J415" t="n">
        <v>0</v>
      </c>
      <c r="K415" t="n">
        <v>0</v>
      </c>
      <c r="L415" t="n">
        <v>0</v>
      </c>
      <c r="M415" t="n">
        <v>0</v>
      </c>
      <c r="N415" t="n">
        <v>0</v>
      </c>
      <c r="O415" t="n">
        <v>0</v>
      </c>
      <c r="P415" t="n">
        <v>0</v>
      </c>
      <c r="Q415" t="n">
        <v>0</v>
      </c>
      <c r="R415" t="n">
        <v>0</v>
      </c>
      <c r="S415" t="n">
        <v>0</v>
      </c>
      <c r="T415" t="n">
        <v>0</v>
      </c>
      <c r="U415" s="2" t="inlineStr"/>
    </row>
    <row r="416" ht="15" customHeight="1">
      <c r="A416" t="inlineStr">
        <is>
          <t>A 29438-2023</t>
        </is>
      </c>
      <c r="B416" t="inlineStr">
        <is>
          <t>avverkningsanmälan</t>
        </is>
      </c>
      <c r="C416" t="inlineStr">
        <is>
          <t>Avverkning för att bevara och utveckla /försöksver</t>
        </is>
      </c>
      <c r="D416" s="1" t="n">
        <v>45106</v>
      </c>
      <c r="E416" s="1" t="n">
        <v>46223</v>
      </c>
      <c r="F416" t="inlineStr">
        <is>
          <t>DALARNAS LÄN</t>
        </is>
      </c>
      <c r="G416" t="inlineStr">
        <is>
          <t>SMEDJEBACKEN</t>
        </is>
      </c>
      <c r="H416" t="inlineStr">
        <is>
          <t>Sveaskog</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56510-2024</t>
        </is>
      </c>
      <c r="B417" t="inlineStr">
        <is>
          <t>avverkningsanmälan</t>
        </is>
      </c>
      <c r="C417" t="inlineStr">
        <is>
          <t>Avverkning för att bevara och utveckla /försöksver</t>
        </is>
      </c>
      <c r="D417" s="1" t="n">
        <v>45625</v>
      </c>
      <c r="E417" s="1" t="n">
        <v>46223</v>
      </c>
      <c r="F417" t="inlineStr">
        <is>
          <t>DALARNAS LÄN</t>
        </is>
      </c>
      <c r="G417" t="inlineStr">
        <is>
          <t>SMEDJEBACKEN</t>
        </is>
      </c>
      <c r="H417" t="inlineStr">
        <is>
          <t>Sveaskog</t>
        </is>
      </c>
      <c r="I417" t="n">
        <v>2.4</v>
      </c>
      <c r="J417" t="n">
        <v>0</v>
      </c>
      <c r="K417" t="n">
        <v>0</v>
      </c>
      <c r="L417" t="n">
        <v>0</v>
      </c>
      <c r="M417" t="n">
        <v>0</v>
      </c>
      <c r="N417" t="n">
        <v>0</v>
      </c>
      <c r="O417" t="n">
        <v>0</v>
      </c>
      <c r="P417" t="n">
        <v>0</v>
      </c>
      <c r="Q417" t="n">
        <v>0</v>
      </c>
      <c r="R417" t="n">
        <v>0</v>
      </c>
      <c r="S417" t="n">
        <v>0</v>
      </c>
      <c r="T417" t="n">
        <v>0</v>
      </c>
      <c r="U417" s="2" t="inlineStr"/>
    </row>
    <row r="418" ht="15" customHeight="1">
      <c r="A418" t="inlineStr">
        <is>
          <t>A 45114-2023</t>
        </is>
      </c>
      <c r="B418" t="inlineStr">
        <is>
          <t>avverkningsanmälan</t>
        </is>
      </c>
      <c r="C418" t="inlineStr">
        <is>
          <t>Föryngringsavverkning</t>
        </is>
      </c>
      <c r="D418" s="1" t="n">
        <v>45191</v>
      </c>
      <c r="E418" s="1" t="n">
        <v>46223</v>
      </c>
      <c r="F418" t="inlineStr">
        <is>
          <t>DALARNAS LÄN</t>
        </is>
      </c>
      <c r="G418" t="inlineStr">
        <is>
          <t>SMEDJEBACKEN</t>
        </is>
      </c>
      <c r="H418" t="inlineStr">
        <is>
          <t>Sveaskog</t>
        </is>
      </c>
      <c r="I418" t="n">
        <v>3.4</v>
      </c>
      <c r="J418" t="n">
        <v>0</v>
      </c>
      <c r="K418" t="n">
        <v>0</v>
      </c>
      <c r="L418" t="n">
        <v>0</v>
      </c>
      <c r="M418" t="n">
        <v>0</v>
      </c>
      <c r="N418" t="n">
        <v>0</v>
      </c>
      <c r="O418" t="n">
        <v>0</v>
      </c>
      <c r="P418" t="n">
        <v>0</v>
      </c>
      <c r="Q418" t="n">
        <v>0</v>
      </c>
      <c r="R418" t="n">
        <v>0</v>
      </c>
      <c r="S418" t="n">
        <v>0</v>
      </c>
      <c r="T418" t="n">
        <v>0</v>
      </c>
      <c r="U418" s="2" t="inlineStr"/>
    </row>
    <row r="419" ht="15" customHeight="1">
      <c r="A419" t="inlineStr">
        <is>
          <t>A 31034-2024</t>
        </is>
      </c>
      <c r="B419" t="inlineStr">
        <is>
          <t>avverkningsanmälan</t>
        </is>
      </c>
      <c r="C419" t="inlineStr">
        <is>
          <t>Föryngringsavverkning</t>
        </is>
      </c>
      <c r="D419" s="1" t="n">
        <v>45501</v>
      </c>
      <c r="E419" s="1" t="n">
        <v>46223</v>
      </c>
      <c r="F419" t="inlineStr">
        <is>
          <t>DALARNAS LÄN</t>
        </is>
      </c>
      <c r="G419" t="inlineStr">
        <is>
          <t>SMEDJEBACKEN</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28613-2022</t>
        </is>
      </c>
      <c r="B420" t="inlineStr">
        <is>
          <t>avverkningsanmälan</t>
        </is>
      </c>
      <c r="C420" t="inlineStr">
        <is>
          <t>Föryngringsavverkning</t>
        </is>
      </c>
      <c r="D420" s="1" t="n">
        <v>44748</v>
      </c>
      <c r="E420" s="1" t="n">
        <v>46223</v>
      </c>
      <c r="F420" t="inlineStr">
        <is>
          <t>DALARNAS LÄN</t>
        </is>
      </c>
      <c r="G420" t="inlineStr">
        <is>
          <t>SMEDJEBACKEN</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48057-2024</t>
        </is>
      </c>
      <c r="B421" t="inlineStr">
        <is>
          <t>avverkningsanmälan</t>
        </is>
      </c>
      <c r="C421" t="inlineStr">
        <is>
          <t>Föryngringsavverkning</t>
        </is>
      </c>
      <c r="D421" s="1" t="n">
        <v>45589</v>
      </c>
      <c r="E421" s="1" t="n">
        <v>46223</v>
      </c>
      <c r="F421" t="inlineStr">
        <is>
          <t>DALARNAS LÄN</t>
        </is>
      </c>
      <c r="G421" t="inlineStr">
        <is>
          <t>SMEDJEBACKEN</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1505-2025</t>
        </is>
      </c>
      <c r="B422" t="inlineStr">
        <is>
          <t>avverkningsanmälan</t>
        </is>
      </c>
      <c r="C422" t="inlineStr">
        <is>
          <t>Föryngringsavverkning</t>
        </is>
      </c>
      <c r="D422" s="1" t="n">
        <v>45670</v>
      </c>
      <c r="E422" s="1" t="n">
        <v>46223</v>
      </c>
      <c r="F422" t="inlineStr">
        <is>
          <t>DALARNAS LÄN</t>
        </is>
      </c>
      <c r="G422" t="inlineStr">
        <is>
          <t>SMEDJEBACKEN</t>
        </is>
      </c>
      <c r="H422" t="inlineStr">
        <is>
          <t>Sveaskog</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17418-2025</t>
        </is>
      </c>
      <c r="B423" t="inlineStr">
        <is>
          <t>avverkningsanmälan</t>
        </is>
      </c>
      <c r="C423" t="inlineStr">
        <is>
          <t>Föryngringsavverkning</t>
        </is>
      </c>
      <c r="D423" s="1" t="n">
        <v>45757</v>
      </c>
      <c r="E423" s="1" t="n">
        <v>46223</v>
      </c>
      <c r="F423" t="inlineStr">
        <is>
          <t>DALARNAS LÄN</t>
        </is>
      </c>
      <c r="G423" t="inlineStr">
        <is>
          <t>SMEDJEBACKEN</t>
        </is>
      </c>
      <c r="H423" t="inlineStr">
        <is>
          <t>Sveaskog</t>
        </is>
      </c>
      <c r="I423" t="n">
        <v>3.4</v>
      </c>
      <c r="J423" t="n">
        <v>0</v>
      </c>
      <c r="K423" t="n">
        <v>0</v>
      </c>
      <c r="L423" t="n">
        <v>0</v>
      </c>
      <c r="M423" t="n">
        <v>0</v>
      </c>
      <c r="N423" t="n">
        <v>0</v>
      </c>
      <c r="O423" t="n">
        <v>0</v>
      </c>
      <c r="P423" t="n">
        <v>0</v>
      </c>
      <c r="Q423" t="n">
        <v>0</v>
      </c>
      <c r="R423" t="n">
        <v>0</v>
      </c>
      <c r="S423" t="n">
        <v>0</v>
      </c>
      <c r="T423" t="n">
        <v>0</v>
      </c>
      <c r="U423" s="2" t="inlineStr"/>
    </row>
    <row r="424" ht="15" customHeight="1">
      <c r="A424" t="inlineStr">
        <is>
          <t>A 18908-2024</t>
        </is>
      </c>
      <c r="B424" t="inlineStr">
        <is>
          <t>avverkningsanmälan</t>
        </is>
      </c>
      <c r="C424" t="inlineStr">
        <is>
          <t>Föryngringsavverkning</t>
        </is>
      </c>
      <c r="D424" s="1" t="n">
        <v>45427</v>
      </c>
      <c r="E424" s="1" t="n">
        <v>46223</v>
      </c>
      <c r="F424" t="inlineStr">
        <is>
          <t>DALARNAS LÄN</t>
        </is>
      </c>
      <c r="G424" t="inlineStr">
        <is>
          <t>SMEDJEBACKEN</t>
        </is>
      </c>
      <c r="H424" t="inlineStr">
        <is>
          <t>Sveaskog</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19258-2024</t>
        </is>
      </c>
      <c r="B425" t="inlineStr">
        <is>
          <t>avverkningsanmälan</t>
        </is>
      </c>
      <c r="C425" t="inlineStr">
        <is>
          <t>Föryngringsavverkning</t>
        </is>
      </c>
      <c r="D425" s="1" t="n">
        <v>45428</v>
      </c>
      <c r="E425" s="1" t="n">
        <v>46223</v>
      </c>
      <c r="F425" t="inlineStr">
        <is>
          <t>DALARNAS LÄN</t>
        </is>
      </c>
      <c r="G425" t="inlineStr">
        <is>
          <t>SMEDJEBACKEN</t>
        </is>
      </c>
      <c r="I425" t="n">
        <v>3</v>
      </c>
      <c r="J425" t="n">
        <v>0</v>
      </c>
      <c r="K425" t="n">
        <v>0</v>
      </c>
      <c r="L425" t="n">
        <v>0</v>
      </c>
      <c r="M425" t="n">
        <v>0</v>
      </c>
      <c r="N425" t="n">
        <v>0</v>
      </c>
      <c r="O425" t="n">
        <v>0</v>
      </c>
      <c r="P425" t="n">
        <v>0</v>
      </c>
      <c r="Q425" t="n">
        <v>0</v>
      </c>
      <c r="R425" t="n">
        <v>0</v>
      </c>
      <c r="S425" t="n">
        <v>0</v>
      </c>
      <c r="T425" t="n">
        <v>0</v>
      </c>
      <c r="U425" s="2" t="inlineStr"/>
    </row>
    <row r="426" ht="15" customHeight="1">
      <c r="A426" t="inlineStr">
        <is>
          <t>A 20610-2026</t>
        </is>
      </c>
      <c r="B426" t="inlineStr">
        <is>
          <t>avverkningsanmälan</t>
        </is>
      </c>
      <c r="C426" t="inlineStr">
        <is>
          <t>Föryngringsavverkning</t>
        </is>
      </c>
      <c r="D426" s="1" t="n">
        <v>46140</v>
      </c>
      <c r="E426" s="1" t="n">
        <v>46223</v>
      </c>
      <c r="F426" t="inlineStr">
        <is>
          <t>DALARNAS LÄN</t>
        </is>
      </c>
      <c r="G426" t="inlineStr">
        <is>
          <t>SMEDJEBACKEN</t>
        </is>
      </c>
      <c r="I426" t="n">
        <v>5</v>
      </c>
      <c r="J426" t="n">
        <v>0</v>
      </c>
      <c r="K426" t="n">
        <v>0</v>
      </c>
      <c r="L426" t="n">
        <v>0</v>
      </c>
      <c r="M426" t="n">
        <v>0</v>
      </c>
      <c r="N426" t="n">
        <v>0</v>
      </c>
      <c r="O426" t="n">
        <v>0</v>
      </c>
      <c r="P426" t="n">
        <v>0</v>
      </c>
      <c r="Q426" t="n">
        <v>0</v>
      </c>
      <c r="R426" t="n">
        <v>0</v>
      </c>
      <c r="S426" t="n">
        <v>0</v>
      </c>
      <c r="T426" t="n">
        <v>0</v>
      </c>
      <c r="U426" s="2" t="inlineStr"/>
    </row>
    <row r="427" ht="15" customHeight="1">
      <c r="A427" t="inlineStr">
        <is>
          <t>A 18419-2022</t>
        </is>
      </c>
      <c r="B427" t="inlineStr">
        <is>
          <t>avverkningsanmälan</t>
        </is>
      </c>
      <c r="C427" t="inlineStr">
        <is>
          <t>Föryngringsavverkning</t>
        </is>
      </c>
      <c r="D427" s="1" t="n">
        <v>44686</v>
      </c>
      <c r="E427" s="1" t="n">
        <v>46223</v>
      </c>
      <c r="F427" t="inlineStr">
        <is>
          <t>DALARNAS LÄN</t>
        </is>
      </c>
      <c r="G427" t="inlineStr">
        <is>
          <t>SMEDJEBACKEN</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45683-2024</t>
        </is>
      </c>
      <c r="B428" t="inlineStr">
        <is>
          <t>avverkningsanmälan</t>
        </is>
      </c>
      <c r="C428" t="inlineStr">
        <is>
          <t>Föryngringsavverkning</t>
        </is>
      </c>
      <c r="D428" s="1" t="n">
        <v>45579</v>
      </c>
      <c r="E428" s="1" t="n">
        <v>46223</v>
      </c>
      <c r="F428" t="inlineStr">
        <is>
          <t>DALARNAS LÄN</t>
        </is>
      </c>
      <c r="G428" t="inlineStr">
        <is>
          <t>SMEDJEBACKEN</t>
        </is>
      </c>
      <c r="H428" t="inlineStr">
        <is>
          <t>Bergvik skog väst AB</t>
        </is>
      </c>
      <c r="I428" t="n">
        <v>7.5</v>
      </c>
      <c r="J428" t="n">
        <v>0</v>
      </c>
      <c r="K428" t="n">
        <v>0</v>
      </c>
      <c r="L428" t="n">
        <v>0</v>
      </c>
      <c r="M428" t="n">
        <v>0</v>
      </c>
      <c r="N428" t="n">
        <v>0</v>
      </c>
      <c r="O428" t="n">
        <v>0</v>
      </c>
      <c r="P428" t="n">
        <v>0</v>
      </c>
      <c r="Q428" t="n">
        <v>0</v>
      </c>
      <c r="R428" t="n">
        <v>0</v>
      </c>
      <c r="S428" t="n">
        <v>0</v>
      </c>
      <c r="T428" t="n">
        <v>0</v>
      </c>
      <c r="U428" s="2" t="inlineStr"/>
    </row>
    <row r="429" ht="15" customHeight="1">
      <c r="A429" t="inlineStr">
        <is>
          <t>A 26480-2023</t>
        </is>
      </c>
      <c r="B429" t="inlineStr">
        <is>
          <t>avverkningsanmälan</t>
        </is>
      </c>
      <c r="C429" t="inlineStr">
        <is>
          <t>Avverkning för annat ändamål</t>
        </is>
      </c>
      <c r="D429" s="1" t="n">
        <v>45092</v>
      </c>
      <c r="E429" s="1" t="n">
        <v>46223</v>
      </c>
      <c r="F429" t="inlineStr">
        <is>
          <t>DALARNAS LÄN</t>
        </is>
      </c>
      <c r="G429" t="inlineStr">
        <is>
          <t>SMEDJEBACKEN</t>
        </is>
      </c>
      <c r="H429" t="inlineStr">
        <is>
          <t>Sveaskog</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28283-2025</t>
        </is>
      </c>
      <c r="B430" t="inlineStr">
        <is>
          <t>avverkningsanmälan</t>
        </is>
      </c>
      <c r="C430" t="inlineStr">
        <is>
          <t>Föryngringsavverkning</t>
        </is>
      </c>
      <c r="D430" s="1" t="n">
        <v>45818</v>
      </c>
      <c r="E430" s="1" t="n">
        <v>46223</v>
      </c>
      <c r="F430" t="inlineStr">
        <is>
          <t>DALARNAS LÄN</t>
        </is>
      </c>
      <c r="G430" t="inlineStr">
        <is>
          <t>SMEDJEBACKEN</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16395-2025</t>
        </is>
      </c>
      <c r="B431" t="inlineStr">
        <is>
          <t>avverkningsanmälan</t>
        </is>
      </c>
      <c r="C431" t="inlineStr">
        <is>
          <t>Föryngringsavverkning</t>
        </is>
      </c>
      <c r="D431" s="1" t="n">
        <v>45751</v>
      </c>
      <c r="E431" s="1" t="n">
        <v>46223</v>
      </c>
      <c r="F431" t="inlineStr">
        <is>
          <t>DALARNAS LÄN</t>
        </is>
      </c>
      <c r="G431" t="inlineStr">
        <is>
          <t>SMEDJEBACKEN</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53273-2022</t>
        </is>
      </c>
      <c r="B432" t="inlineStr">
        <is>
          <t>avverkningsanmälan</t>
        </is>
      </c>
      <c r="C432" t="inlineStr">
        <is>
          <t>Föryngringsavverkning</t>
        </is>
      </c>
      <c r="D432" s="1" t="n">
        <v>44876</v>
      </c>
      <c r="E432" s="1" t="n">
        <v>46223</v>
      </c>
      <c r="F432" t="inlineStr">
        <is>
          <t>DALARNAS LÄN</t>
        </is>
      </c>
      <c r="G432" t="inlineStr">
        <is>
          <t>SMEDJEBACKEN</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26009-2022</t>
        </is>
      </c>
      <c r="B433" t="inlineStr">
        <is>
          <t>avverkningsanmälan</t>
        </is>
      </c>
      <c r="C433" t="inlineStr">
        <is>
          <t>Avverkning för att bevara och utveckla /försöksver</t>
        </is>
      </c>
      <c r="D433" s="1" t="n">
        <v>44734</v>
      </c>
      <c r="E433" s="1" t="n">
        <v>46223</v>
      </c>
      <c r="F433" t="inlineStr">
        <is>
          <t>DALARNAS LÄN</t>
        </is>
      </c>
      <c r="G433" t="inlineStr">
        <is>
          <t>SMEDJEBACKEN</t>
        </is>
      </c>
      <c r="H433" t="inlineStr">
        <is>
          <t>Sveaskog</t>
        </is>
      </c>
      <c r="I433" t="n">
        <v>2</v>
      </c>
      <c r="J433" t="n">
        <v>0</v>
      </c>
      <c r="K433" t="n">
        <v>0</v>
      </c>
      <c r="L433" t="n">
        <v>0</v>
      </c>
      <c r="M433" t="n">
        <v>0</v>
      </c>
      <c r="N433" t="n">
        <v>0</v>
      </c>
      <c r="O433" t="n">
        <v>0</v>
      </c>
      <c r="P433" t="n">
        <v>0</v>
      </c>
      <c r="Q433" t="n">
        <v>0</v>
      </c>
      <c r="R433" t="n">
        <v>0</v>
      </c>
      <c r="S433" t="n">
        <v>0</v>
      </c>
      <c r="T433" t="n">
        <v>0</v>
      </c>
      <c r="U433" s="2" t="inlineStr"/>
    </row>
    <row r="434" ht="15" customHeight="1">
      <c r="A434" t="inlineStr">
        <is>
          <t>A 19179-2024</t>
        </is>
      </c>
      <c r="B434" t="inlineStr">
        <is>
          <t>avverkningsanmälan</t>
        </is>
      </c>
      <c r="C434" t="inlineStr">
        <is>
          <t>Föryngringsavverkning</t>
        </is>
      </c>
      <c r="D434" s="1" t="n">
        <v>45428</v>
      </c>
      <c r="E434" s="1" t="n">
        <v>46223</v>
      </c>
      <c r="F434" t="inlineStr">
        <is>
          <t>DALARNAS LÄN</t>
        </is>
      </c>
      <c r="G434" t="inlineStr">
        <is>
          <t>SMEDJEBACKEN</t>
        </is>
      </c>
      <c r="I434" t="n">
        <v>3.3</v>
      </c>
      <c r="J434" t="n">
        <v>0</v>
      </c>
      <c r="K434" t="n">
        <v>0</v>
      </c>
      <c r="L434" t="n">
        <v>0</v>
      </c>
      <c r="M434" t="n">
        <v>0</v>
      </c>
      <c r="N434" t="n">
        <v>0</v>
      </c>
      <c r="O434" t="n">
        <v>0</v>
      </c>
      <c r="P434" t="n">
        <v>0</v>
      </c>
      <c r="Q434" t="n">
        <v>0</v>
      </c>
      <c r="R434" t="n">
        <v>0</v>
      </c>
      <c r="S434" t="n">
        <v>0</v>
      </c>
      <c r="T434" t="n">
        <v>0</v>
      </c>
      <c r="U434" s="2" t="inlineStr"/>
    </row>
    <row r="435" ht="15" customHeight="1">
      <c r="A435" t="inlineStr">
        <is>
          <t>A 6604-2025</t>
        </is>
      </c>
      <c r="B435" t="inlineStr">
        <is>
          <t>avverkningsanmälan</t>
        </is>
      </c>
      <c r="C435" t="inlineStr">
        <is>
          <t>Föryngringsavverkning</t>
        </is>
      </c>
      <c r="D435" s="1" t="n">
        <v>45700</v>
      </c>
      <c r="E435" s="1" t="n">
        <v>46223</v>
      </c>
      <c r="F435" t="inlineStr">
        <is>
          <t>DALARNAS LÄN</t>
        </is>
      </c>
      <c r="G435" t="inlineStr">
        <is>
          <t>SMEDJEBACKEN</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45478-2022</t>
        </is>
      </c>
      <c r="B436" t="inlineStr">
        <is>
          <t>avverkningsanmälan</t>
        </is>
      </c>
      <c r="C436" t="inlineStr">
        <is>
          <t>Föryngringsavverkning</t>
        </is>
      </c>
      <c r="D436" s="1" t="n">
        <v>44845</v>
      </c>
      <c r="E436" s="1" t="n">
        <v>46223</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s="2" t="inlineStr"/>
    </row>
    <row r="437" ht="15" customHeight="1">
      <c r="A437" t="inlineStr">
        <is>
          <t>A 17951-2022</t>
        </is>
      </c>
      <c r="B437" t="inlineStr">
        <is>
          <t>avverkningsanmälan</t>
        </is>
      </c>
      <c r="C437" t="inlineStr">
        <is>
          <t>Föryngringsavverkning</t>
        </is>
      </c>
      <c r="D437" s="1" t="n">
        <v>44683</v>
      </c>
      <c r="E437" s="1" t="n">
        <v>46223</v>
      </c>
      <c r="F437" t="inlineStr">
        <is>
          <t>DALARNAS LÄN</t>
        </is>
      </c>
      <c r="G437" t="inlineStr">
        <is>
          <t>SMEDJEBACKEN</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17956-2022</t>
        </is>
      </c>
      <c r="B438" t="inlineStr">
        <is>
          <t>avverkningsanmälan</t>
        </is>
      </c>
      <c r="C438" t="inlineStr">
        <is>
          <t>Föryngringsavverkning</t>
        </is>
      </c>
      <c r="D438" s="1" t="n">
        <v>44683</v>
      </c>
      <c r="E438" s="1" t="n">
        <v>46223</v>
      </c>
      <c r="F438" t="inlineStr">
        <is>
          <t>DALARNAS LÄN</t>
        </is>
      </c>
      <c r="G438" t="inlineStr">
        <is>
          <t>SMEDJEBACKEN</t>
        </is>
      </c>
      <c r="I438" t="n">
        <v>2.6</v>
      </c>
      <c r="J438" t="n">
        <v>0</v>
      </c>
      <c r="K438" t="n">
        <v>0</v>
      </c>
      <c r="L438" t="n">
        <v>0</v>
      </c>
      <c r="M438" t="n">
        <v>0</v>
      </c>
      <c r="N438" t="n">
        <v>0</v>
      </c>
      <c r="O438" t="n">
        <v>0</v>
      </c>
      <c r="P438" t="n">
        <v>0</v>
      </c>
      <c r="Q438" t="n">
        <v>0</v>
      </c>
      <c r="R438" t="n">
        <v>0</v>
      </c>
      <c r="S438" t="n">
        <v>0</v>
      </c>
      <c r="T438" t="n">
        <v>0</v>
      </c>
      <c r="U438" s="2" t="inlineStr"/>
    </row>
    <row r="439" ht="15" customHeight="1">
      <c r="A439" t="inlineStr">
        <is>
          <t>A 9790-2022</t>
        </is>
      </c>
      <c r="B439" t="inlineStr">
        <is>
          <t>avverkningsanmälan</t>
        </is>
      </c>
      <c r="C439" t="inlineStr">
        <is>
          <t>Avverkning för annat ändamål</t>
        </is>
      </c>
      <c r="D439" s="1" t="n">
        <v>44617</v>
      </c>
      <c r="E439" s="1" t="n">
        <v>46223</v>
      </c>
      <c r="F439" t="inlineStr">
        <is>
          <t>DALARNAS LÄN</t>
        </is>
      </c>
      <c r="G439" t="inlineStr">
        <is>
          <t>SMEDJEBACKEN</t>
        </is>
      </c>
      <c r="I439" t="n">
        <v>1.7</v>
      </c>
      <c r="J439" t="n">
        <v>0</v>
      </c>
      <c r="K439" t="n">
        <v>0</v>
      </c>
      <c r="L439" t="n">
        <v>0</v>
      </c>
      <c r="M439" t="n">
        <v>0</v>
      </c>
      <c r="N439" t="n">
        <v>0</v>
      </c>
      <c r="O439" t="n">
        <v>0</v>
      </c>
      <c r="P439" t="n">
        <v>0</v>
      </c>
      <c r="Q439" t="n">
        <v>0</v>
      </c>
      <c r="R439" t="n">
        <v>0</v>
      </c>
      <c r="S439" t="n">
        <v>0</v>
      </c>
      <c r="T439" t="n">
        <v>0</v>
      </c>
      <c r="U439" s="2" t="inlineStr"/>
    </row>
    <row r="440" ht="15" customHeight="1">
      <c r="A440" t="inlineStr">
        <is>
          <t>A 38746-2023</t>
        </is>
      </c>
      <c r="B440" t="inlineStr">
        <is>
          <t>avverkningsanmälan</t>
        </is>
      </c>
      <c r="C440" t="inlineStr">
        <is>
          <t>Föryngringsavverkning</t>
        </is>
      </c>
      <c r="D440" s="1" t="n">
        <v>45163</v>
      </c>
      <c r="E440" s="1" t="n">
        <v>46223</v>
      </c>
      <c r="F440" t="inlineStr">
        <is>
          <t>DALARNAS LÄN</t>
        </is>
      </c>
      <c r="G440" t="inlineStr">
        <is>
          <t>SMEDJEBACKEN</t>
        </is>
      </c>
      <c r="H440" t="inlineStr">
        <is>
          <t>Sveaskog</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58731-2025</t>
        </is>
      </c>
      <c r="B441" t="inlineStr">
        <is>
          <t>avverkningsanmälan</t>
        </is>
      </c>
      <c r="C441" t="inlineStr">
        <is>
          <t>Föryngringsavverkning</t>
        </is>
      </c>
      <c r="D441" s="1" t="n">
        <v>45986</v>
      </c>
      <c r="E441" s="1" t="n">
        <v>46223</v>
      </c>
      <c r="F441" t="inlineStr">
        <is>
          <t>DALARNAS LÄN</t>
        </is>
      </c>
      <c r="G441" t="inlineStr">
        <is>
          <t>SMEDJEBACKEN</t>
        </is>
      </c>
      <c r="I441" t="n">
        <v>2.1</v>
      </c>
      <c r="J441" t="n">
        <v>0</v>
      </c>
      <c r="K441" t="n">
        <v>0</v>
      </c>
      <c r="L441" t="n">
        <v>0</v>
      </c>
      <c r="M441" t="n">
        <v>0</v>
      </c>
      <c r="N441" t="n">
        <v>0</v>
      </c>
      <c r="O441" t="n">
        <v>0</v>
      </c>
      <c r="P441" t="n">
        <v>0</v>
      </c>
      <c r="Q441" t="n">
        <v>0</v>
      </c>
      <c r="R441" t="n">
        <v>0</v>
      </c>
      <c r="S441" t="n">
        <v>0</v>
      </c>
      <c r="T441" t="n">
        <v>0</v>
      </c>
      <c r="U441" s="2" t="inlineStr"/>
    </row>
    <row r="442" ht="15" customHeight="1">
      <c r="A442" t="inlineStr">
        <is>
          <t>A 46754-2023</t>
        </is>
      </c>
      <c r="B442" t="inlineStr">
        <is>
          <t>avverkningsanmälan</t>
        </is>
      </c>
      <c r="C442" t="inlineStr">
        <is>
          <t>Avverkning för annat ändamål</t>
        </is>
      </c>
      <c r="D442" s="1" t="n">
        <v>45198</v>
      </c>
      <c r="E442" s="1" t="n">
        <v>46223</v>
      </c>
      <c r="F442" t="inlineStr">
        <is>
          <t>DALARNAS LÄN</t>
        </is>
      </c>
      <c r="G442" t="inlineStr">
        <is>
          <t>SMEDJEBACKEN</t>
        </is>
      </c>
      <c r="H442" t="inlineStr">
        <is>
          <t>Sveaskog</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6177-2025</t>
        </is>
      </c>
      <c r="B443" t="inlineStr">
        <is>
          <t>avverkningsanmälan</t>
        </is>
      </c>
      <c r="C443" t="inlineStr">
        <is>
          <t>Föryngringsavverkning</t>
        </is>
      </c>
      <c r="D443" s="1" t="n">
        <v>45698</v>
      </c>
      <c r="E443" s="1" t="n">
        <v>46223</v>
      </c>
      <c r="F443" t="inlineStr">
        <is>
          <t>DALARNAS LÄN</t>
        </is>
      </c>
      <c r="G443" t="inlineStr">
        <is>
          <t>SMEDJEBACKEN</t>
        </is>
      </c>
      <c r="I443" t="n">
        <v>3.1</v>
      </c>
      <c r="J443" t="n">
        <v>0</v>
      </c>
      <c r="K443" t="n">
        <v>0</v>
      </c>
      <c r="L443" t="n">
        <v>0</v>
      </c>
      <c r="M443" t="n">
        <v>0</v>
      </c>
      <c r="N443" t="n">
        <v>0</v>
      </c>
      <c r="O443" t="n">
        <v>0</v>
      </c>
      <c r="P443" t="n">
        <v>0</v>
      </c>
      <c r="Q443" t="n">
        <v>0</v>
      </c>
      <c r="R443" t="n">
        <v>0</v>
      </c>
      <c r="S443" t="n">
        <v>0</v>
      </c>
      <c r="T443" t="n">
        <v>0</v>
      </c>
      <c r="U443" s="2" t="inlineStr"/>
    </row>
    <row r="444" ht="15" customHeight="1">
      <c r="A444" t="inlineStr">
        <is>
          <t>A 15322-2025</t>
        </is>
      </c>
      <c r="B444" t="inlineStr">
        <is>
          <t>avverkningsanmälan</t>
        </is>
      </c>
      <c r="C444" t="inlineStr">
        <is>
          <t>Föryngringsavverkning</t>
        </is>
      </c>
      <c r="D444" s="1" t="n">
        <v>45747</v>
      </c>
      <c r="E444" s="1" t="n">
        <v>46223</v>
      </c>
      <c r="F444" t="inlineStr">
        <is>
          <t>DALARNAS LÄN</t>
        </is>
      </c>
      <c r="G444" t="inlineStr">
        <is>
          <t>SMEDJEBACKEN</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20623-2022</t>
        </is>
      </c>
      <c r="B445" t="inlineStr">
        <is>
          <t>avverkningsanmälan</t>
        </is>
      </c>
      <c r="C445" t="inlineStr">
        <is>
          <t>Föryngringsavverkning</t>
        </is>
      </c>
      <c r="D445" s="1" t="n">
        <v>44700</v>
      </c>
      <c r="E445" s="1" t="n">
        <v>46223</v>
      </c>
      <c r="F445" t="inlineStr">
        <is>
          <t>DALARNAS LÄN</t>
        </is>
      </c>
      <c r="G445" t="inlineStr">
        <is>
          <t>SMEDJEBACKEN</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20707-2026</t>
        </is>
      </c>
      <c r="B446" t="inlineStr">
        <is>
          <t>avverkningsanmälan</t>
        </is>
      </c>
      <c r="C446" t="inlineStr">
        <is>
          <t>Föryngringsavverkning</t>
        </is>
      </c>
      <c r="D446" s="1" t="n">
        <v>46141</v>
      </c>
      <c r="E446" s="1" t="n">
        <v>46223</v>
      </c>
      <c r="F446" t="inlineStr">
        <is>
          <t>DALARNAS LÄN</t>
        </is>
      </c>
      <c r="G446" t="inlineStr">
        <is>
          <t>SMEDJEBACKEN</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26367-2026</t>
        </is>
      </c>
      <c r="B447" t="inlineStr">
        <is>
          <t>avverkningsanmälan</t>
        </is>
      </c>
      <c r="C447" t="inlineStr">
        <is>
          <t>Föryngringsavverkning</t>
        </is>
      </c>
      <c r="D447" s="1" t="n">
        <v>46182</v>
      </c>
      <c r="E447" s="1" t="n">
        <v>46223</v>
      </c>
      <c r="F447" t="inlineStr">
        <is>
          <t>DALARNAS LÄN</t>
        </is>
      </c>
      <c r="G447" t="inlineStr">
        <is>
          <t>SMEDJEBACKEN</t>
        </is>
      </c>
      <c r="H447" t="inlineStr">
        <is>
          <t>Övriga Aktiebolag</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38440-2023</t>
        </is>
      </c>
      <c r="B448" t="inlineStr">
        <is>
          <t>avverkningsanmälan</t>
        </is>
      </c>
      <c r="C448" t="inlineStr">
        <is>
          <t>Föryngringsavverkning</t>
        </is>
      </c>
      <c r="D448" s="1" t="n">
        <v>45162</v>
      </c>
      <c r="E448" s="1" t="n">
        <v>46223</v>
      </c>
      <c r="F448" t="inlineStr">
        <is>
          <t>DALARNAS LÄN</t>
        </is>
      </c>
      <c r="G448" t="inlineStr">
        <is>
          <t>SMEDJEBACKEN</t>
        </is>
      </c>
      <c r="I448" t="n">
        <v>7.3</v>
      </c>
      <c r="J448" t="n">
        <v>0</v>
      </c>
      <c r="K448" t="n">
        <v>0</v>
      </c>
      <c r="L448" t="n">
        <v>0</v>
      </c>
      <c r="M448" t="n">
        <v>0</v>
      </c>
      <c r="N448" t="n">
        <v>0</v>
      </c>
      <c r="O448" t="n">
        <v>0</v>
      </c>
      <c r="P448" t="n">
        <v>0</v>
      </c>
      <c r="Q448" t="n">
        <v>0</v>
      </c>
      <c r="R448" t="n">
        <v>0</v>
      </c>
      <c r="S448" t="n">
        <v>0</v>
      </c>
      <c r="T448" t="n">
        <v>0</v>
      </c>
      <c r="U448" s="2" t="inlineStr"/>
    </row>
    <row r="449" ht="15" customHeight="1">
      <c r="A449" t="inlineStr">
        <is>
          <t>A 2243-2026</t>
        </is>
      </c>
      <c r="B449" t="inlineStr">
        <is>
          <t>avverkningsanmälan</t>
        </is>
      </c>
      <c r="C449" t="inlineStr">
        <is>
          <t>Föryngringsavverkning</t>
        </is>
      </c>
      <c r="D449" s="1" t="n">
        <v>46036</v>
      </c>
      <c r="E449" s="1" t="n">
        <v>46223</v>
      </c>
      <c r="F449" t="inlineStr">
        <is>
          <t>DALARNAS LÄN</t>
        </is>
      </c>
      <c r="G449" t="inlineStr">
        <is>
          <t>SMEDJEBACKEN</t>
        </is>
      </c>
      <c r="I449" t="n">
        <v>4.1</v>
      </c>
      <c r="J449" t="n">
        <v>0</v>
      </c>
      <c r="K449" t="n">
        <v>0</v>
      </c>
      <c r="L449" t="n">
        <v>0</v>
      </c>
      <c r="M449" t="n">
        <v>0</v>
      </c>
      <c r="N449" t="n">
        <v>0</v>
      </c>
      <c r="O449" t="n">
        <v>0</v>
      </c>
      <c r="P449" t="n">
        <v>0</v>
      </c>
      <c r="Q449" t="n">
        <v>0</v>
      </c>
      <c r="R449" t="n">
        <v>0</v>
      </c>
      <c r="S449" t="n">
        <v>0</v>
      </c>
      <c r="T449" t="n">
        <v>0</v>
      </c>
      <c r="U449" s="2" t="inlineStr"/>
    </row>
    <row r="450" ht="15" customHeight="1">
      <c r="A450" t="inlineStr">
        <is>
          <t>A 26661-2026</t>
        </is>
      </c>
      <c r="B450" t="inlineStr">
        <is>
          <t>avverkningsanmälan</t>
        </is>
      </c>
      <c r="C450" t="inlineStr">
        <is>
          <t>Föryngringsavverkning</t>
        </is>
      </c>
      <c r="D450" s="1" t="n">
        <v>46184</v>
      </c>
      <c r="E450" s="1" t="n">
        <v>46223</v>
      </c>
      <c r="F450" t="inlineStr">
        <is>
          <t>DALARNAS LÄN</t>
        </is>
      </c>
      <c r="G450" t="inlineStr">
        <is>
          <t>SMEDJEBACKEN</t>
        </is>
      </c>
      <c r="H450" t="inlineStr">
        <is>
          <t>Sveaskog</t>
        </is>
      </c>
      <c r="I450" t="n">
        <v>6.7</v>
      </c>
      <c r="J450" t="n">
        <v>0</v>
      </c>
      <c r="K450" t="n">
        <v>0</v>
      </c>
      <c r="L450" t="n">
        <v>0</v>
      </c>
      <c r="M450" t="n">
        <v>0</v>
      </c>
      <c r="N450" t="n">
        <v>0</v>
      </c>
      <c r="O450" t="n">
        <v>0</v>
      </c>
      <c r="P450" t="n">
        <v>0</v>
      </c>
      <c r="Q450" t="n">
        <v>0</v>
      </c>
      <c r="R450" t="n">
        <v>0</v>
      </c>
      <c r="S450" t="n">
        <v>0</v>
      </c>
      <c r="T450" t="n">
        <v>0</v>
      </c>
      <c r="U450" s="2" t="inlineStr"/>
    </row>
    <row r="451" ht="15" customHeight="1">
      <c r="A451" t="inlineStr">
        <is>
          <t>A 58234-2023</t>
        </is>
      </c>
      <c r="B451" t="inlineStr">
        <is>
          <t>avverkningsanmälan</t>
        </is>
      </c>
      <c r="C451" t="inlineStr">
        <is>
          <t>Avverkning för att bevara och utveckla /försöksver</t>
        </is>
      </c>
      <c r="D451" s="1" t="n">
        <v>45250</v>
      </c>
      <c r="E451" s="1" t="n">
        <v>46223</v>
      </c>
      <c r="F451" t="inlineStr">
        <is>
          <t>DALARNAS LÄN</t>
        </is>
      </c>
      <c r="G451" t="inlineStr">
        <is>
          <t>SMEDJEBACKEN</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48459-2023</t>
        </is>
      </c>
      <c r="B452" t="inlineStr">
        <is>
          <t>avverkningsanmälan</t>
        </is>
      </c>
      <c r="C452" t="inlineStr">
        <is>
          <t>Föryngringsavverkning</t>
        </is>
      </c>
      <c r="D452" s="1" t="n">
        <v>45206</v>
      </c>
      <c r="E452" s="1" t="n">
        <v>46223</v>
      </c>
      <c r="F452" t="inlineStr">
        <is>
          <t>DALARNAS LÄN</t>
        </is>
      </c>
      <c r="G452" t="inlineStr">
        <is>
          <t>SMEDJEBACKEN</t>
        </is>
      </c>
      <c r="H452" t="inlineStr">
        <is>
          <t>Sveaskog</t>
        </is>
      </c>
      <c r="I452" t="n">
        <v>5.2</v>
      </c>
      <c r="J452" t="n">
        <v>0</v>
      </c>
      <c r="K452" t="n">
        <v>0</v>
      </c>
      <c r="L452" t="n">
        <v>0</v>
      </c>
      <c r="M452" t="n">
        <v>0</v>
      </c>
      <c r="N452" t="n">
        <v>0</v>
      </c>
      <c r="O452" t="n">
        <v>0</v>
      </c>
      <c r="P452" t="n">
        <v>0</v>
      </c>
      <c r="Q452" t="n">
        <v>0</v>
      </c>
      <c r="R452" t="n">
        <v>0</v>
      </c>
      <c r="S452" t="n">
        <v>0</v>
      </c>
      <c r="T452" t="n">
        <v>0</v>
      </c>
      <c r="U452" s="2" t="inlineStr"/>
    </row>
    <row r="453" ht="15" customHeight="1">
      <c r="A453" t="inlineStr">
        <is>
          <t>A 48530-2023</t>
        </is>
      </c>
      <c r="B453" t="inlineStr">
        <is>
          <t>avverkningsanmälan</t>
        </is>
      </c>
      <c r="C453" t="inlineStr">
        <is>
          <t>Föryngringsavverkning</t>
        </is>
      </c>
      <c r="D453" s="1" t="n">
        <v>45208</v>
      </c>
      <c r="E453" s="1" t="n">
        <v>46223</v>
      </c>
      <c r="F453" t="inlineStr">
        <is>
          <t>DALARNAS LÄN</t>
        </is>
      </c>
      <c r="G453" t="inlineStr">
        <is>
          <t>SMEDJEBACKEN</t>
        </is>
      </c>
      <c r="I453" t="n">
        <v>2.2</v>
      </c>
      <c r="J453" t="n">
        <v>0</v>
      </c>
      <c r="K453" t="n">
        <v>0</v>
      </c>
      <c r="L453" t="n">
        <v>0</v>
      </c>
      <c r="M453" t="n">
        <v>0</v>
      </c>
      <c r="N453" t="n">
        <v>0</v>
      </c>
      <c r="O453" t="n">
        <v>0</v>
      </c>
      <c r="P453" t="n">
        <v>0</v>
      </c>
      <c r="Q453" t="n">
        <v>0</v>
      </c>
      <c r="R453" t="n">
        <v>0</v>
      </c>
      <c r="S453" t="n">
        <v>0</v>
      </c>
      <c r="T453" t="n">
        <v>0</v>
      </c>
      <c r="U453" s="2" t="inlineStr"/>
    </row>
    <row r="454" ht="15" customHeight="1">
      <c r="A454" t="inlineStr">
        <is>
          <t>A 25396-2024</t>
        </is>
      </c>
      <c r="B454" t="inlineStr">
        <is>
          <t>avverkningsanmälan</t>
        </is>
      </c>
      <c r="C454" t="inlineStr">
        <is>
          <t>Föryngringsavverkning</t>
        </is>
      </c>
      <c r="D454" s="1" t="n">
        <v>45463</v>
      </c>
      <c r="E454" s="1" t="n">
        <v>46223</v>
      </c>
      <c r="F454" t="inlineStr">
        <is>
          <t>DALARNAS LÄN</t>
        </is>
      </c>
      <c r="G454" t="inlineStr">
        <is>
          <t>SMEDJEBACKEN</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51115-2024</t>
        </is>
      </c>
      <c r="B455" t="inlineStr">
        <is>
          <t>avverkningsanmälan</t>
        </is>
      </c>
      <c r="C455" t="inlineStr">
        <is>
          <t>Avverkning för att bevara och utveckla /försöksver</t>
        </is>
      </c>
      <c r="D455" s="1" t="n">
        <v>45603</v>
      </c>
      <c r="E455" s="1" t="n">
        <v>46223</v>
      </c>
      <c r="F455" t="inlineStr">
        <is>
          <t>DALARNAS LÄN</t>
        </is>
      </c>
      <c r="G455" t="inlineStr">
        <is>
          <t>SMEDJEBACKEN</t>
        </is>
      </c>
      <c r="H455" t="inlineStr">
        <is>
          <t>Sveaskog</t>
        </is>
      </c>
      <c r="I455" t="n">
        <v>1.8</v>
      </c>
      <c r="J455" t="n">
        <v>0</v>
      </c>
      <c r="K455" t="n">
        <v>0</v>
      </c>
      <c r="L455" t="n">
        <v>0</v>
      </c>
      <c r="M455" t="n">
        <v>0</v>
      </c>
      <c r="N455" t="n">
        <v>0</v>
      </c>
      <c r="O455" t="n">
        <v>0</v>
      </c>
      <c r="P455" t="n">
        <v>0</v>
      </c>
      <c r="Q455" t="n">
        <v>0</v>
      </c>
      <c r="R455" t="n">
        <v>0</v>
      </c>
      <c r="S455" t="n">
        <v>0</v>
      </c>
      <c r="T455" t="n">
        <v>0</v>
      </c>
      <c r="U455" s="2" t="inlineStr"/>
    </row>
    <row r="456" ht="15" customHeight="1">
      <c r="A456" t="inlineStr">
        <is>
          <t>A 24469-2022</t>
        </is>
      </c>
      <c r="B456" t="inlineStr">
        <is>
          <t>avverkningsanmälan</t>
        </is>
      </c>
      <c r="C456" t="inlineStr">
        <is>
          <t>Föryngringsavverkning</t>
        </is>
      </c>
      <c r="D456" s="1" t="n">
        <v>44726</v>
      </c>
      <c r="E456" s="1" t="n">
        <v>46223</v>
      </c>
      <c r="F456" t="inlineStr">
        <is>
          <t>DALARNAS LÄN</t>
        </is>
      </c>
      <c r="G456" t="inlineStr">
        <is>
          <t>SMEDJEBACKEN</t>
        </is>
      </c>
      <c r="I456" t="n">
        <v>4.3</v>
      </c>
      <c r="J456" t="n">
        <v>0</v>
      </c>
      <c r="K456" t="n">
        <v>0</v>
      </c>
      <c r="L456" t="n">
        <v>0</v>
      </c>
      <c r="M456" t="n">
        <v>0</v>
      </c>
      <c r="N456" t="n">
        <v>0</v>
      </c>
      <c r="O456" t="n">
        <v>0</v>
      </c>
      <c r="P456" t="n">
        <v>0</v>
      </c>
      <c r="Q456" t="n">
        <v>0</v>
      </c>
      <c r="R456" t="n">
        <v>0</v>
      </c>
      <c r="S456" t="n">
        <v>0</v>
      </c>
      <c r="T456" t="n">
        <v>0</v>
      </c>
      <c r="U456" s="2" t="inlineStr"/>
    </row>
    <row r="457" ht="15" customHeight="1">
      <c r="A457" t="inlineStr">
        <is>
          <t>A 16597-2024</t>
        </is>
      </c>
      <c r="B457" t="inlineStr">
        <is>
          <t>avverkningsanmälan</t>
        </is>
      </c>
      <c r="C457" t="inlineStr">
        <is>
          <t>Föryngringsavverkning</t>
        </is>
      </c>
      <c r="D457" s="1" t="n">
        <v>45408</v>
      </c>
      <c r="E457" s="1" t="n">
        <v>46223</v>
      </c>
      <c r="F457" t="inlineStr">
        <is>
          <t>DALARNAS LÄN</t>
        </is>
      </c>
      <c r="G457" t="inlineStr">
        <is>
          <t>SMEDJEBACKEN</t>
        </is>
      </c>
      <c r="H457" t="inlineStr">
        <is>
          <t>Sveaskog</t>
        </is>
      </c>
      <c r="I457" t="n">
        <v>0.4</v>
      </c>
      <c r="J457" t="n">
        <v>0</v>
      </c>
      <c r="K457" t="n">
        <v>0</v>
      </c>
      <c r="L457" t="n">
        <v>0</v>
      </c>
      <c r="M457" t="n">
        <v>0</v>
      </c>
      <c r="N457" t="n">
        <v>0</v>
      </c>
      <c r="O457" t="n">
        <v>0</v>
      </c>
      <c r="P457" t="n">
        <v>0</v>
      </c>
      <c r="Q457" t="n">
        <v>0</v>
      </c>
      <c r="R457" t="n">
        <v>0</v>
      </c>
      <c r="S457" t="n">
        <v>0</v>
      </c>
      <c r="T457" t="n">
        <v>0</v>
      </c>
      <c r="U457" s="2" t="inlineStr"/>
    </row>
    <row r="458" ht="15" customHeight="1">
      <c r="A458" t="inlineStr">
        <is>
          <t>A 26655-2026</t>
        </is>
      </c>
      <c r="B458" t="inlineStr">
        <is>
          <t>avverkningsanmälan</t>
        </is>
      </c>
      <c r="C458" t="inlineStr">
        <is>
          <t>Föryngringsavverkning</t>
        </is>
      </c>
      <c r="D458" s="1" t="n">
        <v>46184</v>
      </c>
      <c r="E458" s="1" t="n">
        <v>46223</v>
      </c>
      <c r="F458" t="inlineStr">
        <is>
          <t>DALARNAS LÄN</t>
        </is>
      </c>
      <c r="G458" t="inlineStr">
        <is>
          <t>SMEDJEBACKEN</t>
        </is>
      </c>
      <c r="H458" t="inlineStr">
        <is>
          <t>Sveaskog</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26657-2026</t>
        </is>
      </c>
      <c r="B459" t="inlineStr">
        <is>
          <t>avverkningsanmälan</t>
        </is>
      </c>
      <c r="C459" t="inlineStr">
        <is>
          <t>Föryngringsavverkning</t>
        </is>
      </c>
      <c r="D459" s="1" t="n">
        <v>46184</v>
      </c>
      <c r="E459" s="1" t="n">
        <v>46223</v>
      </c>
      <c r="F459" t="inlineStr">
        <is>
          <t>DALARNAS LÄN</t>
        </is>
      </c>
      <c r="G459" t="inlineStr">
        <is>
          <t>SMEDJEBACKEN</t>
        </is>
      </c>
      <c r="H459" t="inlineStr">
        <is>
          <t>Sveaskog</t>
        </is>
      </c>
      <c r="I459" t="n">
        <v>3.8</v>
      </c>
      <c r="J459" t="n">
        <v>0</v>
      </c>
      <c r="K459" t="n">
        <v>0</v>
      </c>
      <c r="L459" t="n">
        <v>0</v>
      </c>
      <c r="M459" t="n">
        <v>0</v>
      </c>
      <c r="N459" t="n">
        <v>0</v>
      </c>
      <c r="O459" t="n">
        <v>0</v>
      </c>
      <c r="P459" t="n">
        <v>0</v>
      </c>
      <c r="Q459" t="n">
        <v>0</v>
      </c>
      <c r="R459" t="n">
        <v>0</v>
      </c>
      <c r="S459" t="n">
        <v>0</v>
      </c>
      <c r="T459" t="n">
        <v>0</v>
      </c>
      <c r="U459" s="2" t="inlineStr"/>
    </row>
    <row r="460" ht="15" customHeight="1">
      <c r="A460" t="inlineStr">
        <is>
          <t>A 26659-2026</t>
        </is>
      </c>
      <c r="B460" t="inlineStr">
        <is>
          <t>avverkningsanmälan</t>
        </is>
      </c>
      <c r="C460" t="inlineStr">
        <is>
          <t>Föryngringsavverkning</t>
        </is>
      </c>
      <c r="D460" s="1" t="n">
        <v>46184</v>
      </c>
      <c r="E460" s="1" t="n">
        <v>46223</v>
      </c>
      <c r="F460" t="inlineStr">
        <is>
          <t>DALARNAS LÄN</t>
        </is>
      </c>
      <c r="G460" t="inlineStr">
        <is>
          <t>SMEDJEBACKEN</t>
        </is>
      </c>
      <c r="H460" t="inlineStr">
        <is>
          <t>Sveaskog</t>
        </is>
      </c>
      <c r="I460" t="n">
        <v>4.2</v>
      </c>
      <c r="J460" t="n">
        <v>0</v>
      </c>
      <c r="K460" t="n">
        <v>0</v>
      </c>
      <c r="L460" t="n">
        <v>0</v>
      </c>
      <c r="M460" t="n">
        <v>0</v>
      </c>
      <c r="N460" t="n">
        <v>0</v>
      </c>
      <c r="O460" t="n">
        <v>0</v>
      </c>
      <c r="P460" t="n">
        <v>0</v>
      </c>
      <c r="Q460" t="n">
        <v>0</v>
      </c>
      <c r="R460" t="n">
        <v>0</v>
      </c>
      <c r="S460" t="n">
        <v>0</v>
      </c>
      <c r="T460" t="n">
        <v>0</v>
      </c>
      <c r="U460" s="2" t="inlineStr"/>
    </row>
    <row r="461" ht="15" customHeight="1">
      <c r="A461" t="inlineStr">
        <is>
          <t>A 20718-2026</t>
        </is>
      </c>
      <c r="B461" t="inlineStr">
        <is>
          <t>avverkningsanmälan</t>
        </is>
      </c>
      <c r="C461" t="inlineStr">
        <is>
          <t>Föryngringsavverkning</t>
        </is>
      </c>
      <c r="D461" s="1" t="n">
        <v>46141</v>
      </c>
      <c r="E461" s="1" t="n">
        <v>46223</v>
      </c>
      <c r="F461" t="inlineStr">
        <is>
          <t>DALARNAS LÄN</t>
        </is>
      </c>
      <c r="G461" t="inlineStr">
        <is>
          <t>SMEDJEBACKEN</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26347-2026</t>
        </is>
      </c>
      <c r="B462" t="inlineStr">
        <is>
          <t>avverkningsanmälan</t>
        </is>
      </c>
      <c r="C462" t="inlineStr">
        <is>
          <t>Avverkning för annat ändamål</t>
        </is>
      </c>
      <c r="D462" s="1" t="n">
        <v>46182</v>
      </c>
      <c r="E462" s="1" t="n">
        <v>46223</v>
      </c>
      <c r="F462" t="inlineStr">
        <is>
          <t>DALARNAS LÄN</t>
        </is>
      </c>
      <c r="G462" t="inlineStr">
        <is>
          <t>SMEDJEBACKEN</t>
        </is>
      </c>
      <c r="H462" t="inlineStr">
        <is>
          <t>Sveaskog</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42418-2021</t>
        </is>
      </c>
      <c r="B463" t="inlineStr">
        <is>
          <t>avverkningsanmälan</t>
        </is>
      </c>
      <c r="C463" t="inlineStr">
        <is>
          <t>Föryngringsavverkning</t>
        </is>
      </c>
      <c r="D463" s="1" t="n">
        <v>44427</v>
      </c>
      <c r="E463" s="1" t="n">
        <v>46223</v>
      </c>
      <c r="F463" t="inlineStr">
        <is>
          <t>DALARNAS LÄN</t>
        </is>
      </c>
      <c r="G463" t="inlineStr">
        <is>
          <t>SMEDJEBACKEN</t>
        </is>
      </c>
      <c r="H463" t="inlineStr">
        <is>
          <t>Bergvik skog väst AB</t>
        </is>
      </c>
      <c r="I463" t="n">
        <v>2.8</v>
      </c>
      <c r="J463" t="n">
        <v>0</v>
      </c>
      <c r="K463" t="n">
        <v>0</v>
      </c>
      <c r="L463" t="n">
        <v>0</v>
      </c>
      <c r="M463" t="n">
        <v>0</v>
      </c>
      <c r="N463" t="n">
        <v>0</v>
      </c>
      <c r="O463" t="n">
        <v>0</v>
      </c>
      <c r="P463" t="n">
        <v>0</v>
      </c>
      <c r="Q463" t="n">
        <v>0</v>
      </c>
      <c r="R463" t="n">
        <v>0</v>
      </c>
      <c r="S463" t="n">
        <v>0</v>
      </c>
      <c r="T463" t="n">
        <v>0</v>
      </c>
      <c r="U463" s="2" t="inlineStr"/>
    </row>
    <row r="464" ht="15" customHeight="1">
      <c r="A464" t="inlineStr">
        <is>
          <t>A 21215-2026</t>
        </is>
      </c>
      <c r="B464" t="inlineStr">
        <is>
          <t>avverkningsanmälan</t>
        </is>
      </c>
      <c r="C464" t="inlineStr">
        <is>
          <t>Föryngringsavverkning</t>
        </is>
      </c>
      <c r="D464" s="1" t="n">
        <v>46146</v>
      </c>
      <c r="E464" s="1" t="n">
        <v>46223</v>
      </c>
      <c r="F464" t="inlineStr">
        <is>
          <t>DALARNAS LÄN</t>
        </is>
      </c>
      <c r="G464" t="inlineStr">
        <is>
          <t>SMEDJEBACKEN</t>
        </is>
      </c>
      <c r="H464" t="inlineStr">
        <is>
          <t>Bergvik skog väst AB</t>
        </is>
      </c>
      <c r="I464" t="n">
        <v>4</v>
      </c>
      <c r="J464" t="n">
        <v>0</v>
      </c>
      <c r="K464" t="n">
        <v>0</v>
      </c>
      <c r="L464" t="n">
        <v>0</v>
      </c>
      <c r="M464" t="n">
        <v>0</v>
      </c>
      <c r="N464" t="n">
        <v>0</v>
      </c>
      <c r="O464" t="n">
        <v>0</v>
      </c>
      <c r="P464" t="n">
        <v>0</v>
      </c>
      <c r="Q464" t="n">
        <v>0</v>
      </c>
      <c r="R464" t="n">
        <v>0</v>
      </c>
      <c r="S464" t="n">
        <v>0</v>
      </c>
      <c r="T464" t="n">
        <v>0</v>
      </c>
      <c r="U464" s="2" t="inlineStr"/>
    </row>
    <row r="465" ht="15" customHeight="1">
      <c r="A465" t="inlineStr">
        <is>
          <t>A 21216-2026</t>
        </is>
      </c>
      <c r="B465" t="inlineStr">
        <is>
          <t>avverkningsanmälan</t>
        </is>
      </c>
      <c r="C465" t="inlineStr">
        <is>
          <t>Föryngringsavverkning</t>
        </is>
      </c>
      <c r="D465" s="1" t="n">
        <v>46146</v>
      </c>
      <c r="E465" s="1" t="n">
        <v>46223</v>
      </c>
      <c r="F465" t="inlineStr">
        <is>
          <t>DALARNAS LÄN</t>
        </is>
      </c>
      <c r="G465" t="inlineStr">
        <is>
          <t>SMEDJEBACKEN</t>
        </is>
      </c>
      <c r="H465" t="inlineStr">
        <is>
          <t>Bergvik skog väst AB</t>
        </is>
      </c>
      <c r="I465" t="n">
        <v>1.6</v>
      </c>
      <c r="J465" t="n">
        <v>0</v>
      </c>
      <c r="K465" t="n">
        <v>0</v>
      </c>
      <c r="L465" t="n">
        <v>0</v>
      </c>
      <c r="M465" t="n">
        <v>0</v>
      </c>
      <c r="N465" t="n">
        <v>0</v>
      </c>
      <c r="O465" t="n">
        <v>0</v>
      </c>
      <c r="P465" t="n">
        <v>0</v>
      </c>
      <c r="Q465" t="n">
        <v>0</v>
      </c>
      <c r="R465" t="n">
        <v>0</v>
      </c>
      <c r="S465" t="n">
        <v>0</v>
      </c>
      <c r="T465" t="n">
        <v>0</v>
      </c>
      <c r="U465" s="2" t="inlineStr"/>
    </row>
    <row r="466" ht="15" customHeight="1">
      <c r="A466" t="inlineStr">
        <is>
          <t>A 6712-2023</t>
        </is>
      </c>
      <c r="B466" t="inlineStr">
        <is>
          <t>avverkningsanmälan</t>
        </is>
      </c>
      <c r="C466" t="inlineStr">
        <is>
          <t>Föryngringsavverkning</t>
        </is>
      </c>
      <c r="D466" s="1" t="n">
        <v>44966</v>
      </c>
      <c r="E466" s="1" t="n">
        <v>46223</v>
      </c>
      <c r="F466" t="inlineStr">
        <is>
          <t>DALARNAS LÄN</t>
        </is>
      </c>
      <c r="G466" t="inlineStr">
        <is>
          <t>SMEDJEBACKEN</t>
        </is>
      </c>
      <c r="I466" t="n">
        <v>14.7</v>
      </c>
      <c r="J466" t="n">
        <v>0</v>
      </c>
      <c r="K466" t="n">
        <v>0</v>
      </c>
      <c r="L466" t="n">
        <v>0</v>
      </c>
      <c r="M466" t="n">
        <v>0</v>
      </c>
      <c r="N466" t="n">
        <v>0</v>
      </c>
      <c r="O466" t="n">
        <v>0</v>
      </c>
      <c r="P466" t="n">
        <v>0</v>
      </c>
      <c r="Q466" t="n">
        <v>0</v>
      </c>
      <c r="R466" t="n">
        <v>0</v>
      </c>
      <c r="S466" t="n">
        <v>0</v>
      </c>
      <c r="T466" t="n">
        <v>0</v>
      </c>
      <c r="U466" s="2" t="inlineStr"/>
    </row>
    <row r="467" ht="15" customHeight="1">
      <c r="A467" t="inlineStr">
        <is>
          <t>A 6716-2023</t>
        </is>
      </c>
      <c r="B467" t="inlineStr">
        <is>
          <t>avverkningsanmälan</t>
        </is>
      </c>
      <c r="C467" t="inlineStr">
        <is>
          <t>Föryngringsavverkning</t>
        </is>
      </c>
      <c r="D467" s="1" t="n">
        <v>44966</v>
      </c>
      <c r="E467" s="1" t="n">
        <v>46223</v>
      </c>
      <c r="F467" t="inlineStr">
        <is>
          <t>DALARNAS LÄN</t>
        </is>
      </c>
      <c r="G467" t="inlineStr">
        <is>
          <t>SMEDJEBACKEN</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31326-2022</t>
        </is>
      </c>
      <c r="B468" t="inlineStr">
        <is>
          <t>avverkningsanmälan</t>
        </is>
      </c>
      <c r="C468" t="inlineStr">
        <is>
          <t>Föryngringsavverkning</t>
        </is>
      </c>
      <c r="D468" s="1" t="n">
        <v>44774</v>
      </c>
      <c r="E468" s="1" t="n">
        <v>46223</v>
      </c>
      <c r="F468" t="inlineStr">
        <is>
          <t>DALARNAS LÄN</t>
        </is>
      </c>
      <c r="G468" t="inlineStr">
        <is>
          <t>SMEDJEBACKEN</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33846-2022</t>
        </is>
      </c>
      <c r="B469" t="inlineStr">
        <is>
          <t>avverkningsanmälan</t>
        </is>
      </c>
      <c r="C469" t="inlineStr">
        <is>
          <t>Föryngringsavverkning</t>
        </is>
      </c>
      <c r="D469" s="1" t="n">
        <v>44790</v>
      </c>
      <c r="E469" s="1" t="n">
        <v>46223</v>
      </c>
      <c r="F469" t="inlineStr">
        <is>
          <t>DALARNAS LÄN</t>
        </is>
      </c>
      <c r="G469" t="inlineStr">
        <is>
          <t>SMEDJEBACKEN</t>
        </is>
      </c>
      <c r="H469" t="inlineStr">
        <is>
          <t>Bergvik skog väst AB</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21806-2026</t>
        </is>
      </c>
      <c r="B470" t="inlineStr">
        <is>
          <t>avverkningsanmälan</t>
        </is>
      </c>
      <c r="C470" t="inlineStr">
        <is>
          <t>Föryngringsavverkning</t>
        </is>
      </c>
      <c r="D470" s="1" t="n">
        <v>46150</v>
      </c>
      <c r="E470" s="1" t="n">
        <v>46223</v>
      </c>
      <c r="F470" t="inlineStr">
        <is>
          <t>DALARNAS LÄN</t>
        </is>
      </c>
      <c r="G470" t="inlineStr">
        <is>
          <t>SMEDJEBACKEN</t>
        </is>
      </c>
      <c r="I470" t="n">
        <v>1</v>
      </c>
      <c r="J470" t="n">
        <v>0</v>
      </c>
      <c r="K470" t="n">
        <v>0</v>
      </c>
      <c r="L470" t="n">
        <v>0</v>
      </c>
      <c r="M470" t="n">
        <v>0</v>
      </c>
      <c r="N470" t="n">
        <v>0</v>
      </c>
      <c r="O470" t="n">
        <v>0</v>
      </c>
      <c r="P470" t="n">
        <v>0</v>
      </c>
      <c r="Q470" t="n">
        <v>0</v>
      </c>
      <c r="R470" t="n">
        <v>0</v>
      </c>
      <c r="S470" t="n">
        <v>0</v>
      </c>
      <c r="T470" t="n">
        <v>0</v>
      </c>
      <c r="U470" s="2" t="inlineStr"/>
    </row>
    <row r="471" ht="15" customHeight="1">
      <c r="A471" t="inlineStr">
        <is>
          <t>A 21840-2026</t>
        </is>
      </c>
      <c r="B471" t="inlineStr">
        <is>
          <t>avverkningsanmälan</t>
        </is>
      </c>
      <c r="C471" t="inlineStr">
        <is>
          <t>Föryngringsavverkning</t>
        </is>
      </c>
      <c r="D471" s="1" t="n">
        <v>46150</v>
      </c>
      <c r="E471" s="1" t="n">
        <v>46223</v>
      </c>
      <c r="F471" t="inlineStr">
        <is>
          <t>DALARNAS LÄN</t>
        </is>
      </c>
      <c r="G471" t="inlineStr">
        <is>
          <t>SMEDJEBACKEN</t>
        </is>
      </c>
      <c r="H471" t="inlineStr">
        <is>
          <t>Sveaskog</t>
        </is>
      </c>
      <c r="I471" t="n">
        <v>0.9</v>
      </c>
      <c r="J471" t="n">
        <v>0</v>
      </c>
      <c r="K471" t="n">
        <v>0</v>
      </c>
      <c r="L471" t="n">
        <v>0</v>
      </c>
      <c r="M471" t="n">
        <v>0</v>
      </c>
      <c r="N471" t="n">
        <v>0</v>
      </c>
      <c r="O471" t="n">
        <v>0</v>
      </c>
      <c r="P471" t="n">
        <v>0</v>
      </c>
      <c r="Q471" t="n">
        <v>0</v>
      </c>
      <c r="R471" t="n">
        <v>0</v>
      </c>
      <c r="S471" t="n">
        <v>0</v>
      </c>
      <c r="T471" t="n">
        <v>0</v>
      </c>
      <c r="U471" s="2" t="inlineStr"/>
    </row>
    <row r="472" ht="15" customHeight="1">
      <c r="A472" t="inlineStr">
        <is>
          <t>A 21841-2026</t>
        </is>
      </c>
      <c r="B472" t="inlineStr">
        <is>
          <t>avverkningsanmälan</t>
        </is>
      </c>
      <c r="C472" t="inlineStr">
        <is>
          <t>Föryngringsavverkning</t>
        </is>
      </c>
      <c r="D472" s="1" t="n">
        <v>46150</v>
      </c>
      <c r="E472" s="1" t="n">
        <v>46223</v>
      </c>
      <c r="F472" t="inlineStr">
        <is>
          <t>DALARNAS LÄN</t>
        </is>
      </c>
      <c r="G472" t="inlineStr">
        <is>
          <t>SMEDJEBACKEN</t>
        </is>
      </c>
      <c r="H472" t="inlineStr">
        <is>
          <t>Sveaskog</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15390-2025</t>
        </is>
      </c>
      <c r="B473" t="inlineStr">
        <is>
          <t>avverkningsanmälan</t>
        </is>
      </c>
      <c r="C473" t="inlineStr">
        <is>
          <t>Föryngringsavverkning</t>
        </is>
      </c>
      <c r="D473" s="1" t="n">
        <v>45747</v>
      </c>
      <c r="E473" s="1" t="n">
        <v>46223</v>
      </c>
      <c r="F473" t="inlineStr">
        <is>
          <t>DALARNAS LÄN</t>
        </is>
      </c>
      <c r="G473" t="inlineStr">
        <is>
          <t>SMEDJEBACKEN</t>
        </is>
      </c>
      <c r="H473" t="inlineStr">
        <is>
          <t>Bergvik skog väst AB</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21631-2026</t>
        </is>
      </c>
      <c r="B474" t="inlineStr">
        <is>
          <t>avverkningsanmälan</t>
        </is>
      </c>
      <c r="C474" t="inlineStr">
        <is>
          <t>Föryngringsavverkning</t>
        </is>
      </c>
      <c r="D474" s="1" t="n">
        <v>46149</v>
      </c>
      <c r="E474" s="1" t="n">
        <v>46223</v>
      </c>
      <c r="F474" t="inlineStr">
        <is>
          <t>DALARNAS LÄN</t>
        </is>
      </c>
      <c r="G474" t="inlineStr">
        <is>
          <t>SMEDJEBACKEN</t>
        </is>
      </c>
      <c r="H474" t="inlineStr">
        <is>
          <t>Sveaskog</t>
        </is>
      </c>
      <c r="I474" t="n">
        <v>4.9</v>
      </c>
      <c r="J474" t="n">
        <v>0</v>
      </c>
      <c r="K474" t="n">
        <v>0</v>
      </c>
      <c r="L474" t="n">
        <v>0</v>
      </c>
      <c r="M474" t="n">
        <v>0</v>
      </c>
      <c r="N474" t="n">
        <v>0</v>
      </c>
      <c r="O474" t="n">
        <v>0</v>
      </c>
      <c r="P474" t="n">
        <v>0</v>
      </c>
      <c r="Q474" t="n">
        <v>0</v>
      </c>
      <c r="R474" t="n">
        <v>0</v>
      </c>
      <c r="S474" t="n">
        <v>0</v>
      </c>
      <c r="T474" t="n">
        <v>0</v>
      </c>
      <c r="U474" s="2" t="inlineStr"/>
    </row>
    <row r="475" ht="15" customHeight="1">
      <c r="A475" t="inlineStr">
        <is>
          <t>A 21632-2026</t>
        </is>
      </c>
      <c r="B475" t="inlineStr">
        <is>
          <t>avverkningsanmälan</t>
        </is>
      </c>
      <c r="C475" t="inlineStr">
        <is>
          <t>Föryngringsavverkning</t>
        </is>
      </c>
      <c r="D475" s="1" t="n">
        <v>46149</v>
      </c>
      <c r="E475" s="1" t="n">
        <v>46223</v>
      </c>
      <c r="F475" t="inlineStr">
        <is>
          <t>DALARNAS LÄN</t>
        </is>
      </c>
      <c r="G475" t="inlineStr">
        <is>
          <t>SMEDJEBACKEN</t>
        </is>
      </c>
      <c r="H475" t="inlineStr">
        <is>
          <t>Sveaskog</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27786-2026</t>
        </is>
      </c>
      <c r="B476" t="inlineStr">
        <is>
          <t>avverkningsanmälan</t>
        </is>
      </c>
      <c r="C476" t="inlineStr">
        <is>
          <t>Föryngringsavverkning</t>
        </is>
      </c>
      <c r="D476" s="1" t="n">
        <v>46191</v>
      </c>
      <c r="E476" s="1" t="n">
        <v>46223</v>
      </c>
      <c r="F476" t="inlineStr">
        <is>
          <t>DALARNAS LÄN</t>
        </is>
      </c>
      <c r="G476" t="inlineStr">
        <is>
          <t>SMEDJEBACKEN</t>
        </is>
      </c>
      <c r="I476" t="n">
        <v>2.6</v>
      </c>
      <c r="J476" t="n">
        <v>0</v>
      </c>
      <c r="K476" t="n">
        <v>0</v>
      </c>
      <c r="L476" t="n">
        <v>0</v>
      </c>
      <c r="M476" t="n">
        <v>0</v>
      </c>
      <c r="N476" t="n">
        <v>0</v>
      </c>
      <c r="O476" t="n">
        <v>0</v>
      </c>
      <c r="P476" t="n">
        <v>0</v>
      </c>
      <c r="Q476" t="n">
        <v>0</v>
      </c>
      <c r="R476" t="n">
        <v>0</v>
      </c>
      <c r="S476" t="n">
        <v>0</v>
      </c>
      <c r="T476" t="n">
        <v>0</v>
      </c>
      <c r="U476" s="2" t="inlineStr"/>
    </row>
    <row r="477" ht="15" customHeight="1">
      <c r="A477" t="inlineStr">
        <is>
          <t>A 21838-2026</t>
        </is>
      </c>
      <c r="B477" t="inlineStr">
        <is>
          <t>avverkningsanmälan</t>
        </is>
      </c>
      <c r="C477" t="inlineStr">
        <is>
          <t>Föryngringsavverkning</t>
        </is>
      </c>
      <c r="D477" s="1" t="n">
        <v>46150</v>
      </c>
      <c r="E477" s="1" t="n">
        <v>46223</v>
      </c>
      <c r="F477" t="inlineStr">
        <is>
          <t>DALARNAS LÄN</t>
        </is>
      </c>
      <c r="G477" t="inlineStr">
        <is>
          <t>SMEDJEBACKEN</t>
        </is>
      </c>
      <c r="H477" t="inlineStr">
        <is>
          <t>Sveaskog</t>
        </is>
      </c>
      <c r="I477" t="n">
        <v>3.7</v>
      </c>
      <c r="J477" t="n">
        <v>0</v>
      </c>
      <c r="K477" t="n">
        <v>0</v>
      </c>
      <c r="L477" t="n">
        <v>0</v>
      </c>
      <c r="M477" t="n">
        <v>0</v>
      </c>
      <c r="N477" t="n">
        <v>0</v>
      </c>
      <c r="O477" t="n">
        <v>0</v>
      </c>
      <c r="P477" t="n">
        <v>0</v>
      </c>
      <c r="Q477" t="n">
        <v>0</v>
      </c>
      <c r="R477" t="n">
        <v>0</v>
      </c>
      <c r="S477" t="n">
        <v>0</v>
      </c>
      <c r="T477" t="n">
        <v>0</v>
      </c>
      <c r="U477" s="2" t="inlineStr"/>
    </row>
    <row r="478" ht="15" customHeight="1">
      <c r="A478" t="inlineStr">
        <is>
          <t>A 15211-2023</t>
        </is>
      </c>
      <c r="B478" t="inlineStr">
        <is>
          <t>avverkningsanmälan</t>
        </is>
      </c>
      <c r="C478" t="inlineStr">
        <is>
          <t>Föryngringsavverkning</t>
        </is>
      </c>
      <c r="D478" s="1" t="n">
        <v>45018</v>
      </c>
      <c r="E478" s="1" t="n">
        <v>46223</v>
      </c>
      <c r="F478" t="inlineStr">
        <is>
          <t>DALARNAS LÄN</t>
        </is>
      </c>
      <c r="G478" t="inlineStr">
        <is>
          <t>SMEDJEBACKEN</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1898-2023</t>
        </is>
      </c>
      <c r="B479" t="inlineStr">
        <is>
          <t>avverkningsanmälan</t>
        </is>
      </c>
      <c r="C479" t="inlineStr">
        <is>
          <t>Föryngringsavverkning</t>
        </is>
      </c>
      <c r="D479" s="1" t="n">
        <v>44937</v>
      </c>
      <c r="E479" s="1" t="n">
        <v>46223</v>
      </c>
      <c r="F479" t="inlineStr">
        <is>
          <t>DALARNAS LÄN</t>
        </is>
      </c>
      <c r="G479" t="inlineStr">
        <is>
          <t>SMEDJEBACKEN</t>
        </is>
      </c>
      <c r="I479" t="n">
        <v>3</v>
      </c>
      <c r="J479" t="n">
        <v>0</v>
      </c>
      <c r="K479" t="n">
        <v>0</v>
      </c>
      <c r="L479" t="n">
        <v>0</v>
      </c>
      <c r="M479" t="n">
        <v>0</v>
      </c>
      <c r="N479" t="n">
        <v>0</v>
      </c>
      <c r="O479" t="n">
        <v>0</v>
      </c>
      <c r="P479" t="n">
        <v>0</v>
      </c>
      <c r="Q479" t="n">
        <v>0</v>
      </c>
      <c r="R479" t="n">
        <v>0</v>
      </c>
      <c r="S479" t="n">
        <v>0</v>
      </c>
      <c r="T479" t="n">
        <v>0</v>
      </c>
      <c r="U479" s="2" t="inlineStr"/>
    </row>
    <row r="480" ht="15" customHeight="1">
      <c r="A480" t="inlineStr">
        <is>
          <t>A 21996-2026</t>
        </is>
      </c>
      <c r="B480" t="inlineStr">
        <is>
          <t>avverkningsanmälan</t>
        </is>
      </c>
      <c r="C480" t="inlineStr">
        <is>
          <t>Föryngringsavverkning</t>
        </is>
      </c>
      <c r="D480" s="1" t="n">
        <v>46153</v>
      </c>
      <c r="E480" s="1" t="n">
        <v>46223</v>
      </c>
      <c r="F480" t="inlineStr">
        <is>
          <t>DALARNAS LÄN</t>
        </is>
      </c>
      <c r="G480" t="inlineStr">
        <is>
          <t>SMEDJEBACKEN</t>
        </is>
      </c>
      <c r="I480" t="n">
        <v>5</v>
      </c>
      <c r="J480" t="n">
        <v>0</v>
      </c>
      <c r="K480" t="n">
        <v>0</v>
      </c>
      <c r="L480" t="n">
        <v>0</v>
      </c>
      <c r="M480" t="n">
        <v>0</v>
      </c>
      <c r="N480" t="n">
        <v>0</v>
      </c>
      <c r="O480" t="n">
        <v>0</v>
      </c>
      <c r="P480" t="n">
        <v>0</v>
      </c>
      <c r="Q480" t="n">
        <v>0</v>
      </c>
      <c r="R480" t="n">
        <v>0</v>
      </c>
      <c r="S480" t="n">
        <v>0</v>
      </c>
      <c r="T480" t="n">
        <v>0</v>
      </c>
      <c r="U480" s="2" t="inlineStr"/>
    </row>
    <row r="481" ht="15" customHeight="1">
      <c r="A481" t="inlineStr">
        <is>
          <t>A 23687-2023</t>
        </is>
      </c>
      <c r="B481" t="inlineStr">
        <is>
          <t>avverkningsanmälan</t>
        </is>
      </c>
      <c r="C481" t="inlineStr">
        <is>
          <t>Föryngringsavverkning</t>
        </is>
      </c>
      <c r="D481" s="1" t="n">
        <v>45077</v>
      </c>
      <c r="E481" s="1" t="n">
        <v>46223</v>
      </c>
      <c r="F481" t="inlineStr">
        <is>
          <t>DALARNAS LÄN</t>
        </is>
      </c>
      <c r="G481" t="inlineStr">
        <is>
          <t>SMEDJEBACKEN</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57151-2022</t>
        </is>
      </c>
      <c r="B482" t="inlineStr">
        <is>
          <t>avverkningsanmälan</t>
        </is>
      </c>
      <c r="C482" t="inlineStr">
        <is>
          <t>Föryngringsavverkning</t>
        </is>
      </c>
      <c r="D482" s="1" t="n">
        <v>44895</v>
      </c>
      <c r="E482" s="1" t="n">
        <v>46223</v>
      </c>
      <c r="F482" t="inlineStr">
        <is>
          <t>DALARNAS LÄN</t>
        </is>
      </c>
      <c r="G482" t="inlineStr">
        <is>
          <t>SMEDJEBACKEN</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60086-2021</t>
        </is>
      </c>
      <c r="B483" t="inlineStr">
        <is>
          <t>avverkningsanmälan</t>
        </is>
      </c>
      <c r="C483" t="inlineStr">
        <is>
          <t>Föryngringsavverkning</t>
        </is>
      </c>
      <c r="D483" s="1" t="n">
        <v>44494</v>
      </c>
      <c r="E483" s="1" t="n">
        <v>46223</v>
      </c>
      <c r="F483" t="inlineStr">
        <is>
          <t>DALARNAS LÄN</t>
        </is>
      </c>
      <c r="G483" t="inlineStr">
        <is>
          <t>SMEDJEBACKEN</t>
        </is>
      </c>
      <c r="H483" t="inlineStr">
        <is>
          <t>Bergvik skog väst AB</t>
        </is>
      </c>
      <c r="I483" t="n">
        <v>2.3</v>
      </c>
      <c r="J483" t="n">
        <v>0</v>
      </c>
      <c r="K483" t="n">
        <v>0</v>
      </c>
      <c r="L483" t="n">
        <v>0</v>
      </c>
      <c r="M483" t="n">
        <v>0</v>
      </c>
      <c r="N483" t="n">
        <v>0</v>
      </c>
      <c r="O483" t="n">
        <v>0</v>
      </c>
      <c r="P483" t="n">
        <v>0</v>
      </c>
      <c r="Q483" t="n">
        <v>0</v>
      </c>
      <c r="R483" t="n">
        <v>0</v>
      </c>
      <c r="S483" t="n">
        <v>0</v>
      </c>
      <c r="T483" t="n">
        <v>0</v>
      </c>
      <c r="U483" s="2" t="inlineStr"/>
    </row>
    <row r="484" ht="15" customHeight="1">
      <c r="A484" t="inlineStr">
        <is>
          <t>A 63518-2021</t>
        </is>
      </c>
      <c r="B484" t="inlineStr">
        <is>
          <t>avverkningsanmälan</t>
        </is>
      </c>
      <c r="C484" t="inlineStr">
        <is>
          <t>Föryngringsavverkning</t>
        </is>
      </c>
      <c r="D484" s="1" t="n">
        <v>44508</v>
      </c>
      <c r="E484" s="1" t="n">
        <v>46223</v>
      </c>
      <c r="F484" t="inlineStr">
        <is>
          <t>DALARNAS LÄN</t>
        </is>
      </c>
      <c r="G484" t="inlineStr">
        <is>
          <t>SMEDJEBACKEN</t>
        </is>
      </c>
      <c r="H484" t="inlineStr">
        <is>
          <t>Sveaskog</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25118-2024</t>
        </is>
      </c>
      <c r="B485" t="inlineStr">
        <is>
          <t>avverkningsanmälan</t>
        </is>
      </c>
      <c r="C485" t="inlineStr">
        <is>
          <t>Föryngringsavverkning</t>
        </is>
      </c>
      <c r="D485" s="1" t="n">
        <v>45462</v>
      </c>
      <c r="E485" s="1" t="n">
        <v>46223</v>
      </c>
      <c r="F485" t="inlineStr">
        <is>
          <t>DALARNAS LÄN</t>
        </is>
      </c>
      <c r="G485" t="inlineStr">
        <is>
          <t>SMEDJEBACKEN</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25126-2024</t>
        </is>
      </c>
      <c r="B486" t="inlineStr">
        <is>
          <t>avverkningsanmälan</t>
        </is>
      </c>
      <c r="C486" t="inlineStr">
        <is>
          <t>Föryngringsavverkning</t>
        </is>
      </c>
      <c r="D486" s="1" t="n">
        <v>45462</v>
      </c>
      <c r="E486" s="1" t="n">
        <v>46223</v>
      </c>
      <c r="F486" t="inlineStr">
        <is>
          <t>DALARNAS LÄN</t>
        </is>
      </c>
      <c r="G486" t="inlineStr">
        <is>
          <t>SMEDJEBACKEN</t>
        </is>
      </c>
      <c r="I486" t="n">
        <v>2.6</v>
      </c>
      <c r="J486" t="n">
        <v>0</v>
      </c>
      <c r="K486" t="n">
        <v>0</v>
      </c>
      <c r="L486" t="n">
        <v>0</v>
      </c>
      <c r="M486" t="n">
        <v>0</v>
      </c>
      <c r="N486" t="n">
        <v>0</v>
      </c>
      <c r="O486" t="n">
        <v>0</v>
      </c>
      <c r="P486" t="n">
        <v>0</v>
      </c>
      <c r="Q486" t="n">
        <v>0</v>
      </c>
      <c r="R486" t="n">
        <v>0</v>
      </c>
      <c r="S486" t="n">
        <v>0</v>
      </c>
      <c r="T486" t="n">
        <v>0</v>
      </c>
      <c r="U486" s="2" t="inlineStr"/>
    </row>
    <row r="487" ht="15" customHeight="1">
      <c r="A487" t="inlineStr">
        <is>
          <t>A 2046-2024</t>
        </is>
      </c>
      <c r="B487" t="inlineStr">
        <is>
          <t>avverkningsanmälan</t>
        </is>
      </c>
      <c r="C487" t="inlineStr">
        <is>
          <t>Föryngringsavverkning</t>
        </is>
      </c>
      <c r="D487" s="1" t="n">
        <v>45308</v>
      </c>
      <c r="E487" s="1" t="n">
        <v>46223</v>
      </c>
      <c r="F487" t="inlineStr">
        <is>
          <t>DALARNAS LÄN</t>
        </is>
      </c>
      <c r="G487" t="inlineStr">
        <is>
          <t>SMEDJEBACKEN</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26899-2024</t>
        </is>
      </c>
      <c r="B488" t="inlineStr">
        <is>
          <t>avverkningsanmälan</t>
        </is>
      </c>
      <c r="C488" t="inlineStr">
        <is>
          <t>Föryngringsavverkning</t>
        </is>
      </c>
      <c r="D488" s="1" t="n">
        <v>45470</v>
      </c>
      <c r="E488" s="1" t="n">
        <v>46223</v>
      </c>
      <c r="F488" t="inlineStr">
        <is>
          <t>DALARNAS LÄN</t>
        </is>
      </c>
      <c r="G488" t="inlineStr">
        <is>
          <t>SMEDJEBACKEN</t>
        </is>
      </c>
      <c r="I488" t="n">
        <v>2.2</v>
      </c>
      <c r="J488" t="n">
        <v>0</v>
      </c>
      <c r="K488" t="n">
        <v>0</v>
      </c>
      <c r="L488" t="n">
        <v>0</v>
      </c>
      <c r="M488" t="n">
        <v>0</v>
      </c>
      <c r="N488" t="n">
        <v>0</v>
      </c>
      <c r="O488" t="n">
        <v>0</v>
      </c>
      <c r="P488" t="n">
        <v>0</v>
      </c>
      <c r="Q488" t="n">
        <v>0</v>
      </c>
      <c r="R488" t="n">
        <v>0</v>
      </c>
      <c r="S488" t="n">
        <v>0</v>
      </c>
      <c r="T488" t="n">
        <v>0</v>
      </c>
      <c r="U488" s="2" t="inlineStr"/>
    </row>
    <row r="489" ht="15" customHeight="1">
      <c r="A489" t="inlineStr">
        <is>
          <t>A 39085-2021</t>
        </is>
      </c>
      <c r="B489" t="inlineStr">
        <is>
          <t>avverkningsanmälan</t>
        </is>
      </c>
      <c r="C489" t="inlineStr">
        <is>
          <t>Föryngringsavverkning</t>
        </is>
      </c>
      <c r="D489" s="1" t="n">
        <v>44412</v>
      </c>
      <c r="E489" s="1" t="n">
        <v>46223</v>
      </c>
      <c r="F489" t="inlineStr">
        <is>
          <t>DALARNAS LÄN</t>
        </is>
      </c>
      <c r="G489" t="inlineStr">
        <is>
          <t>SMEDJEBACKEN</t>
        </is>
      </c>
      <c r="I489" t="n">
        <v>5.2</v>
      </c>
      <c r="J489" t="n">
        <v>0</v>
      </c>
      <c r="K489" t="n">
        <v>0</v>
      </c>
      <c r="L489" t="n">
        <v>0</v>
      </c>
      <c r="M489" t="n">
        <v>0</v>
      </c>
      <c r="N489" t="n">
        <v>0</v>
      </c>
      <c r="O489" t="n">
        <v>0</v>
      </c>
      <c r="P489" t="n">
        <v>0</v>
      </c>
      <c r="Q489" t="n">
        <v>0</v>
      </c>
      <c r="R489" t="n">
        <v>0</v>
      </c>
      <c r="S489" t="n">
        <v>0</v>
      </c>
      <c r="T489" t="n">
        <v>0</v>
      </c>
      <c r="U489" s="2" t="inlineStr"/>
    </row>
    <row r="490" ht="15" customHeight="1">
      <c r="A490" t="inlineStr">
        <is>
          <t>A 19527-2026</t>
        </is>
      </c>
      <c r="B490" t="inlineStr">
        <is>
          <t>avverkningsanmälan</t>
        </is>
      </c>
      <c r="C490" t="inlineStr">
        <is>
          <t>Föryngringsavverkning</t>
        </is>
      </c>
      <c r="D490" s="1" t="n">
        <v>46134</v>
      </c>
      <c r="E490" s="1" t="n">
        <v>46223</v>
      </c>
      <c r="F490" t="inlineStr">
        <is>
          <t>DALARNAS LÄN</t>
        </is>
      </c>
      <c r="G490" t="inlineStr">
        <is>
          <t>SMEDJEBACKEN</t>
        </is>
      </c>
      <c r="H490" t="inlineStr">
        <is>
          <t>Sveaskog</t>
        </is>
      </c>
      <c r="I490" t="n">
        <v>1.6</v>
      </c>
      <c r="J490" t="n">
        <v>0</v>
      </c>
      <c r="K490" t="n">
        <v>0</v>
      </c>
      <c r="L490" t="n">
        <v>0</v>
      </c>
      <c r="M490" t="n">
        <v>0</v>
      </c>
      <c r="N490" t="n">
        <v>0</v>
      </c>
      <c r="O490" t="n">
        <v>0</v>
      </c>
      <c r="P490" t="n">
        <v>0</v>
      </c>
      <c r="Q490" t="n">
        <v>0</v>
      </c>
      <c r="R490" t="n">
        <v>0</v>
      </c>
      <c r="S490" t="n">
        <v>0</v>
      </c>
      <c r="T490" t="n">
        <v>0</v>
      </c>
      <c r="U490" s="2" t="inlineStr"/>
    </row>
    <row r="491" ht="15" customHeight="1">
      <c r="A491" t="inlineStr">
        <is>
          <t>A 38356-2024</t>
        </is>
      </c>
      <c r="B491" t="inlineStr">
        <is>
          <t>avverkningsanmälan</t>
        </is>
      </c>
      <c r="C491" t="inlineStr">
        <is>
          <t>Föryngringsavverkning</t>
        </is>
      </c>
      <c r="D491" s="1" t="n">
        <v>45545</v>
      </c>
      <c r="E491" s="1" t="n">
        <v>46223</v>
      </c>
      <c r="F491" t="inlineStr">
        <is>
          <t>DALARNAS LÄN</t>
        </is>
      </c>
      <c r="G491" t="inlineStr">
        <is>
          <t>SMEDJEBACKEN</t>
        </is>
      </c>
      <c r="I491" t="n">
        <v>0.7</v>
      </c>
      <c r="J491" t="n">
        <v>0</v>
      </c>
      <c r="K491" t="n">
        <v>0</v>
      </c>
      <c r="L491" t="n">
        <v>0</v>
      </c>
      <c r="M491" t="n">
        <v>0</v>
      </c>
      <c r="N491" t="n">
        <v>0</v>
      </c>
      <c r="O491" t="n">
        <v>0</v>
      </c>
      <c r="P491" t="n">
        <v>0</v>
      </c>
      <c r="Q491" t="n">
        <v>0</v>
      </c>
      <c r="R491" t="n">
        <v>0</v>
      </c>
      <c r="S491" t="n">
        <v>0</v>
      </c>
      <c r="T491" t="n">
        <v>0</v>
      </c>
      <c r="U491" s="2" t="inlineStr"/>
    </row>
    <row r="492" ht="15" customHeight="1">
      <c r="A492" t="inlineStr">
        <is>
          <t>A 53718-2022</t>
        </is>
      </c>
      <c r="B492" t="inlineStr">
        <is>
          <t>avverkningsanmälan</t>
        </is>
      </c>
      <c r="C492" t="inlineStr">
        <is>
          <t>Föryngringsavverkning</t>
        </is>
      </c>
      <c r="D492" s="1" t="n">
        <v>44880</v>
      </c>
      <c r="E492" s="1" t="n">
        <v>46223</v>
      </c>
      <c r="F492" t="inlineStr">
        <is>
          <t>DALARNAS LÄN</t>
        </is>
      </c>
      <c r="G492" t="inlineStr">
        <is>
          <t>SMEDJEBACKEN</t>
        </is>
      </c>
      <c r="H492" t="inlineStr">
        <is>
          <t>Sveaskog</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22627-2026</t>
        </is>
      </c>
      <c r="B493" t="inlineStr">
        <is>
          <t>avverkningsanmälan</t>
        </is>
      </c>
      <c r="C493" t="inlineStr">
        <is>
          <t>Föryngringsavverkning</t>
        </is>
      </c>
      <c r="D493" s="1" t="n">
        <v>46155</v>
      </c>
      <c r="E493" s="1" t="n">
        <v>46223</v>
      </c>
      <c r="F493" t="inlineStr">
        <is>
          <t>DALARNAS LÄN</t>
        </is>
      </c>
      <c r="G493" t="inlineStr">
        <is>
          <t>SMEDJEBACKEN</t>
        </is>
      </c>
      <c r="H493" t="inlineStr">
        <is>
          <t>Sveaskog</t>
        </is>
      </c>
      <c r="I493" t="n">
        <v>7.1</v>
      </c>
      <c r="J493" t="n">
        <v>0</v>
      </c>
      <c r="K493" t="n">
        <v>0</v>
      </c>
      <c r="L493" t="n">
        <v>0</v>
      </c>
      <c r="M493" t="n">
        <v>0</v>
      </c>
      <c r="N493" t="n">
        <v>0</v>
      </c>
      <c r="O493" t="n">
        <v>0</v>
      </c>
      <c r="P493" t="n">
        <v>0</v>
      </c>
      <c r="Q493" t="n">
        <v>0</v>
      </c>
      <c r="R493" t="n">
        <v>0</v>
      </c>
      <c r="S493" t="n">
        <v>0</v>
      </c>
      <c r="T493" t="n">
        <v>0</v>
      </c>
      <c r="U493" s="2" t="inlineStr"/>
    </row>
    <row r="494" ht="15" customHeight="1">
      <c r="A494" t="inlineStr">
        <is>
          <t>A 55717-2022</t>
        </is>
      </c>
      <c r="B494" t="inlineStr">
        <is>
          <t>avverkningsanmälan</t>
        </is>
      </c>
      <c r="C494" t="inlineStr">
        <is>
          <t>Föryngringsavverkning</t>
        </is>
      </c>
      <c r="D494" s="1" t="n">
        <v>44888</v>
      </c>
      <c r="E494" s="1" t="n">
        <v>46223</v>
      </c>
      <c r="F494" t="inlineStr">
        <is>
          <t>DALARNAS LÄN</t>
        </is>
      </c>
      <c r="G494" t="inlineStr">
        <is>
          <t>SMEDJEBACKEN</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54382-2021</t>
        </is>
      </c>
      <c r="B495" t="inlineStr">
        <is>
          <t>avverkningsanmälan</t>
        </is>
      </c>
      <c r="C495" t="inlineStr">
        <is>
          <t>Föryngringsavverkning</t>
        </is>
      </c>
      <c r="D495" s="1" t="n">
        <v>44473</v>
      </c>
      <c r="E495" s="1" t="n">
        <v>46223</v>
      </c>
      <c r="F495" t="inlineStr">
        <is>
          <t>DALARNAS LÄN</t>
        </is>
      </c>
      <c r="G495" t="inlineStr">
        <is>
          <t>SMEDJEBACKEN</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22775-2026</t>
        </is>
      </c>
      <c r="B496" t="inlineStr">
        <is>
          <t>avverkningsanmälan</t>
        </is>
      </c>
      <c r="C496" t="inlineStr">
        <is>
          <t>Avverkning för annat ändamål</t>
        </is>
      </c>
      <c r="D496" s="1" t="n">
        <v>46157</v>
      </c>
      <c r="E496" s="1" t="n">
        <v>46223</v>
      </c>
      <c r="F496" t="inlineStr">
        <is>
          <t>DALARNAS LÄN</t>
        </is>
      </c>
      <c r="G496" t="inlineStr">
        <is>
          <t>SMEDJEBACKEN</t>
        </is>
      </c>
      <c r="H496" t="inlineStr">
        <is>
          <t>Sveaskog</t>
        </is>
      </c>
      <c r="I496" t="n">
        <v>0.3</v>
      </c>
      <c r="J496" t="n">
        <v>0</v>
      </c>
      <c r="K496" t="n">
        <v>0</v>
      </c>
      <c r="L496" t="n">
        <v>0</v>
      </c>
      <c r="M496" t="n">
        <v>0</v>
      </c>
      <c r="N496" t="n">
        <v>0</v>
      </c>
      <c r="O496" t="n">
        <v>0</v>
      </c>
      <c r="P496" t="n">
        <v>0</v>
      </c>
      <c r="Q496" t="n">
        <v>0</v>
      </c>
      <c r="R496" t="n">
        <v>0</v>
      </c>
      <c r="S496" t="n">
        <v>0</v>
      </c>
      <c r="T496" t="n">
        <v>0</v>
      </c>
      <c r="U496" s="2" t="inlineStr"/>
    </row>
    <row r="497" ht="15" customHeight="1">
      <c r="A497" t="inlineStr">
        <is>
          <t>A 29289-2026</t>
        </is>
      </c>
      <c r="B497" t="inlineStr">
        <is>
          <t>avverkningsanmälan</t>
        </is>
      </c>
      <c r="C497" t="inlineStr">
        <is>
          <t>Föryngringsavverkning</t>
        </is>
      </c>
      <c r="D497" s="1" t="n">
        <v>46202</v>
      </c>
      <c r="E497" s="1" t="n">
        <v>46223</v>
      </c>
      <c r="F497" t="inlineStr">
        <is>
          <t>DALARNAS LÄN</t>
        </is>
      </c>
      <c r="G497" t="inlineStr">
        <is>
          <t>SMEDJEBACKEN</t>
        </is>
      </c>
      <c r="H497" t="inlineStr">
        <is>
          <t>Sveaskog</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29294-2026</t>
        </is>
      </c>
      <c r="B498" t="inlineStr">
        <is>
          <t>avverkningsanmälan</t>
        </is>
      </c>
      <c r="C498" t="inlineStr">
        <is>
          <t>Föryngringsavverkning</t>
        </is>
      </c>
      <c r="D498" s="1" t="n">
        <v>46202</v>
      </c>
      <c r="E498" s="1" t="n">
        <v>46223</v>
      </c>
      <c r="F498" t="inlineStr">
        <is>
          <t>DALARNAS LÄN</t>
        </is>
      </c>
      <c r="G498" t="inlineStr">
        <is>
          <t>SMEDJEBACKEN</t>
        </is>
      </c>
      <c r="I498" t="n">
        <v>3.6</v>
      </c>
      <c r="J498" t="n">
        <v>0</v>
      </c>
      <c r="K498" t="n">
        <v>0</v>
      </c>
      <c r="L498" t="n">
        <v>0</v>
      </c>
      <c r="M498" t="n">
        <v>0</v>
      </c>
      <c r="N498" t="n">
        <v>0</v>
      </c>
      <c r="O498" t="n">
        <v>0</v>
      </c>
      <c r="P498" t="n">
        <v>0</v>
      </c>
      <c r="Q498" t="n">
        <v>0</v>
      </c>
      <c r="R498" t="n">
        <v>0</v>
      </c>
      <c r="S498" t="n">
        <v>0</v>
      </c>
      <c r="T498" t="n">
        <v>0</v>
      </c>
      <c r="U498" s="2" t="inlineStr"/>
    </row>
    <row r="499" ht="15" customHeight="1">
      <c r="A499" t="inlineStr">
        <is>
          <t>A 43909-2024</t>
        </is>
      </c>
      <c r="B499" t="inlineStr">
        <is>
          <t>avverkningsanmälan</t>
        </is>
      </c>
      <c r="C499" t="inlineStr">
        <is>
          <t>Föryngringsavverkning</t>
        </is>
      </c>
      <c r="D499" s="1" t="n">
        <v>45572</v>
      </c>
      <c r="E499" s="1" t="n">
        <v>46223</v>
      </c>
      <c r="F499" t="inlineStr">
        <is>
          <t>DALARNAS LÄN</t>
        </is>
      </c>
      <c r="G499" t="inlineStr">
        <is>
          <t>SMEDJEBACKEN</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29068-2026</t>
        </is>
      </c>
      <c r="B500" t="inlineStr">
        <is>
          <t>avverkningsanmälan</t>
        </is>
      </c>
      <c r="C500" t="inlineStr">
        <is>
          <t>Föryngringsavverkning</t>
        </is>
      </c>
      <c r="D500" s="1" t="n">
        <v>46199</v>
      </c>
      <c r="E500" s="1" t="n">
        <v>46223</v>
      </c>
      <c r="F500" t="inlineStr">
        <is>
          <t>DALARNAS LÄN</t>
        </is>
      </c>
      <c r="G500" t="inlineStr">
        <is>
          <t>SMEDJEBACKEN</t>
        </is>
      </c>
      <c r="H500" t="inlineStr">
        <is>
          <t>Sveaskog</t>
        </is>
      </c>
      <c r="I500" t="n">
        <v>4.2</v>
      </c>
      <c r="J500" t="n">
        <v>0</v>
      </c>
      <c r="K500" t="n">
        <v>0</v>
      </c>
      <c r="L500" t="n">
        <v>0</v>
      </c>
      <c r="M500" t="n">
        <v>0</v>
      </c>
      <c r="N500" t="n">
        <v>0</v>
      </c>
      <c r="O500" t="n">
        <v>0</v>
      </c>
      <c r="P500" t="n">
        <v>0</v>
      </c>
      <c r="Q500" t="n">
        <v>0</v>
      </c>
      <c r="R500" t="n">
        <v>0</v>
      </c>
      <c r="S500" t="n">
        <v>0</v>
      </c>
      <c r="T500" t="n">
        <v>0</v>
      </c>
      <c r="U500" s="2" t="inlineStr"/>
    </row>
    <row r="501" ht="15" customHeight="1">
      <c r="A501" t="inlineStr">
        <is>
          <t>A 32016-2022</t>
        </is>
      </c>
      <c r="B501" t="inlineStr">
        <is>
          <t>avverkningsanmälan</t>
        </is>
      </c>
      <c r="C501" t="inlineStr">
        <is>
          <t>Föryngringsavverkning</t>
        </is>
      </c>
      <c r="D501" s="1" t="n">
        <v>44778</v>
      </c>
      <c r="E501" s="1" t="n">
        <v>46223</v>
      </c>
      <c r="F501" t="inlineStr">
        <is>
          <t>DALARNAS LÄN</t>
        </is>
      </c>
      <c r="G501" t="inlineStr">
        <is>
          <t>SMEDJEBACKEN</t>
        </is>
      </c>
      <c r="I501" t="n">
        <v>1.1</v>
      </c>
      <c r="J501" t="n">
        <v>0</v>
      </c>
      <c r="K501" t="n">
        <v>0</v>
      </c>
      <c r="L501" t="n">
        <v>0</v>
      </c>
      <c r="M501" t="n">
        <v>0</v>
      </c>
      <c r="N501" t="n">
        <v>0</v>
      </c>
      <c r="O501" t="n">
        <v>0</v>
      </c>
      <c r="P501" t="n">
        <v>0</v>
      </c>
      <c r="Q501" t="n">
        <v>0</v>
      </c>
      <c r="R501" t="n">
        <v>0</v>
      </c>
      <c r="S501" t="n">
        <v>0</v>
      </c>
      <c r="T501" t="n">
        <v>0</v>
      </c>
      <c r="U501" s="2" t="inlineStr"/>
    </row>
    <row r="502" ht="15" customHeight="1">
      <c r="A502" t="inlineStr">
        <is>
          <t>A 6720-2023</t>
        </is>
      </c>
      <c r="B502" t="inlineStr">
        <is>
          <t>avverkningsanmälan</t>
        </is>
      </c>
      <c r="C502" t="inlineStr">
        <is>
          <t>Föryngringsavverkning</t>
        </is>
      </c>
      <c r="D502" s="1" t="n">
        <v>44966</v>
      </c>
      <c r="E502" s="1" t="n">
        <v>46223</v>
      </c>
      <c r="F502" t="inlineStr">
        <is>
          <t>DALARNAS LÄN</t>
        </is>
      </c>
      <c r="G502" t="inlineStr">
        <is>
          <t>SMEDJEBACKEN</t>
        </is>
      </c>
      <c r="I502" t="n">
        <v>2.4</v>
      </c>
      <c r="J502" t="n">
        <v>0</v>
      </c>
      <c r="K502" t="n">
        <v>0</v>
      </c>
      <c r="L502" t="n">
        <v>0</v>
      </c>
      <c r="M502" t="n">
        <v>0</v>
      </c>
      <c r="N502" t="n">
        <v>0</v>
      </c>
      <c r="O502" t="n">
        <v>0</v>
      </c>
      <c r="P502" t="n">
        <v>0</v>
      </c>
      <c r="Q502" t="n">
        <v>0</v>
      </c>
      <c r="R502" t="n">
        <v>0</v>
      </c>
      <c r="S502" t="n">
        <v>0</v>
      </c>
      <c r="T502" t="n">
        <v>0</v>
      </c>
      <c r="U502" s="2" t="inlineStr"/>
    </row>
    <row r="503" ht="15" customHeight="1">
      <c r="A503" t="inlineStr">
        <is>
          <t>A 6722-2023</t>
        </is>
      </c>
      <c r="B503" t="inlineStr">
        <is>
          <t>avverkningsanmälan</t>
        </is>
      </c>
      <c r="C503" t="inlineStr">
        <is>
          <t>Föryngringsavverkning</t>
        </is>
      </c>
      <c r="D503" s="1" t="n">
        <v>44966</v>
      </c>
      <c r="E503" s="1" t="n">
        <v>46223</v>
      </c>
      <c r="F503" t="inlineStr">
        <is>
          <t>DALARNAS LÄN</t>
        </is>
      </c>
      <c r="G503" t="inlineStr">
        <is>
          <t>SMEDJEBACKEN</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19524-2026</t>
        </is>
      </c>
      <c r="B504" t="inlineStr">
        <is>
          <t>avverkningsanmälan</t>
        </is>
      </c>
      <c r="C504" t="inlineStr">
        <is>
          <t>Föryngringsavverkning</t>
        </is>
      </c>
      <c r="D504" s="1" t="n">
        <v>46134</v>
      </c>
      <c r="E504" s="1" t="n">
        <v>46223</v>
      </c>
      <c r="F504" t="inlineStr">
        <is>
          <t>DALARNAS LÄN</t>
        </is>
      </c>
      <c r="G504" t="inlineStr">
        <is>
          <t>SMEDJEBACKEN</t>
        </is>
      </c>
      <c r="H504" t="inlineStr">
        <is>
          <t>Sveaskog</t>
        </is>
      </c>
      <c r="I504" t="n">
        <v>6.2</v>
      </c>
      <c r="J504" t="n">
        <v>0</v>
      </c>
      <c r="K504" t="n">
        <v>0</v>
      </c>
      <c r="L504" t="n">
        <v>0</v>
      </c>
      <c r="M504" t="n">
        <v>0</v>
      </c>
      <c r="N504" t="n">
        <v>0</v>
      </c>
      <c r="O504" t="n">
        <v>0</v>
      </c>
      <c r="P504" t="n">
        <v>0</v>
      </c>
      <c r="Q504" t="n">
        <v>0</v>
      </c>
      <c r="R504" t="n">
        <v>0</v>
      </c>
      <c r="S504" t="n">
        <v>0</v>
      </c>
      <c r="T504" t="n">
        <v>0</v>
      </c>
      <c r="U504" s="2" t="inlineStr"/>
    </row>
    <row r="505" ht="15" customHeight="1">
      <c r="A505" t="inlineStr">
        <is>
          <t>A 29067-2026</t>
        </is>
      </c>
      <c r="B505" t="inlineStr">
        <is>
          <t>avverkningsanmälan</t>
        </is>
      </c>
      <c r="C505" t="inlineStr">
        <is>
          <t>Avverkning för att bevara och utveckla /försöksver</t>
        </is>
      </c>
      <c r="D505" s="1" t="n">
        <v>46199</v>
      </c>
      <c r="E505" s="1" t="n">
        <v>46223</v>
      </c>
      <c r="F505" t="inlineStr">
        <is>
          <t>DALARNAS LÄN</t>
        </is>
      </c>
      <c r="G505" t="inlineStr">
        <is>
          <t>SMEDJEBACKEN</t>
        </is>
      </c>
      <c r="H505" t="inlineStr">
        <is>
          <t>Sveaskog</t>
        </is>
      </c>
      <c r="I505" t="n">
        <v>2.3</v>
      </c>
      <c r="J505" t="n">
        <v>0</v>
      </c>
      <c r="K505" t="n">
        <v>0</v>
      </c>
      <c r="L505" t="n">
        <v>0</v>
      </c>
      <c r="M505" t="n">
        <v>0</v>
      </c>
      <c r="N505" t="n">
        <v>0</v>
      </c>
      <c r="O505" t="n">
        <v>0</v>
      </c>
      <c r="P505" t="n">
        <v>0</v>
      </c>
      <c r="Q505" t="n">
        <v>0</v>
      </c>
      <c r="R505" t="n">
        <v>0</v>
      </c>
      <c r="S505" t="n">
        <v>0</v>
      </c>
      <c r="T505" t="n">
        <v>0</v>
      </c>
      <c r="U505" s="2" t="inlineStr"/>
    </row>
    <row r="506" ht="15" customHeight="1">
      <c r="A506" t="inlineStr">
        <is>
          <t>A 29069-2026</t>
        </is>
      </c>
      <c r="B506" t="inlineStr">
        <is>
          <t>avverkningsanmälan</t>
        </is>
      </c>
      <c r="C506" t="inlineStr">
        <is>
          <t>Föryngringsavverkning</t>
        </is>
      </c>
      <c r="D506" s="1" t="n">
        <v>46199</v>
      </c>
      <c r="E506" s="1" t="n">
        <v>46223</v>
      </c>
      <c r="F506" t="inlineStr">
        <is>
          <t>DALARNAS LÄN</t>
        </is>
      </c>
      <c r="G506" t="inlineStr">
        <is>
          <t>SMEDJEBACKEN</t>
        </is>
      </c>
      <c r="H506" t="inlineStr">
        <is>
          <t>Sveaskog</t>
        </is>
      </c>
      <c r="I506" t="n">
        <v>2.7</v>
      </c>
      <c r="J506" t="n">
        <v>0</v>
      </c>
      <c r="K506" t="n">
        <v>0</v>
      </c>
      <c r="L506" t="n">
        <v>0</v>
      </c>
      <c r="M506" t="n">
        <v>0</v>
      </c>
      <c r="N506" t="n">
        <v>0</v>
      </c>
      <c r="O506" t="n">
        <v>0</v>
      </c>
      <c r="P506" t="n">
        <v>0</v>
      </c>
      <c r="Q506" t="n">
        <v>0</v>
      </c>
      <c r="R506" t="n">
        <v>0</v>
      </c>
      <c r="S506" t="n">
        <v>0</v>
      </c>
      <c r="T506" t="n">
        <v>0</v>
      </c>
      <c r="U506" s="2" t="inlineStr"/>
    </row>
    <row r="507" ht="15" customHeight="1">
      <c r="A507" t="inlineStr">
        <is>
          <t>A 22763-2026</t>
        </is>
      </c>
      <c r="B507" t="inlineStr">
        <is>
          <t>avverkningsanmälan</t>
        </is>
      </c>
      <c r="C507" t="inlineStr">
        <is>
          <t>Föryngringsavverkning</t>
        </is>
      </c>
      <c r="D507" s="1" t="n">
        <v>46157</v>
      </c>
      <c r="E507" s="1" t="n">
        <v>46223</v>
      </c>
      <c r="F507" t="inlineStr">
        <is>
          <t>DALARNAS LÄN</t>
        </is>
      </c>
      <c r="G507" t="inlineStr">
        <is>
          <t>SMEDJEBACKEN</t>
        </is>
      </c>
      <c r="I507" t="n">
        <v>2</v>
      </c>
      <c r="J507" t="n">
        <v>0</v>
      </c>
      <c r="K507" t="n">
        <v>0</v>
      </c>
      <c r="L507" t="n">
        <v>0</v>
      </c>
      <c r="M507" t="n">
        <v>0</v>
      </c>
      <c r="N507" t="n">
        <v>0</v>
      </c>
      <c r="O507" t="n">
        <v>0</v>
      </c>
      <c r="P507" t="n">
        <v>0</v>
      </c>
      <c r="Q507" t="n">
        <v>0</v>
      </c>
      <c r="R507" t="n">
        <v>0</v>
      </c>
      <c r="S507" t="n">
        <v>0</v>
      </c>
      <c r="T507" t="n">
        <v>0</v>
      </c>
      <c r="U507" s="2" t="inlineStr"/>
    </row>
    <row r="508" ht="15" customHeight="1">
      <c r="A508" t="inlineStr">
        <is>
          <t>A 29287-2026</t>
        </is>
      </c>
      <c r="B508" t="inlineStr">
        <is>
          <t>avverkningsanmälan</t>
        </is>
      </c>
      <c r="C508" t="inlineStr">
        <is>
          <t>Föryngringsavverkning</t>
        </is>
      </c>
      <c r="D508" s="1" t="n">
        <v>46202</v>
      </c>
      <c r="E508" s="1" t="n">
        <v>46223</v>
      </c>
      <c r="F508" t="inlineStr">
        <is>
          <t>DALARNAS LÄN</t>
        </is>
      </c>
      <c r="G508" t="inlineStr">
        <is>
          <t>SMEDJEBACKEN</t>
        </is>
      </c>
      <c r="H508" t="inlineStr">
        <is>
          <t>Sveaskog</t>
        </is>
      </c>
      <c r="I508" t="n">
        <v>1.2</v>
      </c>
      <c r="J508" t="n">
        <v>0</v>
      </c>
      <c r="K508" t="n">
        <v>0</v>
      </c>
      <c r="L508" t="n">
        <v>0</v>
      </c>
      <c r="M508" t="n">
        <v>0</v>
      </c>
      <c r="N508" t="n">
        <v>0</v>
      </c>
      <c r="O508" t="n">
        <v>0</v>
      </c>
      <c r="P508" t="n">
        <v>0</v>
      </c>
      <c r="Q508" t="n">
        <v>0</v>
      </c>
      <c r="R508" t="n">
        <v>0</v>
      </c>
      <c r="S508" t="n">
        <v>0</v>
      </c>
      <c r="T508" t="n">
        <v>0</v>
      </c>
      <c r="U508" s="2" t="inlineStr"/>
    </row>
    <row r="509" ht="15" customHeight="1">
      <c r="A509" t="inlineStr">
        <is>
          <t>A 29288-2026</t>
        </is>
      </c>
      <c r="B509" t="inlineStr">
        <is>
          <t>avverkningsanmälan</t>
        </is>
      </c>
      <c r="C509" t="inlineStr">
        <is>
          <t>Föryngringsavverkning</t>
        </is>
      </c>
      <c r="D509" s="1" t="n">
        <v>46202</v>
      </c>
      <c r="E509" s="1" t="n">
        <v>46223</v>
      </c>
      <c r="F509" t="inlineStr">
        <is>
          <t>DALARNAS LÄN</t>
        </is>
      </c>
      <c r="G509" t="inlineStr">
        <is>
          <t>SMEDJEBACKEN</t>
        </is>
      </c>
      <c r="H509" t="inlineStr">
        <is>
          <t>Sveaskog</t>
        </is>
      </c>
      <c r="I509" t="n">
        <v>1</v>
      </c>
      <c r="J509" t="n">
        <v>0</v>
      </c>
      <c r="K509" t="n">
        <v>0</v>
      </c>
      <c r="L509" t="n">
        <v>0</v>
      </c>
      <c r="M509" t="n">
        <v>0</v>
      </c>
      <c r="N509" t="n">
        <v>0</v>
      </c>
      <c r="O509" t="n">
        <v>0</v>
      </c>
      <c r="P509" t="n">
        <v>0</v>
      </c>
      <c r="Q509" t="n">
        <v>0</v>
      </c>
      <c r="R509" t="n">
        <v>0</v>
      </c>
      <c r="S509" t="n">
        <v>0</v>
      </c>
      <c r="T509" t="n">
        <v>0</v>
      </c>
      <c r="U509" s="2" t="inlineStr"/>
    </row>
    <row r="510" ht="15" customHeight="1">
      <c r="A510" t="inlineStr">
        <is>
          <t>A 29290-2026</t>
        </is>
      </c>
      <c r="B510" t="inlineStr">
        <is>
          <t>avverkningsanmälan</t>
        </is>
      </c>
      <c r="C510" t="inlineStr">
        <is>
          <t>Föryngringsavverkning</t>
        </is>
      </c>
      <c r="D510" s="1" t="n">
        <v>46202</v>
      </c>
      <c r="E510" s="1" t="n">
        <v>46223</v>
      </c>
      <c r="F510" t="inlineStr">
        <is>
          <t>DALARNAS LÄN</t>
        </is>
      </c>
      <c r="G510" t="inlineStr">
        <is>
          <t>SMEDJEBACKEN</t>
        </is>
      </c>
      <c r="H510" t="inlineStr">
        <is>
          <t>Sveaskog</t>
        </is>
      </c>
      <c r="I510" t="n">
        <v>5.3</v>
      </c>
      <c r="J510" t="n">
        <v>0</v>
      </c>
      <c r="K510" t="n">
        <v>0</v>
      </c>
      <c r="L510" t="n">
        <v>0</v>
      </c>
      <c r="M510" t="n">
        <v>0</v>
      </c>
      <c r="N510" t="n">
        <v>0</v>
      </c>
      <c r="O510" t="n">
        <v>0</v>
      </c>
      <c r="P510" t="n">
        <v>0</v>
      </c>
      <c r="Q510" t="n">
        <v>0</v>
      </c>
      <c r="R510" t="n">
        <v>0</v>
      </c>
      <c r="S510" t="n">
        <v>0</v>
      </c>
      <c r="T510" t="n">
        <v>0</v>
      </c>
      <c r="U510" s="2" t="inlineStr"/>
    </row>
    <row r="511" ht="15" customHeight="1">
      <c r="A511" t="inlineStr">
        <is>
          <t>A 23372-2026</t>
        </is>
      </c>
      <c r="B511" t="inlineStr">
        <is>
          <t>avverkningsanmälan</t>
        </is>
      </c>
      <c r="C511" t="inlineStr">
        <is>
          <t>Föryngringsavverkning</t>
        </is>
      </c>
      <c r="D511" s="1" t="n">
        <v>46162</v>
      </c>
      <c r="E511" s="1" t="n">
        <v>46223</v>
      </c>
      <c r="F511" t="inlineStr">
        <is>
          <t>DALARNAS LÄN</t>
        </is>
      </c>
      <c r="G511" t="inlineStr">
        <is>
          <t>SMEDJEBACKEN</t>
        </is>
      </c>
      <c r="H511" t="inlineStr">
        <is>
          <t>Sveaskog</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23374-2026</t>
        </is>
      </c>
      <c r="B512" t="inlineStr">
        <is>
          <t>avverkningsanmälan</t>
        </is>
      </c>
      <c r="C512" t="inlineStr">
        <is>
          <t>Avverkning för att bevara och utveckla /försöksver</t>
        </is>
      </c>
      <c r="D512" s="1" t="n">
        <v>46162</v>
      </c>
      <c r="E512" s="1" t="n">
        <v>46223</v>
      </c>
      <c r="F512" t="inlineStr">
        <is>
          <t>DALARNAS LÄN</t>
        </is>
      </c>
      <c r="G512" t="inlineStr">
        <is>
          <t>SMEDJEBACKEN</t>
        </is>
      </c>
      <c r="H512" t="inlineStr">
        <is>
          <t>Sveaskog</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49535-2024</t>
        </is>
      </c>
      <c r="B513" t="inlineStr">
        <is>
          <t>avverkningsanmälan</t>
        </is>
      </c>
      <c r="C513" t="inlineStr">
        <is>
          <t>Föryngringsavverkning</t>
        </is>
      </c>
      <c r="D513" s="1" t="n">
        <v>45596</v>
      </c>
      <c r="E513" s="1" t="n">
        <v>46223</v>
      </c>
      <c r="F513" t="inlineStr">
        <is>
          <t>DALARNAS LÄN</t>
        </is>
      </c>
      <c r="G513" t="inlineStr">
        <is>
          <t>SMEDJEBACKEN</t>
        </is>
      </c>
      <c r="I513" t="n">
        <v>5.1</v>
      </c>
      <c r="J513" t="n">
        <v>0</v>
      </c>
      <c r="K513" t="n">
        <v>0</v>
      </c>
      <c r="L513" t="n">
        <v>0</v>
      </c>
      <c r="M513" t="n">
        <v>0</v>
      </c>
      <c r="N513" t="n">
        <v>0</v>
      </c>
      <c r="O513" t="n">
        <v>0</v>
      </c>
      <c r="P513" t="n">
        <v>0</v>
      </c>
      <c r="Q513" t="n">
        <v>0</v>
      </c>
      <c r="R513" t="n">
        <v>0</v>
      </c>
      <c r="S513" t="n">
        <v>0</v>
      </c>
      <c r="T513" t="n">
        <v>0</v>
      </c>
      <c r="U513" s="2" t="inlineStr"/>
    </row>
    <row r="514" ht="15" customHeight="1">
      <c r="A514" t="inlineStr">
        <is>
          <t>A 29460-2026</t>
        </is>
      </c>
      <c r="B514" t="inlineStr">
        <is>
          <t>avverkningsanmälan</t>
        </is>
      </c>
      <c r="C514" t="inlineStr">
        <is>
          <t>Föryngringsavverkning</t>
        </is>
      </c>
      <c r="D514" s="1" t="n">
        <v>46203</v>
      </c>
      <c r="E514" s="1" t="n">
        <v>46223</v>
      </c>
      <c r="F514" t="inlineStr">
        <is>
          <t>DALARNAS LÄN</t>
        </is>
      </c>
      <c r="G514" t="inlineStr">
        <is>
          <t>SMEDJEBACKEN</t>
        </is>
      </c>
      <c r="H514" t="inlineStr">
        <is>
          <t>Sveaskog</t>
        </is>
      </c>
      <c r="I514" t="n">
        <v>3.1</v>
      </c>
      <c r="J514" t="n">
        <v>0</v>
      </c>
      <c r="K514" t="n">
        <v>0</v>
      </c>
      <c r="L514" t="n">
        <v>0</v>
      </c>
      <c r="M514" t="n">
        <v>0</v>
      </c>
      <c r="N514" t="n">
        <v>0</v>
      </c>
      <c r="O514" t="n">
        <v>0</v>
      </c>
      <c r="P514" t="n">
        <v>0</v>
      </c>
      <c r="Q514" t="n">
        <v>0</v>
      </c>
      <c r="R514" t="n">
        <v>0</v>
      </c>
      <c r="S514" t="n">
        <v>0</v>
      </c>
      <c r="T514" t="n">
        <v>0</v>
      </c>
      <c r="U514" s="2" t="inlineStr"/>
    </row>
    <row r="515" ht="15" customHeight="1">
      <c r="A515" t="inlineStr">
        <is>
          <t>A 17472-2023</t>
        </is>
      </c>
      <c r="B515" t="inlineStr">
        <is>
          <t>avverkningsanmälan</t>
        </is>
      </c>
      <c r="C515" t="inlineStr">
        <is>
          <t>Föryngringsavverkning</t>
        </is>
      </c>
      <c r="D515" s="1" t="n">
        <v>45034</v>
      </c>
      <c r="E515" s="1" t="n">
        <v>46223</v>
      </c>
      <c r="F515" t="inlineStr">
        <is>
          <t>DALARNAS LÄN</t>
        </is>
      </c>
      <c r="G515" t="inlineStr">
        <is>
          <t>SMEDJEBACKEN</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29449-2023</t>
        </is>
      </c>
      <c r="B516" t="inlineStr">
        <is>
          <t>avverkningsanmälan</t>
        </is>
      </c>
      <c r="C516" t="inlineStr">
        <is>
          <t>Föryngringsavverkning</t>
        </is>
      </c>
      <c r="D516" s="1" t="n">
        <v>45106</v>
      </c>
      <c r="E516" s="1" t="n">
        <v>46223</v>
      </c>
      <c r="F516" t="inlineStr">
        <is>
          <t>DALARNAS LÄN</t>
        </is>
      </c>
      <c r="G516" t="inlineStr">
        <is>
          <t>SMEDJEBACKEN</t>
        </is>
      </c>
      <c r="H516" t="inlineStr">
        <is>
          <t>Sveaskog</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23672-2026</t>
        </is>
      </c>
      <c r="B517" t="inlineStr">
        <is>
          <t>avverkningsanmälan</t>
        </is>
      </c>
      <c r="C517" t="inlineStr">
        <is>
          <t>Föryngringsavverkning</t>
        </is>
      </c>
      <c r="D517" s="1" t="n">
        <v>46163</v>
      </c>
      <c r="E517" s="1" t="n">
        <v>46223</v>
      </c>
      <c r="F517" t="inlineStr">
        <is>
          <t>DALARNAS LÄN</t>
        </is>
      </c>
      <c r="G517" t="inlineStr">
        <is>
          <t>SMEDJEBACKEN</t>
        </is>
      </c>
      <c r="I517" t="n">
        <v>10.6</v>
      </c>
      <c r="J517" t="n">
        <v>0</v>
      </c>
      <c r="K517" t="n">
        <v>0</v>
      </c>
      <c r="L517" t="n">
        <v>0</v>
      </c>
      <c r="M517" t="n">
        <v>0</v>
      </c>
      <c r="N517" t="n">
        <v>0</v>
      </c>
      <c r="O517" t="n">
        <v>0</v>
      </c>
      <c r="P517" t="n">
        <v>0</v>
      </c>
      <c r="Q517" t="n">
        <v>0</v>
      </c>
      <c r="R517" t="n">
        <v>0</v>
      </c>
      <c r="S517" t="n">
        <v>0</v>
      </c>
      <c r="T517" t="n">
        <v>0</v>
      </c>
      <c r="U517" s="2" t="inlineStr"/>
    </row>
    <row r="518" ht="15" customHeight="1">
      <c r="A518" t="inlineStr">
        <is>
          <t>A 23676-2026</t>
        </is>
      </c>
      <c r="B518" t="inlineStr">
        <is>
          <t>avverkningsanmälan</t>
        </is>
      </c>
      <c r="C518" t="inlineStr">
        <is>
          <t>Föryngringsavverkning</t>
        </is>
      </c>
      <c r="D518" s="1" t="n">
        <v>46163</v>
      </c>
      <c r="E518" s="1" t="n">
        <v>46223</v>
      </c>
      <c r="F518" t="inlineStr">
        <is>
          <t>DALARNAS LÄN</t>
        </is>
      </c>
      <c r="G518" t="inlineStr">
        <is>
          <t>SMEDJEBACKEN</t>
        </is>
      </c>
      <c r="I518" t="n">
        <v>1.6</v>
      </c>
      <c r="J518" t="n">
        <v>0</v>
      </c>
      <c r="K518" t="n">
        <v>0</v>
      </c>
      <c r="L518" t="n">
        <v>0</v>
      </c>
      <c r="M518" t="n">
        <v>0</v>
      </c>
      <c r="N518" t="n">
        <v>0</v>
      </c>
      <c r="O518" t="n">
        <v>0</v>
      </c>
      <c r="P518" t="n">
        <v>0</v>
      </c>
      <c r="Q518" t="n">
        <v>0</v>
      </c>
      <c r="R518" t="n">
        <v>0</v>
      </c>
      <c r="S518" t="n">
        <v>0</v>
      </c>
      <c r="T518" t="n">
        <v>0</v>
      </c>
      <c r="U518" s="2" t="inlineStr"/>
    </row>
    <row r="519" ht="15" customHeight="1">
      <c r="A519" t="inlineStr">
        <is>
          <t>A 30270-2026</t>
        </is>
      </c>
      <c r="B519" t="inlineStr">
        <is>
          <t>avverkningsanmälan</t>
        </is>
      </c>
      <c r="C519" t="inlineStr">
        <is>
          <t>Föryngringsavverkning</t>
        </is>
      </c>
      <c r="D519" s="1" t="n">
        <v>46206</v>
      </c>
      <c r="E519" s="1" t="n">
        <v>46223</v>
      </c>
      <c r="F519" t="inlineStr">
        <is>
          <t>DALARNAS LÄN</t>
        </is>
      </c>
      <c r="G519" t="inlineStr">
        <is>
          <t>SMEDJEBACKEN</t>
        </is>
      </c>
      <c r="H519" t="inlineStr">
        <is>
          <t>Sveaskog</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30271-2026</t>
        </is>
      </c>
      <c r="B520" t="inlineStr">
        <is>
          <t>avverkningsanmälan</t>
        </is>
      </c>
      <c r="C520" t="inlineStr">
        <is>
          <t>Föryngringsavverkning</t>
        </is>
      </c>
      <c r="D520" s="1" t="n">
        <v>46206</v>
      </c>
      <c r="E520" s="1" t="n">
        <v>46223</v>
      </c>
      <c r="F520" t="inlineStr">
        <is>
          <t>DALARNAS LÄN</t>
        </is>
      </c>
      <c r="G520" t="inlineStr">
        <is>
          <t>SMEDJEBACKEN</t>
        </is>
      </c>
      <c r="H520" t="inlineStr">
        <is>
          <t>Sveaskog</t>
        </is>
      </c>
      <c r="I520" t="n">
        <v>6.2</v>
      </c>
      <c r="J520" t="n">
        <v>0</v>
      </c>
      <c r="K520" t="n">
        <v>0</v>
      </c>
      <c r="L520" t="n">
        <v>0</v>
      </c>
      <c r="M520" t="n">
        <v>0</v>
      </c>
      <c r="N520" t="n">
        <v>0</v>
      </c>
      <c r="O520" t="n">
        <v>0</v>
      </c>
      <c r="P520" t="n">
        <v>0</v>
      </c>
      <c r="Q520" t="n">
        <v>0</v>
      </c>
      <c r="R520" t="n">
        <v>0</v>
      </c>
      <c r="S520" t="n">
        <v>0</v>
      </c>
      <c r="T520" t="n">
        <v>0</v>
      </c>
      <c r="U520" s="2" t="inlineStr"/>
    </row>
    <row r="521" ht="15" customHeight="1">
      <c r="A521" t="inlineStr">
        <is>
          <t>A 30149-2026</t>
        </is>
      </c>
      <c r="B521" t="inlineStr">
        <is>
          <t>avverkningsanmälan</t>
        </is>
      </c>
      <c r="C521" t="inlineStr">
        <is>
          <t>Föryngringsavverkning</t>
        </is>
      </c>
      <c r="D521" s="1" t="n">
        <v>46206</v>
      </c>
      <c r="E521" s="1" t="n">
        <v>46223</v>
      </c>
      <c r="F521" t="inlineStr">
        <is>
          <t>DALARNAS LÄN</t>
        </is>
      </c>
      <c r="G521" t="inlineStr">
        <is>
          <t>SMEDJEBACKEN</t>
        </is>
      </c>
      <c r="H521" t="inlineStr">
        <is>
          <t>Sveaskog</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30269-2026</t>
        </is>
      </c>
      <c r="B522" t="inlineStr">
        <is>
          <t>avverkningsanmälan</t>
        </is>
      </c>
      <c r="C522" t="inlineStr">
        <is>
          <t>Föryngringsavverkning</t>
        </is>
      </c>
      <c r="D522" s="1" t="n">
        <v>46206</v>
      </c>
      <c r="E522" s="1" t="n">
        <v>46223</v>
      </c>
      <c r="F522" t="inlineStr">
        <is>
          <t>DALARNAS LÄN</t>
        </is>
      </c>
      <c r="G522" t="inlineStr">
        <is>
          <t>SMEDJEBACKEN</t>
        </is>
      </c>
      <c r="H522" t="inlineStr">
        <is>
          <t>Sveaskog</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23677-2026</t>
        </is>
      </c>
      <c r="B523" t="inlineStr">
        <is>
          <t>avverkningsanmälan</t>
        </is>
      </c>
      <c r="C523" t="inlineStr">
        <is>
          <t>Föryngringsavverkning</t>
        </is>
      </c>
      <c r="D523" s="1" t="n">
        <v>46163</v>
      </c>
      <c r="E523" s="1" t="n">
        <v>46223</v>
      </c>
      <c r="F523" t="inlineStr">
        <is>
          <t>DALARNAS LÄN</t>
        </is>
      </c>
      <c r="G523" t="inlineStr">
        <is>
          <t>SMEDJEBACKEN</t>
        </is>
      </c>
      <c r="I523" t="n">
        <v>2.7</v>
      </c>
      <c r="J523" t="n">
        <v>0</v>
      </c>
      <c r="K523" t="n">
        <v>0</v>
      </c>
      <c r="L523" t="n">
        <v>0</v>
      </c>
      <c r="M523" t="n">
        <v>0</v>
      </c>
      <c r="N523" t="n">
        <v>0</v>
      </c>
      <c r="O523" t="n">
        <v>0</v>
      </c>
      <c r="P523" t="n">
        <v>0</v>
      </c>
      <c r="Q523" t="n">
        <v>0</v>
      </c>
      <c r="R523" t="n">
        <v>0</v>
      </c>
      <c r="S523" t="n">
        <v>0</v>
      </c>
      <c r="T523" t="n">
        <v>0</v>
      </c>
      <c r="U523" s="2" t="inlineStr"/>
    </row>
    <row r="524" ht="15" customHeight="1">
      <c r="A524" t="inlineStr">
        <is>
          <t>A 30154-2026</t>
        </is>
      </c>
      <c r="B524" t="inlineStr">
        <is>
          <t>avverkningsanmälan</t>
        </is>
      </c>
      <c r="C524" t="inlineStr">
        <is>
          <t>Föryngringsavverkning</t>
        </is>
      </c>
      <c r="D524" s="1" t="n">
        <v>46206</v>
      </c>
      <c r="E524" s="1" t="n">
        <v>46223</v>
      </c>
      <c r="F524" t="inlineStr">
        <is>
          <t>DALARNAS LÄN</t>
        </is>
      </c>
      <c r="G524" t="inlineStr">
        <is>
          <t>SMEDJEBACKEN</t>
        </is>
      </c>
      <c r="H524" t="inlineStr">
        <is>
          <t>Sveaskog</t>
        </is>
      </c>
      <c r="I524" t="n">
        <v>6.5</v>
      </c>
      <c r="J524" t="n">
        <v>0</v>
      </c>
      <c r="K524" t="n">
        <v>0</v>
      </c>
      <c r="L524" t="n">
        <v>0</v>
      </c>
      <c r="M524" t="n">
        <v>0</v>
      </c>
      <c r="N524" t="n">
        <v>0</v>
      </c>
      <c r="O524" t="n">
        <v>0</v>
      </c>
      <c r="P524" t="n">
        <v>0</v>
      </c>
      <c r="Q524" t="n">
        <v>0</v>
      </c>
      <c r="R524" t="n">
        <v>0</v>
      </c>
      <c r="S524" t="n">
        <v>0</v>
      </c>
      <c r="T524" t="n">
        <v>0</v>
      </c>
      <c r="U524" s="2" t="inlineStr"/>
    </row>
    <row r="525" ht="15" customHeight="1">
      <c r="A525" t="inlineStr">
        <is>
          <t>A 30582-2026</t>
        </is>
      </c>
      <c r="B525" t="inlineStr">
        <is>
          <t>avverkningsanmälan</t>
        </is>
      </c>
      <c r="C525" t="inlineStr">
        <is>
          <t>Föryngringsavverkning</t>
        </is>
      </c>
      <c r="D525" s="1" t="n">
        <v>46210</v>
      </c>
      <c r="E525" s="1" t="n">
        <v>46223</v>
      </c>
      <c r="F525" t="inlineStr">
        <is>
          <t>DALARNAS LÄN</t>
        </is>
      </c>
      <c r="G525" t="inlineStr">
        <is>
          <t>SMEDJEBACKEN</t>
        </is>
      </c>
      <c r="H525" t="inlineStr">
        <is>
          <t>Sveaskog</t>
        </is>
      </c>
      <c r="I525" t="n">
        <v>2.1</v>
      </c>
      <c r="J525" t="n">
        <v>0</v>
      </c>
      <c r="K525" t="n">
        <v>0</v>
      </c>
      <c r="L525" t="n">
        <v>0</v>
      </c>
      <c r="M525" t="n">
        <v>0</v>
      </c>
      <c r="N525" t="n">
        <v>0</v>
      </c>
      <c r="O525" t="n">
        <v>0</v>
      </c>
      <c r="P525" t="n">
        <v>0</v>
      </c>
      <c r="Q525" t="n">
        <v>0</v>
      </c>
      <c r="R525" t="n">
        <v>0</v>
      </c>
      <c r="S525" t="n">
        <v>0</v>
      </c>
      <c r="T525" t="n">
        <v>0</v>
      </c>
      <c r="U525" s="2" t="inlineStr"/>
    </row>
    <row r="526" ht="15" customHeight="1">
      <c r="A526" t="inlineStr">
        <is>
          <t>A 60814-2022</t>
        </is>
      </c>
      <c r="B526" t="inlineStr">
        <is>
          <t>avverkningsanmälan</t>
        </is>
      </c>
      <c r="C526" t="inlineStr">
        <is>
          <t>Föryngringsavverkning</t>
        </is>
      </c>
      <c r="D526" s="1" t="n">
        <v>44914</v>
      </c>
      <c r="E526" s="1" t="n">
        <v>46223</v>
      </c>
      <c r="F526" t="inlineStr">
        <is>
          <t>DALARNAS LÄN</t>
        </is>
      </c>
      <c r="G526" t="inlineStr">
        <is>
          <t>SMEDJEBACKEN</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26998-2024</t>
        </is>
      </c>
      <c r="B527" t="inlineStr">
        <is>
          <t>avverkningsanmälan</t>
        </is>
      </c>
      <c r="C527" t="inlineStr">
        <is>
          <t>Föryngringsavverkning</t>
        </is>
      </c>
      <c r="D527" s="1" t="n">
        <v>45471</v>
      </c>
      <c r="E527" s="1" t="n">
        <v>46223</v>
      </c>
      <c r="F527" t="inlineStr">
        <is>
          <t>DALARNAS LÄN</t>
        </is>
      </c>
      <c r="G527" t="inlineStr">
        <is>
          <t>SMEDJEBACKEN</t>
        </is>
      </c>
      <c r="I527" t="n">
        <v>9</v>
      </c>
      <c r="J527" t="n">
        <v>0</v>
      </c>
      <c r="K527" t="n">
        <v>0</v>
      </c>
      <c r="L527" t="n">
        <v>0</v>
      </c>
      <c r="M527" t="n">
        <v>0</v>
      </c>
      <c r="N527" t="n">
        <v>0</v>
      </c>
      <c r="O527" t="n">
        <v>0</v>
      </c>
      <c r="P527" t="n">
        <v>0</v>
      </c>
      <c r="Q527" t="n">
        <v>0</v>
      </c>
      <c r="R527" t="n">
        <v>0</v>
      </c>
      <c r="S527" t="n">
        <v>0</v>
      </c>
      <c r="T527" t="n">
        <v>0</v>
      </c>
      <c r="U527" s="2" t="inlineStr"/>
    </row>
    <row r="528" ht="15" customHeight="1">
      <c r="A528" t="inlineStr">
        <is>
          <t>A 56393-2024</t>
        </is>
      </c>
      <c r="B528" t="inlineStr">
        <is>
          <t>avverkningsanmälan</t>
        </is>
      </c>
      <c r="C528" t="inlineStr">
        <is>
          <t>Föryngringsavverkning</t>
        </is>
      </c>
      <c r="D528" s="1" t="n">
        <v>45625</v>
      </c>
      <c r="E528" s="1" t="n">
        <v>46223</v>
      </c>
      <c r="F528" t="inlineStr">
        <is>
          <t>DALARNAS LÄN</t>
        </is>
      </c>
      <c r="G528" t="inlineStr">
        <is>
          <t>SMEDJEBACKEN</t>
        </is>
      </c>
      <c r="H528" t="inlineStr">
        <is>
          <t>Sveaskog</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24206-2026</t>
        </is>
      </c>
      <c r="B529" t="inlineStr">
        <is>
          <t>avverkningsanmälan</t>
        </is>
      </c>
      <c r="C529" t="inlineStr">
        <is>
          <t>Föryngringsavverkning</t>
        </is>
      </c>
      <c r="D529" s="1" t="n">
        <v>46168</v>
      </c>
      <c r="E529" s="1" t="n">
        <v>46223</v>
      </c>
      <c r="F529" t="inlineStr">
        <is>
          <t>DALARNAS LÄN</t>
        </is>
      </c>
      <c r="G529" t="inlineStr">
        <is>
          <t>SMEDJEBACKEN</t>
        </is>
      </c>
      <c r="H529" t="inlineStr">
        <is>
          <t>Övriga Aktiebolag</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24208-2026</t>
        </is>
      </c>
      <c r="B530" t="inlineStr">
        <is>
          <t>avverkningsanmälan</t>
        </is>
      </c>
      <c r="C530" t="inlineStr">
        <is>
          <t>Föryngringsavverkning</t>
        </is>
      </c>
      <c r="D530" s="1" t="n">
        <v>46168</v>
      </c>
      <c r="E530" s="1" t="n">
        <v>46223</v>
      </c>
      <c r="F530" t="inlineStr">
        <is>
          <t>DALARNAS LÄN</t>
        </is>
      </c>
      <c r="G530" t="inlineStr">
        <is>
          <t>SMEDJEBACKEN</t>
        </is>
      </c>
      <c r="H530" t="inlineStr">
        <is>
          <t>Övriga Aktiebolag</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54965-2022</t>
        </is>
      </c>
      <c r="B531" t="inlineStr">
        <is>
          <t>avverkningsanmälan</t>
        </is>
      </c>
      <c r="C531" t="inlineStr">
        <is>
          <t>Föryngringsavverkning</t>
        </is>
      </c>
      <c r="D531" s="1" t="n">
        <v>44886</v>
      </c>
      <c r="E531" s="1" t="n">
        <v>46223</v>
      </c>
      <c r="F531" t="inlineStr">
        <is>
          <t>DALARNAS LÄN</t>
        </is>
      </c>
      <c r="G531" t="inlineStr">
        <is>
          <t>SMEDJEBACKEN</t>
        </is>
      </c>
      <c r="H531" t="inlineStr">
        <is>
          <t>Sveaskog</t>
        </is>
      </c>
      <c r="I531" t="n">
        <v>1.3</v>
      </c>
      <c r="J531" t="n">
        <v>0</v>
      </c>
      <c r="K531" t="n">
        <v>0</v>
      </c>
      <c r="L531" t="n">
        <v>0</v>
      </c>
      <c r="M531" t="n">
        <v>0</v>
      </c>
      <c r="N531" t="n">
        <v>0</v>
      </c>
      <c r="O531" t="n">
        <v>0</v>
      </c>
      <c r="P531" t="n">
        <v>0</v>
      </c>
      <c r="Q531" t="n">
        <v>0</v>
      </c>
      <c r="R531" t="n">
        <v>0</v>
      </c>
      <c r="S531" t="n">
        <v>0</v>
      </c>
      <c r="T531" t="n">
        <v>0</v>
      </c>
      <c r="U531" s="2" t="inlineStr"/>
    </row>
    <row r="532" ht="15" customHeight="1">
      <c r="A532" t="inlineStr">
        <is>
          <t>A 18294-2023</t>
        </is>
      </c>
      <c r="B532" t="inlineStr">
        <is>
          <t>avverkningsanmälan</t>
        </is>
      </c>
      <c r="C532" t="inlineStr">
        <is>
          <t>Föryngringsavverkning</t>
        </is>
      </c>
      <c r="D532" s="1" t="n">
        <v>45041</v>
      </c>
      <c r="E532" s="1" t="n">
        <v>46223</v>
      </c>
      <c r="F532" t="inlineStr">
        <is>
          <t>DALARNAS LÄN</t>
        </is>
      </c>
      <c r="G532" t="inlineStr">
        <is>
          <t>SMEDJEBACKEN</t>
        </is>
      </c>
      <c r="I532" t="n">
        <v>0.7</v>
      </c>
      <c r="J532" t="n">
        <v>0</v>
      </c>
      <c r="K532" t="n">
        <v>0</v>
      </c>
      <c r="L532" t="n">
        <v>0</v>
      </c>
      <c r="M532" t="n">
        <v>0</v>
      </c>
      <c r="N532" t="n">
        <v>0</v>
      </c>
      <c r="O532" t="n">
        <v>0</v>
      </c>
      <c r="P532" t="n">
        <v>0</v>
      </c>
      <c r="Q532" t="n">
        <v>0</v>
      </c>
      <c r="R532" t="n">
        <v>0</v>
      </c>
      <c r="S532" t="n">
        <v>0</v>
      </c>
      <c r="T532" t="n">
        <v>0</v>
      </c>
      <c r="U532" s="2" t="inlineStr"/>
    </row>
    <row r="533" ht="15" customHeight="1">
      <c r="A533" t="inlineStr">
        <is>
          <t>A 24229-2026</t>
        </is>
      </c>
      <c r="B533" t="inlineStr">
        <is>
          <t>avverkningsanmälan</t>
        </is>
      </c>
      <c r="C533" t="inlineStr">
        <is>
          <t>Föryngringsavverkning</t>
        </is>
      </c>
      <c r="D533" s="1" t="n">
        <v>46168</v>
      </c>
      <c r="E533" s="1" t="n">
        <v>46223</v>
      </c>
      <c r="F533" t="inlineStr">
        <is>
          <t>DALARNAS LÄN</t>
        </is>
      </c>
      <c r="G533" t="inlineStr">
        <is>
          <t>SMEDJEBACKEN</t>
        </is>
      </c>
      <c r="H533" t="inlineStr">
        <is>
          <t>Sveaskog</t>
        </is>
      </c>
      <c r="I533" t="n">
        <v>6.5</v>
      </c>
      <c r="J533" t="n">
        <v>0</v>
      </c>
      <c r="K533" t="n">
        <v>0</v>
      </c>
      <c r="L533" t="n">
        <v>0</v>
      </c>
      <c r="M533" t="n">
        <v>0</v>
      </c>
      <c r="N533" t="n">
        <v>0</v>
      </c>
      <c r="O533" t="n">
        <v>0</v>
      </c>
      <c r="P533" t="n">
        <v>0</v>
      </c>
      <c r="Q533" t="n">
        <v>0</v>
      </c>
      <c r="R533" t="n">
        <v>0</v>
      </c>
      <c r="S533" t="n">
        <v>0</v>
      </c>
      <c r="T533" t="n">
        <v>0</v>
      </c>
      <c r="U533" s="2" t="inlineStr"/>
    </row>
    <row r="534" ht="15" customHeight="1">
      <c r="A534" t="inlineStr">
        <is>
          <t>A 30583-2026</t>
        </is>
      </c>
      <c r="B534" t="inlineStr">
        <is>
          <t>avverkningsanmälan</t>
        </is>
      </c>
      <c r="C534" t="inlineStr">
        <is>
          <t>Föryngringsavverkning</t>
        </is>
      </c>
      <c r="D534" s="1" t="n">
        <v>46210</v>
      </c>
      <c r="E534" s="1" t="n">
        <v>46223</v>
      </c>
      <c r="F534" t="inlineStr">
        <is>
          <t>DALARNAS LÄN</t>
        </is>
      </c>
      <c r="G534" t="inlineStr">
        <is>
          <t>SMEDJEBACKEN</t>
        </is>
      </c>
      <c r="H534" t="inlineStr">
        <is>
          <t>Sveaskog</t>
        </is>
      </c>
      <c r="I534" t="n">
        <v>0.9</v>
      </c>
      <c r="J534" t="n">
        <v>0</v>
      </c>
      <c r="K534" t="n">
        <v>0</v>
      </c>
      <c r="L534" t="n">
        <v>0</v>
      </c>
      <c r="M534" t="n">
        <v>0</v>
      </c>
      <c r="N534" t="n">
        <v>0</v>
      </c>
      <c r="O534" t="n">
        <v>0</v>
      </c>
      <c r="P534" t="n">
        <v>0</v>
      </c>
      <c r="Q534" t="n">
        <v>0</v>
      </c>
      <c r="R534" t="n">
        <v>0</v>
      </c>
      <c r="S534" t="n">
        <v>0</v>
      </c>
      <c r="T534" t="n">
        <v>0</v>
      </c>
      <c r="U534" s="2" t="inlineStr"/>
    </row>
    <row r="535" ht="15" customHeight="1">
      <c r="A535" t="inlineStr">
        <is>
          <t>A 30803-2026</t>
        </is>
      </c>
      <c r="B535" t="inlineStr">
        <is>
          <t>avverkningsanmälan</t>
        </is>
      </c>
      <c r="C535" t="inlineStr">
        <is>
          <t>Föryngringsavverkning</t>
        </is>
      </c>
      <c r="D535" s="1" t="n">
        <v>46212</v>
      </c>
      <c r="E535" s="1" t="n">
        <v>46223</v>
      </c>
      <c r="F535" t="inlineStr">
        <is>
          <t>DALARNAS LÄN</t>
        </is>
      </c>
      <c r="G535" t="inlineStr">
        <is>
          <t>SMEDJEBACKEN</t>
        </is>
      </c>
      <c r="H535" t="inlineStr">
        <is>
          <t>Övriga Aktiebolag</t>
        </is>
      </c>
      <c r="I535" t="n">
        <v>7.9</v>
      </c>
      <c r="J535" t="n">
        <v>0</v>
      </c>
      <c r="K535" t="n">
        <v>0</v>
      </c>
      <c r="L535" t="n">
        <v>0</v>
      </c>
      <c r="M535" t="n">
        <v>0</v>
      </c>
      <c r="N535" t="n">
        <v>0</v>
      </c>
      <c r="O535" t="n">
        <v>0</v>
      </c>
      <c r="P535" t="n">
        <v>0</v>
      </c>
      <c r="Q535" t="n">
        <v>0</v>
      </c>
      <c r="R535" t="n">
        <v>0</v>
      </c>
      <c r="S535" t="n">
        <v>0</v>
      </c>
      <c r="T535" t="n">
        <v>0</v>
      </c>
      <c r="U535" s="2" t="inlineStr"/>
    </row>
    <row r="536" ht="15" customHeight="1">
      <c r="A536" t="inlineStr">
        <is>
          <t>A 12027-2023</t>
        </is>
      </c>
      <c r="B536" t="inlineStr">
        <is>
          <t>avverkningsanmälan</t>
        </is>
      </c>
      <c r="C536" t="inlineStr">
        <is>
          <t>Föryngringsavverkning</t>
        </is>
      </c>
      <c r="D536" s="1" t="n">
        <v>44995</v>
      </c>
      <c r="E536" s="1" t="n">
        <v>46223</v>
      </c>
      <c r="F536" t="inlineStr">
        <is>
          <t>DALARNAS LÄN</t>
        </is>
      </c>
      <c r="G536" t="inlineStr">
        <is>
          <t>SMEDJEBACKEN</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33487-2023</t>
        </is>
      </c>
      <c r="B537" t="inlineStr">
        <is>
          <t>avverkningsanmälan</t>
        </is>
      </c>
      <c r="C537" t="inlineStr">
        <is>
          <t>Föryngringsavverkning</t>
        </is>
      </c>
      <c r="D537" s="1" t="n">
        <v>45131</v>
      </c>
      <c r="E537" s="1" t="n">
        <v>46223</v>
      </c>
      <c r="F537" t="inlineStr">
        <is>
          <t>DALARNAS LÄN</t>
        </is>
      </c>
      <c r="G537" t="inlineStr">
        <is>
          <t>SMEDJEBACKEN</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25065-2026</t>
        </is>
      </c>
      <c r="B538" t="inlineStr">
        <is>
          <t>avverkningsanmälan</t>
        </is>
      </c>
      <c r="C538" t="inlineStr">
        <is>
          <t>Föryngringsavverkning</t>
        </is>
      </c>
      <c r="D538" s="1" t="n">
        <v>46171</v>
      </c>
      <c r="E538" s="1" t="n">
        <v>46223</v>
      </c>
      <c r="F538" t="inlineStr">
        <is>
          <t>DALARNAS LÄN</t>
        </is>
      </c>
      <c r="G538" t="inlineStr">
        <is>
          <t>SMEDJEBACKEN</t>
        </is>
      </c>
      <c r="H538" t="inlineStr">
        <is>
          <t>Bergvik skog väst AB</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56480-2022</t>
        </is>
      </c>
      <c r="B539" t="inlineStr">
        <is>
          <t>avverkningsanmälan</t>
        </is>
      </c>
      <c r="C539" t="inlineStr">
        <is>
          <t>Föryngringsavverkning</t>
        </is>
      </c>
      <c r="D539" s="1" t="n">
        <v>44893</v>
      </c>
      <c r="E539" s="1" t="n">
        <v>46223</v>
      </c>
      <c r="F539" t="inlineStr">
        <is>
          <t>DALARNAS LÄN</t>
        </is>
      </c>
      <c r="G539" t="inlineStr">
        <is>
          <t>SMEDJEBACKEN</t>
        </is>
      </c>
      <c r="H539" t="inlineStr">
        <is>
          <t>Sveaskog</t>
        </is>
      </c>
      <c r="I539" t="n">
        <v>0.6</v>
      </c>
      <c r="J539" t="n">
        <v>0</v>
      </c>
      <c r="K539" t="n">
        <v>0</v>
      </c>
      <c r="L539" t="n">
        <v>0</v>
      </c>
      <c r="M539" t="n">
        <v>0</v>
      </c>
      <c r="N539" t="n">
        <v>0</v>
      </c>
      <c r="O539" t="n">
        <v>0</v>
      </c>
      <c r="P539" t="n">
        <v>0</v>
      </c>
      <c r="Q539" t="n">
        <v>0</v>
      </c>
      <c r="R539" t="n">
        <v>0</v>
      </c>
      <c r="S539" t="n">
        <v>0</v>
      </c>
      <c r="T539" t="n">
        <v>0</v>
      </c>
      <c r="U539" s="2" t="inlineStr"/>
    </row>
    <row r="540" ht="15" customHeight="1">
      <c r="A540" t="inlineStr">
        <is>
          <t>A 25074-2026</t>
        </is>
      </c>
      <c r="B540" t="inlineStr">
        <is>
          <t>avverkningsanmälan</t>
        </is>
      </c>
      <c r="C540" t="inlineStr">
        <is>
          <t>Föryngringsavverkning</t>
        </is>
      </c>
      <c r="D540" s="1" t="n">
        <v>46171</v>
      </c>
      <c r="E540" s="1" t="n">
        <v>46223</v>
      </c>
      <c r="F540" t="inlineStr">
        <is>
          <t>DALARNAS LÄN</t>
        </is>
      </c>
      <c r="G540" t="inlineStr">
        <is>
          <t>SMEDJEBACKEN</t>
        </is>
      </c>
      <c r="I540" t="n">
        <v>12.2</v>
      </c>
      <c r="J540" t="n">
        <v>0</v>
      </c>
      <c r="K540" t="n">
        <v>0</v>
      </c>
      <c r="L540" t="n">
        <v>0</v>
      </c>
      <c r="M540" t="n">
        <v>0</v>
      </c>
      <c r="N540" t="n">
        <v>0</v>
      </c>
      <c r="O540" t="n">
        <v>0</v>
      </c>
      <c r="P540" t="n">
        <v>0</v>
      </c>
      <c r="Q540" t="n">
        <v>0</v>
      </c>
      <c r="R540" t="n">
        <v>0</v>
      </c>
      <c r="S540" t="n">
        <v>0</v>
      </c>
      <c r="T540" t="n">
        <v>0</v>
      </c>
      <c r="U540" s="2" t="inlineStr"/>
    </row>
    <row r="541" ht="15" customHeight="1">
      <c r="A541" t="inlineStr">
        <is>
          <t>A 24902-2026</t>
        </is>
      </c>
      <c r="B541" t="inlineStr">
        <is>
          <t>avverkningsanmälan</t>
        </is>
      </c>
      <c r="C541" t="inlineStr">
        <is>
          <t>Föryngringsavverkning</t>
        </is>
      </c>
      <c r="D541" s="1" t="n">
        <v>46174</v>
      </c>
      <c r="E541" s="1" t="n">
        <v>46223</v>
      </c>
      <c r="F541" t="inlineStr">
        <is>
          <t>DALARNAS LÄN</t>
        </is>
      </c>
      <c r="G541" t="inlineStr">
        <is>
          <t>SMEDJEBACKEN</t>
        </is>
      </c>
      <c r="H541" t="inlineStr">
        <is>
          <t>Sveaskog</t>
        </is>
      </c>
      <c r="I541" t="n">
        <v>7.5</v>
      </c>
      <c r="J541" t="n">
        <v>0</v>
      </c>
      <c r="K541" t="n">
        <v>0</v>
      </c>
      <c r="L541" t="n">
        <v>0</v>
      </c>
      <c r="M541" t="n">
        <v>0</v>
      </c>
      <c r="N541" t="n">
        <v>0</v>
      </c>
      <c r="O541" t="n">
        <v>0</v>
      </c>
      <c r="P541" t="n">
        <v>0</v>
      </c>
      <c r="Q541" t="n">
        <v>0</v>
      </c>
      <c r="R541" t="n">
        <v>0</v>
      </c>
      <c r="S541" t="n">
        <v>0</v>
      </c>
      <c r="T541" t="n">
        <v>0</v>
      </c>
      <c r="U541" s="2" t="inlineStr"/>
    </row>
    <row r="542" ht="15" customHeight="1">
      <c r="A542" t="inlineStr">
        <is>
          <t>A 24906-2026</t>
        </is>
      </c>
      <c r="B542" t="inlineStr">
        <is>
          <t>avverkningsanmälan</t>
        </is>
      </c>
      <c r="C542" t="inlineStr">
        <is>
          <t>Föryngringsavverkning</t>
        </is>
      </c>
      <c r="D542" s="1" t="n">
        <v>46174</v>
      </c>
      <c r="E542" s="1" t="n">
        <v>46223</v>
      </c>
      <c r="F542" t="inlineStr">
        <is>
          <t>DALARNAS LÄN</t>
        </is>
      </c>
      <c r="G542" t="inlineStr">
        <is>
          <t>SMEDJEBACKEN</t>
        </is>
      </c>
      <c r="H542" t="inlineStr">
        <is>
          <t>Sveaskog</t>
        </is>
      </c>
      <c r="I542" t="n">
        <v>6.8</v>
      </c>
      <c r="J542" t="n">
        <v>0</v>
      </c>
      <c r="K542" t="n">
        <v>0</v>
      </c>
      <c r="L542" t="n">
        <v>0</v>
      </c>
      <c r="M542" t="n">
        <v>0</v>
      </c>
      <c r="N542" t="n">
        <v>0</v>
      </c>
      <c r="O542" t="n">
        <v>0</v>
      </c>
      <c r="P542" t="n">
        <v>0</v>
      </c>
      <c r="Q542" t="n">
        <v>0</v>
      </c>
      <c r="R542" t="n">
        <v>0</v>
      </c>
      <c r="S542" t="n">
        <v>0</v>
      </c>
      <c r="T542" t="n">
        <v>0</v>
      </c>
      <c r="U542" s="2" t="inlineStr"/>
    </row>
    <row r="543" ht="15" customHeight="1">
      <c r="A543" t="inlineStr">
        <is>
          <t>A 24905-2026</t>
        </is>
      </c>
      <c r="B543" t="inlineStr">
        <is>
          <t>avverkningsanmälan</t>
        </is>
      </c>
      <c r="C543" t="inlineStr">
        <is>
          <t>Föryngringsavverkning</t>
        </is>
      </c>
      <c r="D543" s="1" t="n">
        <v>46174</v>
      </c>
      <c r="E543" s="1" t="n">
        <v>46223</v>
      </c>
      <c r="F543" t="inlineStr">
        <is>
          <t>DALARNAS LÄN</t>
        </is>
      </c>
      <c r="G543" t="inlineStr">
        <is>
          <t>SMEDJEBACKEN</t>
        </is>
      </c>
      <c r="H543" t="inlineStr">
        <is>
          <t>Sveaskog</t>
        </is>
      </c>
      <c r="I543" t="n">
        <v>2.2</v>
      </c>
      <c r="J543" t="n">
        <v>0</v>
      </c>
      <c r="K543" t="n">
        <v>0</v>
      </c>
      <c r="L543" t="n">
        <v>0</v>
      </c>
      <c r="M543" t="n">
        <v>0</v>
      </c>
      <c r="N543" t="n">
        <v>0</v>
      </c>
      <c r="O543" t="n">
        <v>0</v>
      </c>
      <c r="P543" t="n">
        <v>0</v>
      </c>
      <c r="Q543" t="n">
        <v>0</v>
      </c>
      <c r="R543" t="n">
        <v>0</v>
      </c>
      <c r="S543" t="n">
        <v>0</v>
      </c>
      <c r="T543" t="n">
        <v>0</v>
      </c>
      <c r="U543" s="2" t="inlineStr"/>
    </row>
    <row r="544" ht="15" customHeight="1">
      <c r="A544" t="inlineStr">
        <is>
          <t>A 24872-2026</t>
        </is>
      </c>
      <c r="B544" t="inlineStr">
        <is>
          <t>avverkningsanmälan</t>
        </is>
      </c>
      <c r="C544" t="inlineStr">
        <is>
          <t>Föryngringsavverkning</t>
        </is>
      </c>
      <c r="D544" s="1" t="n">
        <v>46174</v>
      </c>
      <c r="E544" s="1" t="n">
        <v>46223</v>
      </c>
      <c r="F544" t="inlineStr">
        <is>
          <t>DALARNAS LÄN</t>
        </is>
      </c>
      <c r="G544" t="inlineStr">
        <is>
          <t>SMEDJEBACKEN</t>
        </is>
      </c>
      <c r="H544" t="inlineStr">
        <is>
          <t>Sveaskog</t>
        </is>
      </c>
      <c r="I544" t="n">
        <v>7.4</v>
      </c>
      <c r="J544" t="n">
        <v>0</v>
      </c>
      <c r="K544" t="n">
        <v>0</v>
      </c>
      <c r="L544" t="n">
        <v>0</v>
      </c>
      <c r="M544" t="n">
        <v>0</v>
      </c>
      <c r="N544" t="n">
        <v>0</v>
      </c>
      <c r="O544" t="n">
        <v>0</v>
      </c>
      <c r="P544" t="n">
        <v>0</v>
      </c>
      <c r="Q544" t="n">
        <v>0</v>
      </c>
      <c r="R544" t="n">
        <v>0</v>
      </c>
      <c r="S544" t="n">
        <v>0</v>
      </c>
      <c r="T544" t="n">
        <v>0</v>
      </c>
      <c r="U544" s="2" t="inlineStr"/>
    </row>
    <row r="545" ht="15" customHeight="1">
      <c r="A545" t="inlineStr">
        <is>
          <t>A 24908-2026</t>
        </is>
      </c>
      <c r="B545" t="inlineStr">
        <is>
          <t>avverkningsanmälan</t>
        </is>
      </c>
      <c r="C545" t="inlineStr">
        <is>
          <t>Föryngringsavverkning</t>
        </is>
      </c>
      <c r="D545" s="1" t="n">
        <v>46174</v>
      </c>
      <c r="E545" s="1" t="n">
        <v>46223</v>
      </c>
      <c r="F545" t="inlineStr">
        <is>
          <t>DALARNAS LÄN</t>
        </is>
      </c>
      <c r="G545" t="inlineStr">
        <is>
          <t>SMEDJEBACKEN</t>
        </is>
      </c>
      <c r="H545" t="inlineStr">
        <is>
          <t>Sveaskog</t>
        </is>
      </c>
      <c r="I545" t="n">
        <v>5.3</v>
      </c>
      <c r="J545" t="n">
        <v>0</v>
      </c>
      <c r="K545" t="n">
        <v>0</v>
      </c>
      <c r="L545" t="n">
        <v>0</v>
      </c>
      <c r="M545" t="n">
        <v>0</v>
      </c>
      <c r="N545" t="n">
        <v>0</v>
      </c>
      <c r="O545" t="n">
        <v>0</v>
      </c>
      <c r="P545" t="n">
        <v>0</v>
      </c>
      <c r="Q545" t="n">
        <v>0</v>
      </c>
      <c r="R545" t="n">
        <v>0</v>
      </c>
      <c r="S545" t="n">
        <v>0</v>
      </c>
      <c r="T545" t="n">
        <v>0</v>
      </c>
      <c r="U545" s="2" t="inlineStr"/>
    </row>
    <row r="546" ht="15" customHeight="1">
      <c r="A546" t="inlineStr">
        <is>
          <t>A 19085-2025</t>
        </is>
      </c>
      <c r="B546" t="inlineStr">
        <is>
          <t>avverkningsanmälan</t>
        </is>
      </c>
      <c r="C546" t="inlineStr">
        <is>
          <t>Avverkning för att bevara och utveckla /försöksver</t>
        </is>
      </c>
      <c r="D546" s="1" t="n">
        <v>45766</v>
      </c>
      <c r="E546" s="1" t="n">
        <v>46223</v>
      </c>
      <c r="F546" t="inlineStr">
        <is>
          <t>DALARNAS LÄN</t>
        </is>
      </c>
      <c r="G546" t="inlineStr">
        <is>
          <t>SMEDJEBACKEN</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25322-2026</t>
        </is>
      </c>
      <c r="B547" t="inlineStr">
        <is>
          <t>avverkningsanmälan</t>
        </is>
      </c>
      <c r="C547" t="inlineStr">
        <is>
          <t>Föryngringsavverkning</t>
        </is>
      </c>
      <c r="D547" s="1" t="n">
        <v>46176</v>
      </c>
      <c r="E547" s="1" t="n">
        <v>46223</v>
      </c>
      <c r="F547" t="inlineStr">
        <is>
          <t>DALARNAS LÄN</t>
        </is>
      </c>
      <c r="G547" t="inlineStr">
        <is>
          <t>SMEDJEBACKEN</t>
        </is>
      </c>
      <c r="H547" t="inlineStr">
        <is>
          <t>Sveaskog</t>
        </is>
      </c>
      <c r="I547" t="n">
        <v>2.4</v>
      </c>
      <c r="J547" t="n">
        <v>0</v>
      </c>
      <c r="K547" t="n">
        <v>0</v>
      </c>
      <c r="L547" t="n">
        <v>0</v>
      </c>
      <c r="M547" t="n">
        <v>0</v>
      </c>
      <c r="N547" t="n">
        <v>0</v>
      </c>
      <c r="O547" t="n">
        <v>0</v>
      </c>
      <c r="P547" t="n">
        <v>0</v>
      </c>
      <c r="Q547" t="n">
        <v>0</v>
      </c>
      <c r="R547" t="n">
        <v>0</v>
      </c>
      <c r="S547" t="n">
        <v>0</v>
      </c>
      <c r="T547" t="n">
        <v>0</v>
      </c>
      <c r="U547" s="2" t="inlineStr"/>
    </row>
    <row r="548" ht="15" customHeight="1">
      <c r="A548" t="inlineStr">
        <is>
          <t>A 25858-2026</t>
        </is>
      </c>
      <c r="B548" t="inlineStr">
        <is>
          <t>avverkningsanmälan</t>
        </is>
      </c>
      <c r="C548" t="inlineStr">
        <is>
          <t>Föryngringsavverkning</t>
        </is>
      </c>
      <c r="D548" s="1" t="n">
        <v>46176</v>
      </c>
      <c r="E548" s="1" t="n">
        <v>46223</v>
      </c>
      <c r="F548" t="inlineStr">
        <is>
          <t>DALARNAS LÄN</t>
        </is>
      </c>
      <c r="G548" t="inlineStr">
        <is>
          <t>SMEDJEBACKEN</t>
        </is>
      </c>
      <c r="H548" t="inlineStr">
        <is>
          <t>Övriga Aktiebolag</t>
        </is>
      </c>
      <c r="I548" t="n">
        <v>6.9</v>
      </c>
      <c r="J548" t="n">
        <v>0</v>
      </c>
      <c r="K548" t="n">
        <v>0</v>
      </c>
      <c r="L548" t="n">
        <v>0</v>
      </c>
      <c r="M548" t="n">
        <v>0</v>
      </c>
      <c r="N548" t="n">
        <v>0</v>
      </c>
      <c r="O548" t="n">
        <v>0</v>
      </c>
      <c r="P548" t="n">
        <v>0</v>
      </c>
      <c r="Q548" t="n">
        <v>0</v>
      </c>
      <c r="R548" t="n">
        <v>0</v>
      </c>
      <c r="S548" t="n">
        <v>0</v>
      </c>
      <c r="T548" t="n">
        <v>0</v>
      </c>
      <c r="U548" s="2" t="inlineStr"/>
    </row>
    <row r="549" ht="15" customHeight="1">
      <c r="A549" t="inlineStr">
        <is>
          <t>A 37408-2024</t>
        </is>
      </c>
      <c r="B549" t="inlineStr">
        <is>
          <t>avverkningsanmälan</t>
        </is>
      </c>
      <c r="C549" t="inlineStr">
        <is>
          <t>Föryngringsavverkning</t>
        </is>
      </c>
      <c r="D549" s="1" t="n">
        <v>45540</v>
      </c>
      <c r="E549" s="1" t="n">
        <v>46223</v>
      </c>
      <c r="F549" t="inlineStr">
        <is>
          <t>DALARNAS LÄN</t>
        </is>
      </c>
      <c r="G549" t="inlineStr">
        <is>
          <t>SMEDJEBACKEN</t>
        </is>
      </c>
      <c r="I549" t="n">
        <v>7.6</v>
      </c>
      <c r="J549" t="n">
        <v>0</v>
      </c>
      <c r="K549" t="n">
        <v>0</v>
      </c>
      <c r="L549" t="n">
        <v>0</v>
      </c>
      <c r="M549" t="n">
        <v>0</v>
      </c>
      <c r="N549" t="n">
        <v>0</v>
      </c>
      <c r="O549" t="n">
        <v>0</v>
      </c>
      <c r="P549" t="n">
        <v>0</v>
      </c>
      <c r="Q549" t="n">
        <v>0</v>
      </c>
      <c r="R549" t="n">
        <v>0</v>
      </c>
      <c r="S549" t="n">
        <v>0</v>
      </c>
      <c r="T549" t="n">
        <v>0</v>
      </c>
      <c r="U549" s="2" t="inlineStr"/>
    </row>
    <row r="550" ht="15" customHeight="1">
      <c r="A550" t="inlineStr">
        <is>
          <t>A 24946-2026</t>
        </is>
      </c>
      <c r="B550" t="inlineStr">
        <is>
          <t>avverkningsanmälan</t>
        </is>
      </c>
      <c r="C550" t="inlineStr">
        <is>
          <t>Föryngringsavverkning</t>
        </is>
      </c>
      <c r="D550" s="1" t="n">
        <v>46174</v>
      </c>
      <c r="E550" s="1" t="n">
        <v>46223</v>
      </c>
      <c r="F550" t="inlineStr">
        <is>
          <t>DALARNAS LÄN</t>
        </is>
      </c>
      <c r="G550" t="inlineStr">
        <is>
          <t>SMEDJEBACKEN</t>
        </is>
      </c>
      <c r="H550" t="inlineStr">
        <is>
          <t>Sveaskog</t>
        </is>
      </c>
      <c r="I550" t="n">
        <v>3.7</v>
      </c>
      <c r="J550" t="n">
        <v>0</v>
      </c>
      <c r="K550" t="n">
        <v>0</v>
      </c>
      <c r="L550" t="n">
        <v>0</v>
      </c>
      <c r="M550" t="n">
        <v>0</v>
      </c>
      <c r="N550" t="n">
        <v>0</v>
      </c>
      <c r="O550" t="n">
        <v>0</v>
      </c>
      <c r="P550" t="n">
        <v>0</v>
      </c>
      <c r="Q550" t="n">
        <v>0</v>
      </c>
      <c r="R550" t="n">
        <v>0</v>
      </c>
      <c r="S550" t="n">
        <v>0</v>
      </c>
      <c r="T550" t="n">
        <v>0</v>
      </c>
      <c r="U550" s="2" t="inlineStr"/>
    </row>
    <row r="551" ht="15" customHeight="1">
      <c r="A551" t="inlineStr">
        <is>
          <t>A 39535-2021</t>
        </is>
      </c>
      <c r="B551" t="inlineStr">
        <is>
          <t>avverkningsanmälan</t>
        </is>
      </c>
      <c r="C551" t="inlineStr">
        <is>
          <t>Föryngringsavverkning</t>
        </is>
      </c>
      <c r="D551" s="1" t="n">
        <v>44415</v>
      </c>
      <c r="E551" s="1" t="n">
        <v>46223</v>
      </c>
      <c r="F551" t="inlineStr">
        <is>
          <t>DALARNAS LÄN</t>
        </is>
      </c>
      <c r="G551" t="inlineStr">
        <is>
          <t>SMEDJEBACKEN</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14845-2023</t>
        </is>
      </c>
      <c r="B552" t="inlineStr">
        <is>
          <t>avverkningsanmälan</t>
        </is>
      </c>
      <c r="C552" t="inlineStr">
        <is>
          <t>Föryngringsavverkning</t>
        </is>
      </c>
      <c r="D552" s="1" t="n">
        <v>45014</v>
      </c>
      <c r="E552" s="1" t="n">
        <v>46223</v>
      </c>
      <c r="F552" t="inlineStr">
        <is>
          <t>DALARNAS LÄN</t>
        </is>
      </c>
      <c r="G552" t="inlineStr">
        <is>
          <t>SMEDJEBACKEN</t>
        </is>
      </c>
      <c r="I552" t="n">
        <v>3.8</v>
      </c>
      <c r="J552" t="n">
        <v>0</v>
      </c>
      <c r="K552" t="n">
        <v>0</v>
      </c>
      <c r="L552" t="n">
        <v>0</v>
      </c>
      <c r="M552" t="n">
        <v>0</v>
      </c>
      <c r="N552" t="n">
        <v>0</v>
      </c>
      <c r="O552" t="n">
        <v>0</v>
      </c>
      <c r="P552" t="n">
        <v>0</v>
      </c>
      <c r="Q552" t="n">
        <v>0</v>
      </c>
      <c r="R552" t="n">
        <v>0</v>
      </c>
      <c r="S552" t="n">
        <v>0</v>
      </c>
      <c r="T552" t="n">
        <v>0</v>
      </c>
      <c r="U552" s="2" t="inlineStr"/>
    </row>
    <row r="553" ht="15" customHeight="1">
      <c r="A553" t="inlineStr">
        <is>
          <t>A 16419-2025</t>
        </is>
      </c>
      <c r="B553" t="inlineStr">
        <is>
          <t>avverkningsanmälan</t>
        </is>
      </c>
      <c r="C553" t="inlineStr">
        <is>
          <t>Föryngringsavverkning</t>
        </is>
      </c>
      <c r="D553" s="1" t="n">
        <v>45751</v>
      </c>
      <c r="E553" s="1" t="n">
        <v>46223</v>
      </c>
      <c r="F553" t="inlineStr">
        <is>
          <t>DALARNAS LÄN</t>
        </is>
      </c>
      <c r="G553" t="inlineStr">
        <is>
          <t>SMEDJEBACKEN</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25294-2026</t>
        </is>
      </c>
      <c r="B554" t="inlineStr">
        <is>
          <t>avverkningsanmälan</t>
        </is>
      </c>
      <c r="C554" t="inlineStr">
        <is>
          <t>Föryngringsavverkning</t>
        </is>
      </c>
      <c r="D554" s="1" t="n">
        <v>46176</v>
      </c>
      <c r="E554" s="1" t="n">
        <v>46223</v>
      </c>
      <c r="F554" t="inlineStr">
        <is>
          <t>DALARNAS LÄN</t>
        </is>
      </c>
      <c r="G554" t="inlineStr">
        <is>
          <t>SMEDJEBACKEN</t>
        </is>
      </c>
      <c r="H554" t="inlineStr">
        <is>
          <t>Sveaskog</t>
        </is>
      </c>
      <c r="I554" t="n">
        <v>5.9</v>
      </c>
      <c r="J554" t="n">
        <v>0</v>
      </c>
      <c r="K554" t="n">
        <v>0</v>
      </c>
      <c r="L554" t="n">
        <v>0</v>
      </c>
      <c r="M554" t="n">
        <v>0</v>
      </c>
      <c r="N554" t="n">
        <v>0</v>
      </c>
      <c r="O554" t="n">
        <v>0</v>
      </c>
      <c r="P554" t="n">
        <v>0</v>
      </c>
      <c r="Q554" t="n">
        <v>0</v>
      </c>
      <c r="R554" t="n">
        <v>0</v>
      </c>
      <c r="S554" t="n">
        <v>0</v>
      </c>
      <c r="T554" t="n">
        <v>0</v>
      </c>
      <c r="U554" s="2" t="inlineStr"/>
    </row>
    <row r="555" ht="15" customHeight="1">
      <c r="A555" t="inlineStr">
        <is>
          <t>A 17687-2025</t>
        </is>
      </c>
      <c r="B555" t="inlineStr">
        <is>
          <t>avverkningsanmälan</t>
        </is>
      </c>
      <c r="C555" t="inlineStr">
        <is>
          <t>Föryngringsavverkning</t>
        </is>
      </c>
      <c r="D555" s="1" t="n">
        <v>45758</v>
      </c>
      <c r="E555" s="1" t="n">
        <v>46223</v>
      </c>
      <c r="F555" t="inlineStr">
        <is>
          <t>DALARNAS LÄN</t>
        </is>
      </c>
      <c r="G555" t="inlineStr">
        <is>
          <t>SMEDJEBACKEN</t>
        </is>
      </c>
      <c r="I555" t="n">
        <v>2.9</v>
      </c>
      <c r="J555" t="n">
        <v>0</v>
      </c>
      <c r="K555" t="n">
        <v>0</v>
      </c>
      <c r="L555" t="n">
        <v>0</v>
      </c>
      <c r="M555" t="n">
        <v>0</v>
      </c>
      <c r="N555" t="n">
        <v>0</v>
      </c>
      <c r="O555" t="n">
        <v>0</v>
      </c>
      <c r="P555" t="n">
        <v>0</v>
      </c>
      <c r="Q555" t="n">
        <v>0</v>
      </c>
      <c r="R555" t="n">
        <v>0</v>
      </c>
      <c r="S555" t="n">
        <v>0</v>
      </c>
      <c r="T555" t="n">
        <v>0</v>
      </c>
      <c r="U555" s="2" t="inlineStr"/>
    </row>
    <row r="556" ht="15" customHeight="1">
      <c r="A556" t="inlineStr">
        <is>
          <t>A 25291-2026</t>
        </is>
      </c>
      <c r="B556" t="inlineStr">
        <is>
          <t>avverkningsanmälan</t>
        </is>
      </c>
      <c r="C556" t="inlineStr">
        <is>
          <t>Föryngringsavverkning</t>
        </is>
      </c>
      <c r="D556" s="1" t="n">
        <v>46176</v>
      </c>
      <c r="E556" s="1" t="n">
        <v>46223</v>
      </c>
      <c r="F556" t="inlineStr">
        <is>
          <t>DALARNAS LÄN</t>
        </is>
      </c>
      <c r="G556" t="inlineStr">
        <is>
          <t>SMEDJEBACKEN</t>
        </is>
      </c>
      <c r="H556" t="inlineStr">
        <is>
          <t>Sveaskog</t>
        </is>
      </c>
      <c r="I556" t="n">
        <v>18.4</v>
      </c>
      <c r="J556" t="n">
        <v>0</v>
      </c>
      <c r="K556" t="n">
        <v>0</v>
      </c>
      <c r="L556" t="n">
        <v>0</v>
      </c>
      <c r="M556" t="n">
        <v>0</v>
      </c>
      <c r="N556" t="n">
        <v>0</v>
      </c>
      <c r="O556" t="n">
        <v>0</v>
      </c>
      <c r="P556" t="n">
        <v>0</v>
      </c>
      <c r="Q556" t="n">
        <v>0</v>
      </c>
      <c r="R556" t="n">
        <v>0</v>
      </c>
      <c r="S556" t="n">
        <v>0</v>
      </c>
      <c r="T556" t="n">
        <v>0</v>
      </c>
      <c r="U556" s="2" t="inlineStr"/>
    </row>
    <row r="557" ht="15" customHeight="1">
      <c r="A557" t="inlineStr">
        <is>
          <t>A 25728-2026</t>
        </is>
      </c>
      <c r="B557" t="inlineStr">
        <is>
          <t>avverkningsanmälan</t>
        </is>
      </c>
      <c r="C557" t="inlineStr">
        <is>
          <t>Föryngringsavverkning</t>
        </is>
      </c>
      <c r="D557" s="1" t="n">
        <v>46178</v>
      </c>
      <c r="E557" s="1" t="n">
        <v>46223</v>
      </c>
      <c r="F557" t="inlineStr">
        <is>
          <t>DALARNAS LÄN</t>
        </is>
      </c>
      <c r="G557" t="inlineStr">
        <is>
          <t>SMEDJEBACKEN</t>
        </is>
      </c>
      <c r="I557" t="n">
        <v>5.5</v>
      </c>
      <c r="J557" t="n">
        <v>0</v>
      </c>
      <c r="K557" t="n">
        <v>0</v>
      </c>
      <c r="L557" t="n">
        <v>0</v>
      </c>
      <c r="M557" t="n">
        <v>0</v>
      </c>
      <c r="N557" t="n">
        <v>0</v>
      </c>
      <c r="O557" t="n">
        <v>0</v>
      </c>
      <c r="P557" t="n">
        <v>0</v>
      </c>
      <c r="Q557" t="n">
        <v>0</v>
      </c>
      <c r="R557" t="n">
        <v>0</v>
      </c>
      <c r="S557" t="n">
        <v>0</v>
      </c>
      <c r="T557" t="n">
        <v>0</v>
      </c>
      <c r="U557" s="2" t="inlineStr"/>
    </row>
    <row r="558" ht="15" customHeight="1">
      <c r="A558" t="inlineStr">
        <is>
          <t>A 25290-2026</t>
        </is>
      </c>
      <c r="B558" t="inlineStr">
        <is>
          <t>avverkningsanmälan</t>
        </is>
      </c>
      <c r="C558" t="inlineStr">
        <is>
          <t>Föryngringsavverkning</t>
        </is>
      </c>
      <c r="D558" s="1" t="n">
        <v>46176</v>
      </c>
      <c r="E558" s="1" t="n">
        <v>46223</v>
      </c>
      <c r="F558" t="inlineStr">
        <is>
          <t>DALARNAS LÄN</t>
        </is>
      </c>
      <c r="G558" t="inlineStr">
        <is>
          <t>SMEDJEBACKEN</t>
        </is>
      </c>
      <c r="H558" t="inlineStr">
        <is>
          <t>Sveaskog</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11426-2022</t>
        </is>
      </c>
      <c r="B559" t="inlineStr">
        <is>
          <t>avverkningsanmälan</t>
        </is>
      </c>
      <c r="C559" t="inlineStr">
        <is>
          <t>Avverkning för annat ändamål</t>
        </is>
      </c>
      <c r="D559" s="1" t="n">
        <v>44630</v>
      </c>
      <c r="E559" s="1" t="n">
        <v>46223</v>
      </c>
      <c r="F559" t="inlineStr">
        <is>
          <t>DALARNAS LÄN</t>
        </is>
      </c>
      <c r="G559" t="inlineStr">
        <is>
          <t>SMEDJEBACKEN</t>
        </is>
      </c>
      <c r="I559" t="n">
        <v>0.9</v>
      </c>
      <c r="J559" t="n">
        <v>0</v>
      </c>
      <c r="K559" t="n">
        <v>0</v>
      </c>
      <c r="L559" t="n">
        <v>0</v>
      </c>
      <c r="M559" t="n">
        <v>0</v>
      </c>
      <c r="N559" t="n">
        <v>0</v>
      </c>
      <c r="O559" t="n">
        <v>0</v>
      </c>
      <c r="P559" t="n">
        <v>0</v>
      </c>
      <c r="Q559" t="n">
        <v>0</v>
      </c>
      <c r="R559" t="n">
        <v>0</v>
      </c>
      <c r="S559" t="n">
        <v>0</v>
      </c>
      <c r="T559" t="n">
        <v>0</v>
      </c>
      <c r="U559" s="2" t="inlineStr"/>
    </row>
    <row r="560" ht="15" customHeight="1">
      <c r="A560" t="inlineStr">
        <is>
          <t>A 17908-2022</t>
        </is>
      </c>
      <c r="B560" t="inlineStr">
        <is>
          <t>avverkningsanmälan</t>
        </is>
      </c>
      <c r="C560" t="inlineStr">
        <is>
          <t>Föryngringsavverkning</t>
        </is>
      </c>
      <c r="D560" s="1" t="n">
        <v>44683</v>
      </c>
      <c r="E560" s="1" t="n">
        <v>46223</v>
      </c>
      <c r="F560" t="inlineStr">
        <is>
          <t>DALARNAS LÄN</t>
        </is>
      </c>
      <c r="G560" t="inlineStr">
        <is>
          <t>SMEDJEBACKEN</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25289-2026</t>
        </is>
      </c>
      <c r="B561" t="inlineStr">
        <is>
          <t>avverkningsanmälan</t>
        </is>
      </c>
      <c r="C561" t="inlineStr">
        <is>
          <t>Föryngringsavverkning</t>
        </is>
      </c>
      <c r="D561" s="1" t="n">
        <v>46176</v>
      </c>
      <c r="E561" s="1" t="n">
        <v>46223</v>
      </c>
      <c r="F561" t="inlineStr">
        <is>
          <t>DALARNAS LÄN</t>
        </is>
      </c>
      <c r="G561" t="inlineStr">
        <is>
          <t>SMEDJEBACKEN</t>
        </is>
      </c>
      <c r="H561" t="inlineStr">
        <is>
          <t>Sveaskog</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25296-2026</t>
        </is>
      </c>
      <c r="B562" t="inlineStr">
        <is>
          <t>avverkningsanmälan</t>
        </is>
      </c>
      <c r="C562" t="inlineStr">
        <is>
          <t>Föryngringsavverkning</t>
        </is>
      </c>
      <c r="D562" s="1" t="n">
        <v>46176</v>
      </c>
      <c r="E562" s="1" t="n">
        <v>46223</v>
      </c>
      <c r="F562" t="inlineStr">
        <is>
          <t>DALARNAS LÄN</t>
        </is>
      </c>
      <c r="G562" t="inlineStr">
        <is>
          <t>SMEDJEBACKEN</t>
        </is>
      </c>
      <c r="H562" t="inlineStr">
        <is>
          <t>Sveaskog</t>
        </is>
      </c>
      <c r="I562" t="n">
        <v>8.199999999999999</v>
      </c>
      <c r="J562" t="n">
        <v>0</v>
      </c>
      <c r="K562" t="n">
        <v>0</v>
      </c>
      <c r="L562" t="n">
        <v>0</v>
      </c>
      <c r="M562" t="n">
        <v>0</v>
      </c>
      <c r="N562" t="n">
        <v>0</v>
      </c>
      <c r="O562" t="n">
        <v>0</v>
      </c>
      <c r="P562" t="n">
        <v>0</v>
      </c>
      <c r="Q562" t="n">
        <v>0</v>
      </c>
      <c r="R562" t="n">
        <v>0</v>
      </c>
      <c r="S562" t="n">
        <v>0</v>
      </c>
      <c r="T562" t="n">
        <v>0</v>
      </c>
      <c r="U562" s="2" t="inlineStr"/>
    </row>
    <row r="563" ht="15" customHeight="1">
      <c r="A563" t="inlineStr">
        <is>
          <t>A 36614-2023</t>
        </is>
      </c>
      <c r="B563" t="inlineStr">
        <is>
          <t>avverkningsanmälan</t>
        </is>
      </c>
      <c r="C563" t="inlineStr">
        <is>
          <t>Föryngringsavverkning</t>
        </is>
      </c>
      <c r="D563" s="1" t="n">
        <v>45153</v>
      </c>
      <c r="E563" s="1" t="n">
        <v>46223</v>
      </c>
      <c r="F563" t="inlineStr">
        <is>
          <t>DALARNAS LÄN</t>
        </is>
      </c>
      <c r="G563" t="inlineStr">
        <is>
          <t>SMEDJEBACKEN</t>
        </is>
      </c>
      <c r="I563" t="n">
        <v>8</v>
      </c>
      <c r="J563" t="n">
        <v>0</v>
      </c>
      <c r="K563" t="n">
        <v>0</v>
      </c>
      <c r="L563" t="n">
        <v>0</v>
      </c>
      <c r="M563" t="n">
        <v>0</v>
      </c>
      <c r="N563" t="n">
        <v>0</v>
      </c>
      <c r="O563" t="n">
        <v>0</v>
      </c>
      <c r="P563" t="n">
        <v>0</v>
      </c>
      <c r="Q563" t="n">
        <v>0</v>
      </c>
      <c r="R563" t="n">
        <v>0</v>
      </c>
      <c r="S563" t="n">
        <v>0</v>
      </c>
      <c r="T563" t="n">
        <v>0</v>
      </c>
      <c r="U563" s="2" t="inlineStr"/>
      <c r="Y563">
        <f>HYPERLINK("https://klasma.github.io/Logging_2061/knärot/A 36614-2023 karta knärot.png", "A 36614-2023")</f>
        <v/>
      </c>
      <c r="Z563">
        <f>HYPERLINK("https://klasma.github.io/Logging_2061/klagomål/A 36614-2023 FSC-klagomål.docx", "A 36614-2023")</f>
        <v/>
      </c>
      <c r="AA563">
        <f>HYPERLINK("https://klasma.github.io/Logging_2061/klagomålsmail/A 36614-2023 FSC-klagomål mail.docx", "A 36614-2023")</f>
        <v/>
      </c>
      <c r="AB563">
        <f>HYPERLINK("https://klasma.github.io/Logging_2061/tillsyn/A 36614-2023 tillsynsbegäran.docx", "A 36614-2023")</f>
        <v/>
      </c>
      <c r="AC563">
        <f>HYPERLINK("https://klasma.github.io/Logging_2061/tillsynsmail/A 36614-2023 tillsynsbegäran mail.docx", "A 36614-2023")</f>
        <v/>
      </c>
    </row>
    <row r="564" ht="15" customHeight="1">
      <c r="A564" t="inlineStr">
        <is>
          <t>A 21443-2023</t>
        </is>
      </c>
      <c r="B564" t="inlineStr">
        <is>
          <t>avverkningsanmälan</t>
        </is>
      </c>
      <c r="C564" t="inlineStr">
        <is>
          <t>Föryngringsavverkning</t>
        </is>
      </c>
      <c r="D564" s="1" t="n">
        <v>45063</v>
      </c>
      <c r="E564" s="1" t="n">
        <v>46223</v>
      </c>
      <c r="F564" t="inlineStr">
        <is>
          <t>DALARNAS LÄN</t>
        </is>
      </c>
      <c r="G564" t="inlineStr">
        <is>
          <t>SMEDJEBACKEN</t>
        </is>
      </c>
      <c r="H564" t="inlineStr">
        <is>
          <t>Bergvik skog väst AB</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32600-2023</t>
        </is>
      </c>
      <c r="B565" t="inlineStr">
        <is>
          <t>avverkningsanmälan</t>
        </is>
      </c>
      <c r="C565" t="inlineStr">
        <is>
          <t>Avverkning för annat ändamål</t>
        </is>
      </c>
      <c r="D565" s="1" t="n">
        <v>45121</v>
      </c>
      <c r="E565" s="1" t="n">
        <v>46223</v>
      </c>
      <c r="F565" t="inlineStr">
        <is>
          <t>DALARNAS LÄN</t>
        </is>
      </c>
      <c r="G565" t="inlineStr">
        <is>
          <t>SMEDJEBACKEN</t>
        </is>
      </c>
      <c r="H565" t="inlineStr">
        <is>
          <t>Bergvik skog väst AB</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57217-2023</t>
        </is>
      </c>
      <c r="B566" t="inlineStr">
        <is>
          <t>avverkningsanmälan</t>
        </is>
      </c>
      <c r="C566" t="inlineStr">
        <is>
          <t>Föryngringsavverkning</t>
        </is>
      </c>
      <c r="D566" s="1" t="n">
        <v>45239</v>
      </c>
      <c r="E566" s="1" t="n">
        <v>46223</v>
      </c>
      <c r="F566" t="inlineStr">
        <is>
          <t>DALARNAS LÄN</t>
        </is>
      </c>
      <c r="G566" t="inlineStr">
        <is>
          <t>SMEDJEBACKEN</t>
        </is>
      </c>
      <c r="H566" t="inlineStr">
        <is>
          <t>Bergvik skog väst AB</t>
        </is>
      </c>
      <c r="I566" t="n">
        <v>4.2</v>
      </c>
      <c r="J566" t="n">
        <v>0</v>
      </c>
      <c r="K566" t="n">
        <v>0</v>
      </c>
      <c r="L566" t="n">
        <v>0</v>
      </c>
      <c r="M566" t="n">
        <v>0</v>
      </c>
      <c r="N566" t="n">
        <v>0</v>
      </c>
      <c r="O566" t="n">
        <v>0</v>
      </c>
      <c r="P566" t="n">
        <v>0</v>
      </c>
      <c r="Q566" t="n">
        <v>0</v>
      </c>
      <c r="R566" t="n">
        <v>0</v>
      </c>
      <c r="S566" t="n">
        <v>0</v>
      </c>
      <c r="T566" t="n">
        <v>0</v>
      </c>
      <c r="U566" s="2" t="inlineStr"/>
    </row>
    <row r="567" ht="15" customHeight="1">
      <c r="A567" t="inlineStr">
        <is>
          <t>A 35008-2024</t>
        </is>
      </c>
      <c r="B567" t="inlineStr">
        <is>
          <t>avverkningsanmälan</t>
        </is>
      </c>
      <c r="C567" t="inlineStr">
        <is>
          <t>Föryngringsavverkning</t>
        </is>
      </c>
      <c r="D567" s="1" t="n">
        <v>45527</v>
      </c>
      <c r="E567" s="1" t="n">
        <v>46223</v>
      </c>
      <c r="F567" t="inlineStr">
        <is>
          <t>DALARNAS LÄN</t>
        </is>
      </c>
      <c r="G567" t="inlineStr">
        <is>
          <t>SMEDJEBACKEN</t>
        </is>
      </c>
      <c r="H567" t="inlineStr">
        <is>
          <t>Bergvik skog väst AB</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60684-2024</t>
        </is>
      </c>
      <c r="B568" t="inlineStr">
        <is>
          <t>avverkningsanmälan</t>
        </is>
      </c>
      <c r="C568" t="inlineStr">
        <is>
          <t>Föryngringsavverkning</t>
        </is>
      </c>
      <c r="D568" s="1" t="n">
        <v>45644</v>
      </c>
      <c r="E568" s="1" t="n">
        <v>46223</v>
      </c>
      <c r="F568" t="inlineStr">
        <is>
          <t>DALARNAS LÄN</t>
        </is>
      </c>
      <c r="G568" t="inlineStr">
        <is>
          <t>SMEDJEBACKEN</t>
        </is>
      </c>
      <c r="I568" t="n">
        <v>3.3</v>
      </c>
      <c r="J568" t="n">
        <v>0</v>
      </c>
      <c r="K568" t="n">
        <v>0</v>
      </c>
      <c r="L568" t="n">
        <v>0</v>
      </c>
      <c r="M568" t="n">
        <v>0</v>
      </c>
      <c r="N568" t="n">
        <v>0</v>
      </c>
      <c r="O568" t="n">
        <v>0</v>
      </c>
      <c r="P568" t="n">
        <v>0</v>
      </c>
      <c r="Q568" t="n">
        <v>0</v>
      </c>
      <c r="R568" t="n">
        <v>0</v>
      </c>
      <c r="S568" t="n">
        <v>0</v>
      </c>
      <c r="T568" t="n">
        <v>0</v>
      </c>
      <c r="U568" s="2" t="inlineStr"/>
    </row>
    <row r="569" ht="15" customHeight="1">
      <c r="A569" t="inlineStr">
        <is>
          <t>A 61378-2023</t>
        </is>
      </c>
      <c r="B569" t="inlineStr">
        <is>
          <t>avverkningsanmälan</t>
        </is>
      </c>
      <c r="C569" t="inlineStr">
        <is>
          <t>Föryngringsavverkning</t>
        </is>
      </c>
      <c r="D569" s="1" t="n">
        <v>45264</v>
      </c>
      <c r="E569" s="1" t="n">
        <v>46223</v>
      </c>
      <c r="F569" t="inlineStr">
        <is>
          <t>DALARNAS LÄN</t>
        </is>
      </c>
      <c r="G569" t="inlineStr">
        <is>
          <t>SMEDJEBACKEN</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20901-2025</t>
        </is>
      </c>
      <c r="B570" t="inlineStr">
        <is>
          <t>avverkningsanmälan</t>
        </is>
      </c>
      <c r="C570" t="inlineStr">
        <is>
          <t>Föryngringsavverkning</t>
        </is>
      </c>
      <c r="D570" s="1" t="n">
        <v>45777</v>
      </c>
      <c r="E570" s="1" t="n">
        <v>46223</v>
      </c>
      <c r="F570" t="inlineStr">
        <is>
          <t>DALARNAS LÄN</t>
        </is>
      </c>
      <c r="G570" t="inlineStr">
        <is>
          <t>SMEDJEBACKEN</t>
        </is>
      </c>
      <c r="H570" t="inlineStr">
        <is>
          <t>Sveaskog</t>
        </is>
      </c>
      <c r="I570" t="n">
        <v>0.6</v>
      </c>
      <c r="J570" t="n">
        <v>0</v>
      </c>
      <c r="K570" t="n">
        <v>0</v>
      </c>
      <c r="L570" t="n">
        <v>0</v>
      </c>
      <c r="M570" t="n">
        <v>0</v>
      </c>
      <c r="N570" t="n">
        <v>0</v>
      </c>
      <c r="O570" t="n">
        <v>0</v>
      </c>
      <c r="P570" t="n">
        <v>0</v>
      </c>
      <c r="Q570" t="n">
        <v>0</v>
      </c>
      <c r="R570" t="n">
        <v>0</v>
      </c>
      <c r="S570" t="n">
        <v>0</v>
      </c>
      <c r="T570" t="n">
        <v>0</v>
      </c>
      <c r="U570" s="2" t="inlineStr"/>
    </row>
    <row r="571" ht="15" customHeight="1">
      <c r="A571" t="inlineStr">
        <is>
          <t>A 20903-2025</t>
        </is>
      </c>
      <c r="B571" t="inlineStr">
        <is>
          <t>avverkningsanmälan</t>
        </is>
      </c>
      <c r="C571" t="inlineStr">
        <is>
          <t>Föryngringsavverkning</t>
        </is>
      </c>
      <c r="D571" s="1" t="n">
        <v>45777</v>
      </c>
      <c r="E571" s="1" t="n">
        <v>46223</v>
      </c>
      <c r="F571" t="inlineStr">
        <is>
          <t>DALARNAS LÄN</t>
        </is>
      </c>
      <c r="G571" t="inlineStr">
        <is>
          <t>SMEDJEBACKEN</t>
        </is>
      </c>
      <c r="H571" t="inlineStr">
        <is>
          <t>Sveaskog</t>
        </is>
      </c>
      <c r="I571" t="n">
        <v>2.2</v>
      </c>
      <c r="J571" t="n">
        <v>0</v>
      </c>
      <c r="K571" t="n">
        <v>0</v>
      </c>
      <c r="L571" t="n">
        <v>0</v>
      </c>
      <c r="M571" t="n">
        <v>0</v>
      </c>
      <c r="N571" t="n">
        <v>0</v>
      </c>
      <c r="O571" t="n">
        <v>0</v>
      </c>
      <c r="P571" t="n">
        <v>0</v>
      </c>
      <c r="Q571" t="n">
        <v>0</v>
      </c>
      <c r="R571" t="n">
        <v>0</v>
      </c>
      <c r="S571" t="n">
        <v>0</v>
      </c>
      <c r="T571" t="n">
        <v>0</v>
      </c>
      <c r="U571" s="2" t="inlineStr"/>
    </row>
    <row r="572" ht="15" customHeight="1">
      <c r="A572" t="inlineStr">
        <is>
          <t>A 42315-2024</t>
        </is>
      </c>
      <c r="B572" t="inlineStr">
        <is>
          <t>avverkningsanmälan</t>
        </is>
      </c>
      <c r="C572" t="inlineStr">
        <is>
          <t>Föryngringsavverkning</t>
        </is>
      </c>
      <c r="D572" s="1" t="n">
        <v>45562</v>
      </c>
      <c r="E572" s="1" t="n">
        <v>46223</v>
      </c>
      <c r="F572" t="inlineStr">
        <is>
          <t>DALARNAS LÄN</t>
        </is>
      </c>
      <c r="G572" t="inlineStr">
        <is>
          <t>SMEDJEBACKEN</t>
        </is>
      </c>
      <c r="I572" t="n">
        <v>5.7</v>
      </c>
      <c r="J572" t="n">
        <v>0</v>
      </c>
      <c r="K572" t="n">
        <v>0</v>
      </c>
      <c r="L572" t="n">
        <v>0</v>
      </c>
      <c r="M572" t="n">
        <v>0</v>
      </c>
      <c r="N572" t="n">
        <v>0</v>
      </c>
      <c r="O572" t="n">
        <v>0</v>
      </c>
      <c r="P572" t="n">
        <v>0</v>
      </c>
      <c r="Q572" t="n">
        <v>0</v>
      </c>
      <c r="R572" t="n">
        <v>0</v>
      </c>
      <c r="S572" t="n">
        <v>0</v>
      </c>
      <c r="T572" t="n">
        <v>0</v>
      </c>
      <c r="U572" s="2" t="inlineStr"/>
    </row>
    <row r="573" ht="15" customHeight="1">
      <c r="A573" t="inlineStr">
        <is>
          <t>A 22207-2024</t>
        </is>
      </c>
      <c r="B573" t="inlineStr">
        <is>
          <t>avverkningsanmälan</t>
        </is>
      </c>
      <c r="C573" t="inlineStr">
        <is>
          <t>Föryngringsavverkning</t>
        </is>
      </c>
      <c r="D573" s="1" t="n">
        <v>45446</v>
      </c>
      <c r="E573" s="1" t="n">
        <v>46223</v>
      </c>
      <c r="F573" t="inlineStr">
        <is>
          <t>DALARNAS LÄN</t>
        </is>
      </c>
      <c r="G573" t="inlineStr">
        <is>
          <t>SMEDJEBACKEN</t>
        </is>
      </c>
      <c r="H573" t="inlineStr">
        <is>
          <t>Sveaskog</t>
        </is>
      </c>
      <c r="I573" t="n">
        <v>1.3</v>
      </c>
      <c r="J573" t="n">
        <v>0</v>
      </c>
      <c r="K573" t="n">
        <v>0</v>
      </c>
      <c r="L573" t="n">
        <v>0</v>
      </c>
      <c r="M573" t="n">
        <v>0</v>
      </c>
      <c r="N573" t="n">
        <v>0</v>
      </c>
      <c r="O573" t="n">
        <v>0</v>
      </c>
      <c r="P573" t="n">
        <v>0</v>
      </c>
      <c r="Q573" t="n">
        <v>0</v>
      </c>
      <c r="R573" t="n">
        <v>0</v>
      </c>
      <c r="S573" t="n">
        <v>0</v>
      </c>
      <c r="T573" t="n">
        <v>0</v>
      </c>
      <c r="U573" s="2" t="inlineStr"/>
    </row>
    <row r="574" ht="15" customHeight="1">
      <c r="A574" t="inlineStr">
        <is>
          <t>A 43926-2024</t>
        </is>
      </c>
      <c r="B574" t="inlineStr">
        <is>
          <t>avverkningsanmälan</t>
        </is>
      </c>
      <c r="C574" t="inlineStr">
        <is>
          <t>Föryngringsavverkning</t>
        </is>
      </c>
      <c r="D574" s="1" t="n">
        <v>45572</v>
      </c>
      <c r="E574" s="1" t="n">
        <v>46223</v>
      </c>
      <c r="F574" t="inlineStr">
        <is>
          <t>DALARNAS LÄN</t>
        </is>
      </c>
      <c r="G574" t="inlineStr">
        <is>
          <t>SMEDJEBACKEN</t>
        </is>
      </c>
      <c r="H574" t="inlineStr">
        <is>
          <t>Sveaskog</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25393-2024</t>
        </is>
      </c>
      <c r="B575" t="inlineStr">
        <is>
          <t>avverkningsanmälan</t>
        </is>
      </c>
      <c r="C575" t="inlineStr">
        <is>
          <t>Föryngringsavverkning</t>
        </is>
      </c>
      <c r="D575" s="1" t="n">
        <v>45463</v>
      </c>
      <c r="E575" s="1" t="n">
        <v>46223</v>
      </c>
      <c r="F575" t="inlineStr">
        <is>
          <t>DALARNAS LÄN</t>
        </is>
      </c>
      <c r="G575" t="inlineStr">
        <is>
          <t>SMEDJEBACKEN</t>
        </is>
      </c>
      <c r="I575" t="n">
        <v>5.2</v>
      </c>
      <c r="J575" t="n">
        <v>0</v>
      </c>
      <c r="K575" t="n">
        <v>0</v>
      </c>
      <c r="L575" t="n">
        <v>0</v>
      </c>
      <c r="M575" t="n">
        <v>0</v>
      </c>
      <c r="N575" t="n">
        <v>0</v>
      </c>
      <c r="O575" t="n">
        <v>0</v>
      </c>
      <c r="P575" t="n">
        <v>0</v>
      </c>
      <c r="Q575" t="n">
        <v>0</v>
      </c>
      <c r="R575" t="n">
        <v>0</v>
      </c>
      <c r="S575" t="n">
        <v>0</v>
      </c>
      <c r="T575" t="n">
        <v>0</v>
      </c>
      <c r="U575" s="2" t="inlineStr"/>
    </row>
    <row r="576" ht="15" customHeight="1">
      <c r="A576" t="inlineStr">
        <is>
          <t>A 50539-2024</t>
        </is>
      </c>
      <c r="B576" t="inlineStr">
        <is>
          <t>avverkningsanmälan</t>
        </is>
      </c>
      <c r="C576" t="inlineStr">
        <is>
          <t>Föryngringsavverkning</t>
        </is>
      </c>
      <c r="D576" s="1" t="n">
        <v>45600</v>
      </c>
      <c r="E576" s="1" t="n">
        <v>46223</v>
      </c>
      <c r="F576" t="inlineStr">
        <is>
          <t>DALARNAS LÄN</t>
        </is>
      </c>
      <c r="G576" t="inlineStr">
        <is>
          <t>SMEDJEBACKEN</t>
        </is>
      </c>
      <c r="I576" t="n">
        <v>0.8</v>
      </c>
      <c r="J576" t="n">
        <v>0</v>
      </c>
      <c r="K576" t="n">
        <v>0</v>
      </c>
      <c r="L576" t="n">
        <v>0</v>
      </c>
      <c r="M576" t="n">
        <v>0</v>
      </c>
      <c r="N576" t="n">
        <v>0</v>
      </c>
      <c r="O576" t="n">
        <v>0</v>
      </c>
      <c r="P576" t="n">
        <v>0</v>
      </c>
      <c r="Q576" t="n">
        <v>0</v>
      </c>
      <c r="R576" t="n">
        <v>0</v>
      </c>
      <c r="S576" t="n">
        <v>0</v>
      </c>
      <c r="T576" t="n">
        <v>0</v>
      </c>
      <c r="U576" s="2" t="inlineStr"/>
    </row>
    <row r="577" ht="15" customHeight="1">
      <c r="A577" t="inlineStr">
        <is>
          <t>A 41333-2024</t>
        </is>
      </c>
      <c r="B577" t="inlineStr">
        <is>
          <t>avverkningsanmälan</t>
        </is>
      </c>
      <c r="C577" t="inlineStr">
        <is>
          <t>Föryngringsavverkning</t>
        </is>
      </c>
      <c r="D577" s="1" t="n">
        <v>45559</v>
      </c>
      <c r="E577" s="1" t="n">
        <v>46223</v>
      </c>
      <c r="F577" t="inlineStr">
        <is>
          <t>DALARNAS LÄN</t>
        </is>
      </c>
      <c r="G577" t="inlineStr">
        <is>
          <t>SMEDJEBACKEN</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51771-2024</t>
        </is>
      </c>
      <c r="B578" t="inlineStr">
        <is>
          <t>avverkningsanmälan</t>
        </is>
      </c>
      <c r="C578" t="inlineStr">
        <is>
          <t>Föryngringsavverkning</t>
        </is>
      </c>
      <c r="D578" s="1" t="n">
        <v>45607</v>
      </c>
      <c r="E578" s="1" t="n">
        <v>46223</v>
      </c>
      <c r="F578" t="inlineStr">
        <is>
          <t>DALARNAS LÄN</t>
        </is>
      </c>
      <c r="G578" t="inlineStr">
        <is>
          <t>SMEDJEBACKEN</t>
        </is>
      </c>
      <c r="I578" t="n">
        <v>1.6</v>
      </c>
      <c r="J578" t="n">
        <v>0</v>
      </c>
      <c r="K578" t="n">
        <v>0</v>
      </c>
      <c r="L578" t="n">
        <v>0</v>
      </c>
      <c r="M578" t="n">
        <v>0</v>
      </c>
      <c r="N578" t="n">
        <v>0</v>
      </c>
      <c r="O578" t="n">
        <v>0</v>
      </c>
      <c r="P578" t="n">
        <v>0</v>
      </c>
      <c r="Q578" t="n">
        <v>0</v>
      </c>
      <c r="R578" t="n">
        <v>0</v>
      </c>
      <c r="S578" t="n">
        <v>0</v>
      </c>
      <c r="T578" t="n">
        <v>0</v>
      </c>
      <c r="U578" s="2" t="inlineStr"/>
    </row>
    <row r="579" ht="15" customHeight="1">
      <c r="A579" t="inlineStr">
        <is>
          <t>A 50567-2024</t>
        </is>
      </c>
      <c r="B579" t="inlineStr">
        <is>
          <t>avverkningsanmälan</t>
        </is>
      </c>
      <c r="C579" t="inlineStr">
        <is>
          <t>Föryngringsavverkning</t>
        </is>
      </c>
      <c r="D579" s="1" t="n">
        <v>45600</v>
      </c>
      <c r="E579" s="1" t="n">
        <v>46223</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s="2" t="inlineStr"/>
    </row>
    <row r="580" ht="15" customHeight="1">
      <c r="A580" t="inlineStr">
        <is>
          <t>A 49144-2024</t>
        </is>
      </c>
      <c r="B580" t="inlineStr">
        <is>
          <t>avverkningsanmälan</t>
        </is>
      </c>
      <c r="C580" t="inlineStr">
        <is>
          <t>Föryngringsavverkning</t>
        </is>
      </c>
      <c r="D580" s="1" t="n">
        <v>45594</v>
      </c>
      <c r="E580" s="1" t="n">
        <v>46223</v>
      </c>
      <c r="F580" t="inlineStr">
        <is>
          <t>DALARNAS LÄN</t>
        </is>
      </c>
      <c r="G580" t="inlineStr">
        <is>
          <t>SMEDJEBACKEN</t>
        </is>
      </c>
      <c r="H580" t="inlineStr">
        <is>
          <t>Bergvik skog väst AB</t>
        </is>
      </c>
      <c r="I580" t="n">
        <v>16.9</v>
      </c>
      <c r="J580" t="n">
        <v>0</v>
      </c>
      <c r="K580" t="n">
        <v>0</v>
      </c>
      <c r="L580" t="n">
        <v>0</v>
      </c>
      <c r="M580" t="n">
        <v>0</v>
      </c>
      <c r="N580" t="n">
        <v>0</v>
      </c>
      <c r="O580" t="n">
        <v>0</v>
      </c>
      <c r="P580" t="n">
        <v>0</v>
      </c>
      <c r="Q580" t="n">
        <v>0</v>
      </c>
      <c r="R580" t="n">
        <v>0</v>
      </c>
      <c r="S580" t="n">
        <v>0</v>
      </c>
      <c r="T580" t="n">
        <v>0</v>
      </c>
      <c r="U580" s="2" t="inlineStr"/>
    </row>
    <row r="581" ht="15" customHeight="1">
      <c r="A581" t="inlineStr">
        <is>
          <t>A 24164-2025</t>
        </is>
      </c>
      <c r="B581" t="inlineStr">
        <is>
          <t>avverkningsanmälan</t>
        </is>
      </c>
      <c r="C581" t="inlineStr">
        <is>
          <t>Föryngringsavverkning</t>
        </is>
      </c>
      <c r="D581" s="1" t="n">
        <v>45796</v>
      </c>
      <c r="E581" s="1" t="n">
        <v>46223</v>
      </c>
      <c r="F581" t="inlineStr">
        <is>
          <t>DALARNAS LÄN</t>
        </is>
      </c>
      <c r="G581" t="inlineStr">
        <is>
          <t>SMEDJEBACKEN</t>
        </is>
      </c>
      <c r="H581" t="inlineStr">
        <is>
          <t>Övriga Aktiebolag</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34923-2024</t>
        </is>
      </c>
      <c r="B582" t="inlineStr">
        <is>
          <t>avverkningsanmälan</t>
        </is>
      </c>
      <c r="C582" t="inlineStr">
        <is>
          <t>Föryngringsavverkning</t>
        </is>
      </c>
      <c r="D582" s="1" t="n">
        <v>45527</v>
      </c>
      <c r="E582" s="1" t="n">
        <v>46223</v>
      </c>
      <c r="F582" t="inlineStr">
        <is>
          <t>DALARNAS LÄN</t>
        </is>
      </c>
      <c r="G582" t="inlineStr">
        <is>
          <t>SMEDJEBACKEN</t>
        </is>
      </c>
      <c r="H582" t="inlineStr">
        <is>
          <t>Övriga Aktiebolag</t>
        </is>
      </c>
      <c r="I582" t="n">
        <v>3.2</v>
      </c>
      <c r="J582" t="n">
        <v>0</v>
      </c>
      <c r="K582" t="n">
        <v>0</v>
      </c>
      <c r="L582" t="n">
        <v>0</v>
      </c>
      <c r="M582" t="n">
        <v>0</v>
      </c>
      <c r="N582" t="n">
        <v>0</v>
      </c>
      <c r="O582" t="n">
        <v>0</v>
      </c>
      <c r="P582" t="n">
        <v>0</v>
      </c>
      <c r="Q582" t="n">
        <v>0</v>
      </c>
      <c r="R582" t="n">
        <v>0</v>
      </c>
      <c r="S582" t="n">
        <v>0</v>
      </c>
      <c r="T582" t="n">
        <v>0</v>
      </c>
      <c r="U582" s="2" t="inlineStr"/>
    </row>
    <row r="583" ht="15" customHeight="1">
      <c r="A583" t="inlineStr">
        <is>
          <t>A 658-2025</t>
        </is>
      </c>
      <c r="B583" t="inlineStr">
        <is>
          <t>avverkningsanmälan</t>
        </is>
      </c>
      <c r="C583" t="inlineStr">
        <is>
          <t>Föryngringsavverkning</t>
        </is>
      </c>
      <c r="D583" s="1" t="n">
        <v>45664</v>
      </c>
      <c r="E583" s="1" t="n">
        <v>46223</v>
      </c>
      <c r="F583" t="inlineStr">
        <is>
          <t>DALARNAS LÄN</t>
        </is>
      </c>
      <c r="G583" t="inlineStr">
        <is>
          <t>SMEDJEBACKEN</t>
        </is>
      </c>
      <c r="I583" t="n">
        <v>2.2</v>
      </c>
      <c r="J583" t="n">
        <v>0</v>
      </c>
      <c r="K583" t="n">
        <v>0</v>
      </c>
      <c r="L583" t="n">
        <v>0</v>
      </c>
      <c r="M583" t="n">
        <v>0</v>
      </c>
      <c r="N583" t="n">
        <v>0</v>
      </c>
      <c r="O583" t="n">
        <v>0</v>
      </c>
      <c r="P583" t="n">
        <v>0</v>
      </c>
      <c r="Q583" t="n">
        <v>0</v>
      </c>
      <c r="R583" t="n">
        <v>0</v>
      </c>
      <c r="S583" t="n">
        <v>0</v>
      </c>
      <c r="T583" t="n">
        <v>0</v>
      </c>
      <c r="U583" s="2" t="inlineStr"/>
    </row>
    <row r="584" ht="15" customHeight="1">
      <c r="A584" t="inlineStr">
        <is>
          <t>A 24372-2025</t>
        </is>
      </c>
      <c r="B584" t="inlineStr">
        <is>
          <t>avverkningsanmälan</t>
        </is>
      </c>
      <c r="C584" t="inlineStr">
        <is>
          <t>Föryngringsavverkning</t>
        </is>
      </c>
      <c r="D584" s="1" t="n">
        <v>45797</v>
      </c>
      <c r="E584" s="1" t="n">
        <v>46223</v>
      </c>
      <c r="F584" t="inlineStr">
        <is>
          <t>DALARNAS LÄN</t>
        </is>
      </c>
      <c r="G584" t="inlineStr">
        <is>
          <t>SMEDJEBACKEN</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31206-2024</t>
        </is>
      </c>
      <c r="B585" t="inlineStr">
        <is>
          <t>avverkningsanmälan</t>
        </is>
      </c>
      <c r="C585" t="inlineStr">
        <is>
          <t>Föryngringsavverkning</t>
        </is>
      </c>
      <c r="D585" s="1" t="n">
        <v>45503</v>
      </c>
      <c r="E585" s="1" t="n">
        <v>46223</v>
      </c>
      <c r="F585" t="inlineStr">
        <is>
          <t>DALARNAS LÄN</t>
        </is>
      </c>
      <c r="G585" t="inlineStr">
        <is>
          <t>SMEDJEBACKEN</t>
        </is>
      </c>
      <c r="I585" t="n">
        <v>3.9</v>
      </c>
      <c r="J585" t="n">
        <v>0</v>
      </c>
      <c r="K585" t="n">
        <v>0</v>
      </c>
      <c r="L585" t="n">
        <v>0</v>
      </c>
      <c r="M585" t="n">
        <v>0</v>
      </c>
      <c r="N585" t="n">
        <v>0</v>
      </c>
      <c r="O585" t="n">
        <v>0</v>
      </c>
      <c r="P585" t="n">
        <v>0</v>
      </c>
      <c r="Q585" t="n">
        <v>0</v>
      </c>
      <c r="R585" t="n">
        <v>0</v>
      </c>
      <c r="S585" t="n">
        <v>0</v>
      </c>
      <c r="T585" t="n">
        <v>0</v>
      </c>
      <c r="U585" s="2" t="inlineStr"/>
    </row>
    <row r="586" ht="15" customHeight="1">
      <c r="A586" t="inlineStr">
        <is>
          <t>A 45568-2024</t>
        </is>
      </c>
      <c r="B586" t="inlineStr">
        <is>
          <t>avverkningsanmälan</t>
        </is>
      </c>
      <c r="C586" t="inlineStr">
        <is>
          <t>Föryngringsavverkning</t>
        </is>
      </c>
      <c r="D586" s="1" t="n">
        <v>45578</v>
      </c>
      <c r="E586" s="1" t="n">
        <v>46223</v>
      </c>
      <c r="F586" t="inlineStr">
        <is>
          <t>DALARNAS LÄN</t>
        </is>
      </c>
      <c r="G586" t="inlineStr">
        <is>
          <t>SMEDJEBACKEN</t>
        </is>
      </c>
      <c r="H586" t="inlineStr">
        <is>
          <t>Bergvik skog väst AB</t>
        </is>
      </c>
      <c r="I586" t="n">
        <v>9.1</v>
      </c>
      <c r="J586" t="n">
        <v>0</v>
      </c>
      <c r="K586" t="n">
        <v>0</v>
      </c>
      <c r="L586" t="n">
        <v>0</v>
      </c>
      <c r="M586" t="n">
        <v>0</v>
      </c>
      <c r="N586" t="n">
        <v>0</v>
      </c>
      <c r="O586" t="n">
        <v>0</v>
      </c>
      <c r="P586" t="n">
        <v>0</v>
      </c>
      <c r="Q586" t="n">
        <v>0</v>
      </c>
      <c r="R586" t="n">
        <v>0</v>
      </c>
      <c r="S586" t="n">
        <v>0</v>
      </c>
      <c r="T586" t="n">
        <v>0</v>
      </c>
      <c r="U586" s="2" t="inlineStr"/>
    </row>
    <row r="587" ht="15" customHeight="1">
      <c r="A587" t="inlineStr">
        <is>
          <t>A 24262-2024</t>
        </is>
      </c>
      <c r="B587" t="inlineStr">
        <is>
          <t>avverkningsanmälan</t>
        </is>
      </c>
      <c r="C587" t="inlineStr">
        <is>
          <t>Avverkning för att bevara och utveckla /försöksver</t>
        </is>
      </c>
      <c r="D587" s="1" t="n">
        <v>45457</v>
      </c>
      <c r="E587" s="1" t="n">
        <v>46223</v>
      </c>
      <c r="F587" t="inlineStr">
        <is>
          <t>DALARNAS LÄN</t>
        </is>
      </c>
      <c r="G587" t="inlineStr">
        <is>
          <t>SMEDJEBACKEN</t>
        </is>
      </c>
      <c r="H587" t="inlineStr">
        <is>
          <t>Sveaskog</t>
        </is>
      </c>
      <c r="I587" t="n">
        <v>6</v>
      </c>
      <c r="J587" t="n">
        <v>0</v>
      </c>
      <c r="K587" t="n">
        <v>0</v>
      </c>
      <c r="L587" t="n">
        <v>0</v>
      </c>
      <c r="M587" t="n">
        <v>0</v>
      </c>
      <c r="N587" t="n">
        <v>0</v>
      </c>
      <c r="O587" t="n">
        <v>0</v>
      </c>
      <c r="P587" t="n">
        <v>0</v>
      </c>
      <c r="Q587" t="n">
        <v>0</v>
      </c>
      <c r="R587" t="n">
        <v>0</v>
      </c>
      <c r="S587" t="n">
        <v>0</v>
      </c>
      <c r="T587" t="n">
        <v>0</v>
      </c>
      <c r="U587" s="2" t="inlineStr"/>
    </row>
    <row r="588" ht="15" customHeight="1">
      <c r="A588" t="inlineStr">
        <is>
          <t>A 25160-2025</t>
        </is>
      </c>
      <c r="B588" t="inlineStr">
        <is>
          <t>avverkningsanmälan</t>
        </is>
      </c>
      <c r="C588" t="inlineStr">
        <is>
          <t>Föryngringsavverkning</t>
        </is>
      </c>
      <c r="D588" s="1" t="n">
        <v>45800</v>
      </c>
      <c r="E588" s="1" t="n">
        <v>46223</v>
      </c>
      <c r="F588" t="inlineStr">
        <is>
          <t>DALARNAS LÄN</t>
        </is>
      </c>
      <c r="G588" t="inlineStr">
        <is>
          <t>SMEDJEBACKEN</t>
        </is>
      </c>
      <c r="I588" t="n">
        <v>1.2</v>
      </c>
      <c r="J588" t="n">
        <v>0</v>
      </c>
      <c r="K588" t="n">
        <v>0</v>
      </c>
      <c r="L588" t="n">
        <v>0</v>
      </c>
      <c r="M588" t="n">
        <v>0</v>
      </c>
      <c r="N588" t="n">
        <v>0</v>
      </c>
      <c r="O588" t="n">
        <v>0</v>
      </c>
      <c r="P588" t="n">
        <v>0</v>
      </c>
      <c r="Q588" t="n">
        <v>0</v>
      </c>
      <c r="R588" t="n">
        <v>0</v>
      </c>
      <c r="S588" t="n">
        <v>0</v>
      </c>
      <c r="T588" t="n">
        <v>0</v>
      </c>
      <c r="U588" s="2" t="inlineStr"/>
    </row>
    <row r="589" ht="15" customHeight="1">
      <c r="A589" t="inlineStr">
        <is>
          <t>S 983-2022</t>
        </is>
      </c>
      <c r="B589" t="inlineStr">
        <is>
          <t>samrådsanmälan</t>
        </is>
      </c>
      <c r="C589" t="inlineStr">
        <is>
          <t>Skogsbilväg</t>
        </is>
      </c>
      <c r="D589" s="1" t="n">
        <v>44609</v>
      </c>
      <c r="E589" s="1" t="n">
        <v>46223</v>
      </c>
      <c r="F589" t="inlineStr">
        <is>
          <t>DALARNAS LÄN</t>
        </is>
      </c>
      <c r="G589" t="inlineStr">
        <is>
          <t>SMEDJEBACKEN</t>
        </is>
      </c>
      <c r="H589" t="inlineStr">
        <is>
          <t>Bergvik skog väst AB</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S 2340-2022</t>
        </is>
      </c>
      <c r="B590" t="inlineStr">
        <is>
          <t>samrådsanmälan</t>
        </is>
      </c>
      <c r="C590" t="inlineStr">
        <is>
          <t>Skogsbilväg</t>
        </is>
      </c>
      <c r="D590" s="1" t="n">
        <v>44686</v>
      </c>
      <c r="E590" s="1" t="n">
        <v>46223</v>
      </c>
      <c r="F590" t="inlineStr">
        <is>
          <t>DALARNAS LÄN</t>
        </is>
      </c>
      <c r="G590" t="inlineStr">
        <is>
          <t>SMEDJEBACKEN</t>
        </is>
      </c>
      <c r="H590" t="inlineStr">
        <is>
          <t>Övriga Aktiebolag</t>
        </is>
      </c>
      <c r="I590" t="n">
        <v>1.2</v>
      </c>
      <c r="J590" t="n">
        <v>0</v>
      </c>
      <c r="K590" t="n">
        <v>0</v>
      </c>
      <c r="L590" t="n">
        <v>0</v>
      </c>
      <c r="M590" t="n">
        <v>0</v>
      </c>
      <c r="N590" t="n">
        <v>0</v>
      </c>
      <c r="O590" t="n">
        <v>0</v>
      </c>
      <c r="P590" t="n">
        <v>0</v>
      </c>
      <c r="Q590" t="n">
        <v>0</v>
      </c>
      <c r="R590" t="n">
        <v>0</v>
      </c>
      <c r="S590" t="n">
        <v>0</v>
      </c>
      <c r="T590" t="n">
        <v>0</v>
      </c>
      <c r="U590" s="2" t="inlineStr"/>
    </row>
    <row r="591" ht="15" customHeight="1">
      <c r="A591" t="inlineStr">
        <is>
          <t>S 4717-2024</t>
        </is>
      </c>
      <c r="B591" t="inlineStr">
        <is>
          <t>samrådsanmälan</t>
        </is>
      </c>
      <c r="C591" t="inlineStr">
        <is>
          <t>Annan skogsbruksåtgärd</t>
        </is>
      </c>
      <c r="D591" s="1" t="n">
        <v>45607</v>
      </c>
      <c r="E591" s="1" t="n">
        <v>46223</v>
      </c>
      <c r="F591" t="inlineStr">
        <is>
          <t>DALARNAS LÄN</t>
        </is>
      </c>
      <c r="G591" t="inlineStr">
        <is>
          <t>SMEDJEBACKEN</t>
        </is>
      </c>
      <c r="H591" t="inlineStr">
        <is>
          <t>Bergvik skog väst AB</t>
        </is>
      </c>
      <c r="I591" t="n">
        <v>1.4</v>
      </c>
      <c r="J591" t="n">
        <v>0</v>
      </c>
      <c r="K591" t="n">
        <v>0</v>
      </c>
      <c r="L591" t="n">
        <v>0</v>
      </c>
      <c r="M591" t="n">
        <v>0</v>
      </c>
      <c r="N591" t="n">
        <v>0</v>
      </c>
      <c r="O591" t="n">
        <v>0</v>
      </c>
      <c r="P591" t="n">
        <v>0</v>
      </c>
      <c r="Q591" t="n">
        <v>0</v>
      </c>
      <c r="R591" t="n">
        <v>0</v>
      </c>
      <c r="S591" t="n">
        <v>0</v>
      </c>
      <c r="T591" t="n">
        <v>0</v>
      </c>
      <c r="U591" s="2" t="inlineStr"/>
    </row>
    <row r="592" ht="15" customHeight="1">
      <c r="A592" t="inlineStr">
        <is>
          <t>S 5042-2021</t>
        </is>
      </c>
      <c r="B592" t="inlineStr">
        <is>
          <t>samrådsanmälan</t>
        </is>
      </c>
      <c r="C592" t="inlineStr">
        <is>
          <t>Skogsbilväg</t>
        </is>
      </c>
      <c r="D592" s="1" t="n">
        <v>44420</v>
      </c>
      <c r="E592" s="1" t="n">
        <v>46223</v>
      </c>
      <c r="F592" t="inlineStr">
        <is>
          <t>DALARNAS LÄN</t>
        </is>
      </c>
      <c r="G592" t="inlineStr">
        <is>
          <t>SMEDJEBACKEN</t>
        </is>
      </c>
      <c r="H592" t="inlineStr">
        <is>
          <t>Bergvik skog väst AB</t>
        </is>
      </c>
      <c r="I592" t="n">
        <v>0.8</v>
      </c>
      <c r="J592" t="n">
        <v>0</v>
      </c>
      <c r="K592" t="n">
        <v>0</v>
      </c>
      <c r="L592" t="n">
        <v>0</v>
      </c>
      <c r="M592" t="n">
        <v>0</v>
      </c>
      <c r="N592" t="n">
        <v>0</v>
      </c>
      <c r="O592" t="n">
        <v>0</v>
      </c>
      <c r="P592" t="n">
        <v>0</v>
      </c>
      <c r="Q592" t="n">
        <v>0</v>
      </c>
      <c r="R592" t="n">
        <v>0</v>
      </c>
      <c r="S592" t="n">
        <v>0</v>
      </c>
      <c r="T592" t="n">
        <v>0</v>
      </c>
      <c r="U592" s="2" t="inlineStr"/>
    </row>
    <row r="593" ht="15" customHeight="1">
      <c r="A593" t="inlineStr">
        <is>
          <t>S 9265-2021</t>
        </is>
      </c>
      <c r="B593" t="inlineStr">
        <is>
          <t>samrådsanmälan</t>
        </is>
      </c>
      <c r="C593" t="inlineStr">
        <is>
          <t>Annan skogsbruksåtgärd</t>
        </is>
      </c>
      <c r="D593" s="1" t="n">
        <v>44517</v>
      </c>
      <c r="E593" s="1" t="n">
        <v>46223</v>
      </c>
      <c r="F593" t="inlineStr">
        <is>
          <t>DALARNAS LÄN</t>
        </is>
      </c>
      <c r="G593" t="inlineStr">
        <is>
          <t>SMEDJEBACKEN</t>
        </is>
      </c>
      <c r="H593" t="inlineStr">
        <is>
          <t>Bergvik skog väst AB</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S 9266-2021</t>
        </is>
      </c>
      <c r="B594" t="inlineStr">
        <is>
          <t>samrådsanmälan</t>
        </is>
      </c>
      <c r="C594" t="inlineStr">
        <is>
          <t>Annan skogsbruksåtgärd</t>
        </is>
      </c>
      <c r="D594" s="1" t="n">
        <v>44517</v>
      </c>
      <c r="E594" s="1" t="n">
        <v>46223</v>
      </c>
      <c r="F594" t="inlineStr">
        <is>
          <t>DALARNAS LÄN</t>
        </is>
      </c>
      <c r="G594" t="inlineStr">
        <is>
          <t>SMEDJEBACKEN</t>
        </is>
      </c>
      <c r="H594" t="inlineStr">
        <is>
          <t>Bergvik skog väst AB</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S 3505-2024</t>
        </is>
      </c>
      <c r="B595" t="inlineStr">
        <is>
          <t>samrådsanmälan</t>
        </is>
      </c>
      <c r="C595" t="inlineStr">
        <is>
          <t>Annan skogsbruksåtgärd</t>
        </is>
      </c>
      <c r="D595" s="1" t="n">
        <v>45540</v>
      </c>
      <c r="E595" s="1" t="n">
        <v>46223</v>
      </c>
      <c r="F595" t="inlineStr">
        <is>
          <t>DALARNAS LÄN</t>
        </is>
      </c>
      <c r="G595" t="inlineStr">
        <is>
          <t>SMEDJEBACKEN</t>
        </is>
      </c>
      <c r="H595" t="inlineStr">
        <is>
          <t>Bergvik skog väst AB</t>
        </is>
      </c>
      <c r="I595" t="n">
        <v>9.800000000000001</v>
      </c>
      <c r="J595" t="n">
        <v>0</v>
      </c>
      <c r="K595" t="n">
        <v>0</v>
      </c>
      <c r="L595" t="n">
        <v>0</v>
      </c>
      <c r="M595" t="n">
        <v>0</v>
      </c>
      <c r="N595" t="n">
        <v>0</v>
      </c>
      <c r="O595" t="n">
        <v>0</v>
      </c>
      <c r="P595" t="n">
        <v>0</v>
      </c>
      <c r="Q595" t="n">
        <v>0</v>
      </c>
      <c r="R595" t="n">
        <v>0</v>
      </c>
      <c r="S595" t="n">
        <v>0</v>
      </c>
      <c r="T595" t="n">
        <v>0</v>
      </c>
      <c r="U595" s="2" t="inlineStr"/>
    </row>
    <row r="596" ht="15" customHeight="1">
      <c r="A596" t="inlineStr">
        <is>
          <t>S 9267-2021</t>
        </is>
      </c>
      <c r="B596" t="inlineStr">
        <is>
          <t>samrådsanmälan</t>
        </is>
      </c>
      <c r="C596" t="inlineStr">
        <is>
          <t>Annan skogsbruksåtgärd</t>
        </is>
      </c>
      <c r="D596" s="1" t="n">
        <v>44517</v>
      </c>
      <c r="E596" s="1" t="n">
        <v>46223</v>
      </c>
      <c r="F596" t="inlineStr">
        <is>
          <t>DALARNAS LÄN</t>
        </is>
      </c>
      <c r="G596" t="inlineStr">
        <is>
          <t>SMEDJEBACKEN</t>
        </is>
      </c>
      <c r="H596" t="inlineStr">
        <is>
          <t>Bergvik skog väst AB</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S 2224-2025</t>
        </is>
      </c>
      <c r="B597" t="inlineStr">
        <is>
          <t>samrådsanmälan</t>
        </is>
      </c>
      <c r="C597" t="inlineStr">
        <is>
          <t>Annan skogsbruksåtgärd</t>
        </is>
      </c>
      <c r="D597" s="1" t="n">
        <v>45867</v>
      </c>
      <c r="E597" s="1" t="n">
        <v>46223</v>
      </c>
      <c r="F597" t="inlineStr">
        <is>
          <t>DALARNAS LÄN</t>
        </is>
      </c>
      <c r="G597" t="inlineStr">
        <is>
          <t>SMEDJEBACKEN</t>
        </is>
      </c>
      <c r="H597" t="inlineStr">
        <is>
          <t>Sveaskog</t>
        </is>
      </c>
      <c r="I597" t="n">
        <v>1.3</v>
      </c>
      <c r="J597" t="n">
        <v>0</v>
      </c>
      <c r="K597" t="n">
        <v>0</v>
      </c>
      <c r="L597" t="n">
        <v>0</v>
      </c>
      <c r="M597" t="n">
        <v>0</v>
      </c>
      <c r="N597" t="n">
        <v>0</v>
      </c>
      <c r="O597" t="n">
        <v>0</v>
      </c>
      <c r="P597" t="n">
        <v>0</v>
      </c>
      <c r="Q597" t="n">
        <v>0</v>
      </c>
      <c r="R597" t="n">
        <v>0</v>
      </c>
      <c r="S597" t="n">
        <v>0</v>
      </c>
      <c r="T597" t="n">
        <v>0</v>
      </c>
      <c r="U597" s="2" t="inlineStr"/>
    </row>
    <row r="598" ht="15" customHeight="1">
      <c r="A598" t="inlineStr">
        <is>
          <t>S 2225-2025</t>
        </is>
      </c>
      <c r="B598" t="inlineStr">
        <is>
          <t>samrådsanmälan</t>
        </is>
      </c>
      <c r="C598" t="inlineStr">
        <is>
          <t>Annan skogsbruksåtgärd</t>
        </is>
      </c>
      <c r="D598" s="1" t="n">
        <v>45867</v>
      </c>
      <c r="E598" s="1" t="n">
        <v>46223</v>
      </c>
      <c r="F598" t="inlineStr">
        <is>
          <t>DALARNAS LÄN</t>
        </is>
      </c>
      <c r="G598" t="inlineStr">
        <is>
          <t>SMEDJEBACKEN</t>
        </is>
      </c>
      <c r="H598" t="inlineStr">
        <is>
          <t>Sveaskog</t>
        </is>
      </c>
      <c r="I598" t="n">
        <v>2.6</v>
      </c>
      <c r="J598" t="n">
        <v>0</v>
      </c>
      <c r="K598" t="n">
        <v>0</v>
      </c>
      <c r="L598" t="n">
        <v>0</v>
      </c>
      <c r="M598" t="n">
        <v>0</v>
      </c>
      <c r="N598" t="n">
        <v>0</v>
      </c>
      <c r="O598" t="n">
        <v>0</v>
      </c>
      <c r="P598" t="n">
        <v>0</v>
      </c>
      <c r="Q598" t="n">
        <v>0</v>
      </c>
      <c r="R598" t="n">
        <v>0</v>
      </c>
      <c r="S598" t="n">
        <v>0</v>
      </c>
      <c r="T598" t="n">
        <v>0</v>
      </c>
      <c r="U598" s="2" t="inlineStr"/>
    </row>
    <row r="599" ht="15" customHeight="1">
      <c r="A599" t="inlineStr">
        <is>
          <t>S 2379-2025</t>
        </is>
      </c>
      <c r="B599" t="inlineStr">
        <is>
          <t>samrådsanmälan</t>
        </is>
      </c>
      <c r="C599" t="inlineStr">
        <is>
          <t>Annan skogsbruksåtgärd</t>
        </is>
      </c>
      <c r="D599" s="1" t="n">
        <v>45891</v>
      </c>
      <c r="E599" s="1" t="n">
        <v>46223</v>
      </c>
      <c r="F599" t="inlineStr">
        <is>
          <t>DALARNAS LÄN</t>
        </is>
      </c>
      <c r="G599" t="inlineStr">
        <is>
          <t>SMEDJEBACKEN</t>
        </is>
      </c>
      <c r="H599" t="inlineStr">
        <is>
          <t>Sveaskog</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S 2879-2025</t>
        </is>
      </c>
      <c r="B600" t="inlineStr">
        <is>
          <t>samrådsanmälan</t>
        </is>
      </c>
      <c r="C600" t="inlineStr">
        <is>
          <t>Annan skogsbruksåtgärd</t>
        </is>
      </c>
      <c r="D600" s="1" t="n">
        <v>45945</v>
      </c>
      <c r="E600" s="1" t="n">
        <v>46223</v>
      </c>
      <c r="F600" t="inlineStr">
        <is>
          <t>DALARNAS LÄN</t>
        </is>
      </c>
      <c r="G600" t="inlineStr">
        <is>
          <t>SMEDJEBACKEN</t>
        </is>
      </c>
      <c r="H600" t="inlineStr">
        <is>
          <t>Bergvik skog väst AB</t>
        </is>
      </c>
      <c r="I600" t="n">
        <v>4.8</v>
      </c>
      <c r="J600" t="n">
        <v>0</v>
      </c>
      <c r="K600" t="n">
        <v>0</v>
      </c>
      <c r="L600" t="n">
        <v>0</v>
      </c>
      <c r="M600" t="n">
        <v>0</v>
      </c>
      <c r="N600" t="n">
        <v>0</v>
      </c>
      <c r="O600" t="n">
        <v>0</v>
      </c>
      <c r="P600" t="n">
        <v>0</v>
      </c>
      <c r="Q600" t="n">
        <v>0</v>
      </c>
      <c r="R600" t="n">
        <v>0</v>
      </c>
      <c r="S600" t="n">
        <v>0</v>
      </c>
      <c r="T600" t="n">
        <v>0</v>
      </c>
      <c r="U600" s="2" t="inlineStr"/>
    </row>
    <row r="601" ht="15" customHeight="1">
      <c r="A601" t="inlineStr">
        <is>
          <t>S 2880-2025</t>
        </is>
      </c>
      <c r="B601" t="inlineStr">
        <is>
          <t>samrådsanmälan</t>
        </is>
      </c>
      <c r="C601" t="inlineStr">
        <is>
          <t>Annan skogsbruksåtgärd</t>
        </is>
      </c>
      <c r="D601" s="1" t="n">
        <v>45945</v>
      </c>
      <c r="E601" s="1" t="n">
        <v>46223</v>
      </c>
      <c r="F601" t="inlineStr">
        <is>
          <t>DALARNAS LÄN</t>
        </is>
      </c>
      <c r="G601" t="inlineStr">
        <is>
          <t>SMEDJEBACKEN</t>
        </is>
      </c>
      <c r="H601" t="inlineStr">
        <is>
          <t>Bergvik skog väst AB</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S 2904-2025</t>
        </is>
      </c>
      <c r="B602" t="inlineStr">
        <is>
          <t>samrådsanmälan</t>
        </is>
      </c>
      <c r="C602" t="inlineStr">
        <is>
          <t>Annan skogsbruksåtgärd</t>
        </is>
      </c>
      <c r="D602" s="1" t="n">
        <v>45947</v>
      </c>
      <c r="E602" s="1" t="n">
        <v>46223</v>
      </c>
      <c r="F602" t="inlineStr">
        <is>
          <t>DALARNAS LÄN</t>
        </is>
      </c>
      <c r="G602" t="inlineStr">
        <is>
          <t>SMEDJEBACKEN</t>
        </is>
      </c>
      <c r="H602" t="inlineStr">
        <is>
          <t>Sveaskog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S 2906-2025</t>
        </is>
      </c>
      <c r="B603" t="inlineStr">
        <is>
          <t>samrådsanmälan</t>
        </is>
      </c>
      <c r="C603" t="inlineStr">
        <is>
          <t>Annan skogsbruksåtgärd</t>
        </is>
      </c>
      <c r="D603" s="1" t="n">
        <v>45947</v>
      </c>
      <c r="E603" s="1" t="n">
        <v>46223</v>
      </c>
      <c r="F603" t="inlineStr">
        <is>
          <t>DALARNAS LÄN</t>
        </is>
      </c>
      <c r="G603" t="inlineStr">
        <is>
          <t>SMEDJEBACKEN</t>
        </is>
      </c>
      <c r="H603" t="inlineStr">
        <is>
          <t>Sveaskog</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S 2909-2025</t>
        </is>
      </c>
      <c r="B604" t="inlineStr">
        <is>
          <t>samrådsanmälan</t>
        </is>
      </c>
      <c r="C604" t="inlineStr">
        <is>
          <t>Annan skogsbruksåtgärd</t>
        </is>
      </c>
      <c r="D604" s="1" t="n">
        <v>45947</v>
      </c>
      <c r="E604" s="1" t="n">
        <v>46223</v>
      </c>
      <c r="F604" t="inlineStr">
        <is>
          <t>DALARNAS LÄN</t>
        </is>
      </c>
      <c r="G604" t="inlineStr">
        <is>
          <t>SMEDJEBACKEN</t>
        </is>
      </c>
      <c r="H604" t="inlineStr">
        <is>
          <t>Sveaskog</t>
        </is>
      </c>
      <c r="I604" t="n">
        <v>0.9</v>
      </c>
      <c r="J604" t="n">
        <v>0</v>
      </c>
      <c r="K604" t="n">
        <v>0</v>
      </c>
      <c r="L604" t="n">
        <v>0</v>
      </c>
      <c r="M604" t="n">
        <v>0</v>
      </c>
      <c r="N604" t="n">
        <v>0</v>
      </c>
      <c r="O604" t="n">
        <v>0</v>
      </c>
      <c r="P604" t="n">
        <v>0</v>
      </c>
      <c r="Q604" t="n">
        <v>0</v>
      </c>
      <c r="R604" t="n">
        <v>0</v>
      </c>
      <c r="S604" t="n">
        <v>0</v>
      </c>
      <c r="T604" t="n">
        <v>0</v>
      </c>
      <c r="U604" s="2" t="inlineStr"/>
    </row>
    <row r="605" ht="15" customHeight="1">
      <c r="A605" t="inlineStr">
        <is>
          <t>S 2905-2025</t>
        </is>
      </c>
      <c r="B605" t="inlineStr">
        <is>
          <t>samrådsanmälan</t>
        </is>
      </c>
      <c r="C605" t="inlineStr">
        <is>
          <t>Annan skogsbruksåtgärd</t>
        </is>
      </c>
      <c r="D605" s="1" t="n">
        <v>45947</v>
      </c>
      <c r="E605" s="1" t="n">
        <v>46223</v>
      </c>
      <c r="F605" t="inlineStr">
        <is>
          <t>DALARNAS LÄN</t>
        </is>
      </c>
      <c r="G605" t="inlineStr">
        <is>
          <t>SMEDJEBACKEN</t>
        </is>
      </c>
      <c r="H605" t="inlineStr">
        <is>
          <t>Sveaskog</t>
        </is>
      </c>
      <c r="I605" t="n">
        <v>1.8</v>
      </c>
      <c r="J605" t="n">
        <v>0</v>
      </c>
      <c r="K605" t="n">
        <v>0</v>
      </c>
      <c r="L605" t="n">
        <v>0</v>
      </c>
      <c r="M605" t="n">
        <v>0</v>
      </c>
      <c r="N605" t="n">
        <v>0</v>
      </c>
      <c r="O605" t="n">
        <v>0</v>
      </c>
      <c r="P605" t="n">
        <v>0</v>
      </c>
      <c r="Q605" t="n">
        <v>0</v>
      </c>
      <c r="R605" t="n">
        <v>0</v>
      </c>
      <c r="S605" t="n">
        <v>0</v>
      </c>
      <c r="T605" t="n">
        <v>0</v>
      </c>
      <c r="U605" s="2" t="inlineStr"/>
    </row>
    <row r="606" ht="15" customHeight="1">
      <c r="A606" t="inlineStr">
        <is>
          <t>S 2910-2025</t>
        </is>
      </c>
      <c r="B606" t="inlineStr">
        <is>
          <t>samrådsanmälan</t>
        </is>
      </c>
      <c r="C606" t="inlineStr">
        <is>
          <t>Annan skogsbruksåtgärd</t>
        </is>
      </c>
      <c r="D606" s="1" t="n">
        <v>45947</v>
      </c>
      <c r="E606" s="1" t="n">
        <v>46223</v>
      </c>
      <c r="F606" t="inlineStr">
        <is>
          <t>DALARNAS LÄN</t>
        </is>
      </c>
      <c r="G606" t="inlineStr">
        <is>
          <t>SMEDJEBACKEN</t>
        </is>
      </c>
      <c r="H606" t="inlineStr">
        <is>
          <t>Sveaskog</t>
        </is>
      </c>
      <c r="I606" t="n">
        <v>1.6</v>
      </c>
      <c r="J606" t="n">
        <v>0</v>
      </c>
      <c r="K606" t="n">
        <v>0</v>
      </c>
      <c r="L606" t="n">
        <v>0</v>
      </c>
      <c r="M606" t="n">
        <v>0</v>
      </c>
      <c r="N606" t="n">
        <v>0</v>
      </c>
      <c r="O606" t="n">
        <v>0</v>
      </c>
      <c r="P606" t="n">
        <v>0</v>
      </c>
      <c r="Q606" t="n">
        <v>0</v>
      </c>
      <c r="R606" t="n">
        <v>0</v>
      </c>
      <c r="S606" t="n">
        <v>0</v>
      </c>
      <c r="T606" t="n">
        <v>0</v>
      </c>
      <c r="U606" s="2" t="inlineStr"/>
    </row>
    <row r="607" ht="15" customHeight="1">
      <c r="A607" t="inlineStr">
        <is>
          <t>S 3278-2025</t>
        </is>
      </c>
      <c r="B607" t="inlineStr">
        <is>
          <t>samrådsanmälan</t>
        </is>
      </c>
      <c r="C607" t="inlineStr">
        <is>
          <t>Annan skogsbruksåtgärd</t>
        </is>
      </c>
      <c r="D607" s="1" t="n">
        <v>45985</v>
      </c>
      <c r="E607" s="1" t="n">
        <v>46223</v>
      </c>
      <c r="F607" t="inlineStr">
        <is>
          <t>DALARNAS LÄN</t>
        </is>
      </c>
      <c r="G607" t="inlineStr">
        <is>
          <t>SMEDJEBACKEN</t>
        </is>
      </c>
      <c r="H607" t="inlineStr">
        <is>
          <t>Bergvik skog väst AB</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S 1872-2026</t>
        </is>
      </c>
      <c r="B608" t="inlineStr">
        <is>
          <t>samrådsanmälan</t>
        </is>
      </c>
      <c r="C608" t="inlineStr">
        <is>
          <t>Annan skogsbruksåtgärd</t>
        </is>
      </c>
      <c r="D608" s="1" t="n">
        <v>46199</v>
      </c>
      <c r="E608" s="1" t="n">
        <v>46223</v>
      </c>
      <c r="F608" t="inlineStr">
        <is>
          <t>DALARNAS LÄN</t>
        </is>
      </c>
      <c r="G608" t="inlineStr">
        <is>
          <t>SMEDJEBACKEN</t>
        </is>
      </c>
      <c r="H608" t="inlineStr">
        <is>
          <t>Sveaskog</t>
        </is>
      </c>
      <c r="I608" t="n">
        <v>2.3</v>
      </c>
      <c r="J608" t="n">
        <v>0</v>
      </c>
      <c r="K608" t="n">
        <v>0</v>
      </c>
      <c r="L608" t="n">
        <v>0</v>
      </c>
      <c r="M608" t="n">
        <v>0</v>
      </c>
      <c r="N608" t="n">
        <v>0</v>
      </c>
      <c r="O608" t="n">
        <v>0</v>
      </c>
      <c r="P608" t="n">
        <v>0</v>
      </c>
      <c r="Q608" t="n">
        <v>0</v>
      </c>
      <c r="R608" t="n">
        <v>0</v>
      </c>
      <c r="S608" t="n">
        <v>0</v>
      </c>
      <c r="T608" t="n">
        <v>0</v>
      </c>
      <c r="U608" s="2" t="inlineStr"/>
    </row>
    <row r="609">
      <c r="A609" t="inlineStr">
        <is>
          <t>S 1469-2026</t>
        </is>
      </c>
      <c r="B609" t="inlineStr">
        <is>
          <t>samrådsanmälan</t>
        </is>
      </c>
      <c r="C609" t="inlineStr">
        <is>
          <t>Annan skogsbruksåtgärd</t>
        </is>
      </c>
      <c r="D609" s="1" t="n">
        <v>46162</v>
      </c>
      <c r="E609" s="1" t="n">
        <v>46223</v>
      </c>
      <c r="F609" t="inlineStr">
        <is>
          <t>DALARNAS LÄN</t>
        </is>
      </c>
      <c r="G609" t="inlineStr">
        <is>
          <t>SMEDJEBACKEN</t>
        </is>
      </c>
      <c r="H609" t="inlineStr">
        <is>
          <t>Sveaskog</t>
        </is>
      </c>
      <c r="I609" t="n">
        <v>1.4</v>
      </c>
      <c r="J609" t="n">
        <v>0</v>
      </c>
      <c r="K609" t="n">
        <v>0</v>
      </c>
      <c r="L609" t="n">
        <v>0</v>
      </c>
      <c r="M609" t="n">
        <v>0</v>
      </c>
      <c r="N609" t="n">
        <v>0</v>
      </c>
      <c r="O609" t="n">
        <v>0</v>
      </c>
      <c r="P609" t="n">
        <v>0</v>
      </c>
      <c r="Q609" t="n">
        <v>0</v>
      </c>
      <c r="R609" t="n">
        <v>0</v>
      </c>
      <c r="S609" t="n">
        <v>0</v>
      </c>
      <c r="T609" t="n">
        <v>0</v>
      </c>
      <c r="U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2026-07-20T01:49:35Z</dcterms:created>
  <dcterms:modified xmlns:dcterms="http://purl.org/dc/terms/" xmlns:xsi="http://www.w3.org/2001/XMLSchema-instance" xsi:type="dcterms:W3CDTF">2026-07-20T01:49:36Z</dcterms:modified>
</cp:coreProperties>
</file>