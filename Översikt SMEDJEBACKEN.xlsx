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45352</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69045-2018</t>
        </is>
      </c>
      <c r="B3" s="1" t="n">
        <v>43440</v>
      </c>
      <c r="C3" s="1" t="n">
        <v>45352</v>
      </c>
      <c r="D3" t="inlineStr">
        <is>
          <t>DALARNAS LÄN</t>
        </is>
      </c>
      <c r="E3" t="inlineStr">
        <is>
          <t>SMEDJEBACKEN</t>
        </is>
      </c>
      <c r="G3" t="n">
        <v>8</v>
      </c>
      <c r="H3" t="n">
        <v>2</v>
      </c>
      <c r="I3" t="n">
        <v>12</v>
      </c>
      <c r="J3" t="n">
        <v>4</v>
      </c>
      <c r="K3" t="n">
        <v>3</v>
      </c>
      <c r="L3" t="n">
        <v>0</v>
      </c>
      <c r="M3" t="n">
        <v>0</v>
      </c>
      <c r="N3" t="n">
        <v>0</v>
      </c>
      <c r="O3" t="n">
        <v>7</v>
      </c>
      <c r="P3" t="n">
        <v>3</v>
      </c>
      <c r="Q3" t="n">
        <v>21</v>
      </c>
      <c r="R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3">
        <f>HYPERLINK("https://klasma.github.io/Logging_2061/artfynd/A 69045-2018 artfynd.xlsx", "A 69045-2018")</f>
        <v/>
      </c>
      <c r="T3">
        <f>HYPERLINK("https://klasma.github.io/Logging_2061/kartor/A 69045-2018 karta.png", "A 69045-2018")</f>
        <v/>
      </c>
      <c r="U3">
        <f>HYPERLINK("https://klasma.github.io/Logging_2061/knärot/A 69045-2018 karta knärot.png", "A 69045-2018")</f>
        <v/>
      </c>
      <c r="V3">
        <f>HYPERLINK("https://klasma.github.io/Logging_2061/klagomål/A 69045-2018 FSC-klagomål.docx", "A 69045-2018")</f>
        <v/>
      </c>
      <c r="W3">
        <f>HYPERLINK("https://klasma.github.io/Logging_2061/klagomålsmail/A 69045-2018 FSC-klagomål mail.docx", "A 69045-2018")</f>
        <v/>
      </c>
      <c r="X3">
        <f>HYPERLINK("https://klasma.github.io/Logging_2061/tillsyn/A 69045-2018 tillsynsbegäran.docx", "A 69045-2018")</f>
        <v/>
      </c>
      <c r="Y3">
        <f>HYPERLINK("https://klasma.github.io/Logging_2061/tillsynsmail/A 69045-2018 tillsynsbegäran mail.docx", "A 69045-2018")</f>
        <v/>
      </c>
    </row>
    <row r="4" ht="15" customHeight="1">
      <c r="A4" t="inlineStr">
        <is>
          <t>A 45719-2021</t>
        </is>
      </c>
      <c r="B4" s="1" t="n">
        <v>44441</v>
      </c>
      <c r="C4" s="1" t="n">
        <v>45352</v>
      </c>
      <c r="D4" t="inlineStr">
        <is>
          <t>DALARNAS LÄN</t>
        </is>
      </c>
      <c r="E4" t="inlineStr">
        <is>
          <t>SMEDJEBACKEN</t>
        </is>
      </c>
      <c r="F4" t="inlineStr">
        <is>
          <t>Övriga Aktiebolag</t>
        </is>
      </c>
      <c r="G4" t="n">
        <v>7.2</v>
      </c>
      <c r="H4" t="n">
        <v>4</v>
      </c>
      <c r="I4" t="n">
        <v>7</v>
      </c>
      <c r="J4" t="n">
        <v>4</v>
      </c>
      <c r="K4" t="n">
        <v>0</v>
      </c>
      <c r="L4" t="n">
        <v>0</v>
      </c>
      <c r="M4" t="n">
        <v>0</v>
      </c>
      <c r="N4" t="n">
        <v>0</v>
      </c>
      <c r="O4" t="n">
        <v>4</v>
      </c>
      <c r="P4" t="n">
        <v>0</v>
      </c>
      <c r="Q4" t="n">
        <v>13</v>
      </c>
      <c r="R4" s="2" t="inlineStr">
        <is>
          <t>Nordfladdermus
Stjärntagging
Talltita
Ullticka
Bronshjon
Mindre märgborre
Skogshakmossa
Stubbspretmossa
Trådfräken
Vedticka
Vågbandad barkbock
Vattenfladdermus
Revlummer</t>
        </is>
      </c>
      <c r="S4">
        <f>HYPERLINK("https://klasma.github.io/Logging_2061/artfynd/A 45719-2021 artfynd.xlsx", "A 45719-2021")</f>
        <v/>
      </c>
      <c r="T4">
        <f>HYPERLINK("https://klasma.github.io/Logging_2061/kartor/A 45719-2021 karta.png", "A 45719-2021")</f>
        <v/>
      </c>
      <c r="V4">
        <f>HYPERLINK("https://klasma.github.io/Logging_2061/klagomål/A 45719-2021 FSC-klagomål.docx", "A 45719-2021")</f>
        <v/>
      </c>
      <c r="W4">
        <f>HYPERLINK("https://klasma.github.io/Logging_2061/klagomålsmail/A 45719-2021 FSC-klagomål mail.docx", "A 45719-2021")</f>
        <v/>
      </c>
      <c r="X4">
        <f>HYPERLINK("https://klasma.github.io/Logging_2061/tillsyn/A 45719-2021 tillsynsbegäran.docx", "A 45719-2021")</f>
        <v/>
      </c>
      <c r="Y4">
        <f>HYPERLINK("https://klasma.github.io/Logging_2061/tillsynsmail/A 45719-2021 tillsynsbegäran mail.docx", "A 45719-2021")</f>
        <v/>
      </c>
      <c r="Z4">
        <f>HYPERLINK("https://klasma.github.io/Logging_2061/fåglar/A 45719-2021 prioriterade fågelarter.docx", "A 45719-2021")</f>
        <v/>
      </c>
    </row>
    <row r="5" ht="15" customHeight="1">
      <c r="A5" t="inlineStr">
        <is>
          <t>A 40058-2023</t>
        </is>
      </c>
      <c r="B5" s="1" t="n">
        <v>45168</v>
      </c>
      <c r="C5" s="1" t="n">
        <v>45352</v>
      </c>
      <c r="D5" t="inlineStr">
        <is>
          <t>DALARNAS LÄN</t>
        </is>
      </c>
      <c r="E5" t="inlineStr">
        <is>
          <t>SMEDJEBACKEN</t>
        </is>
      </c>
      <c r="F5" t="inlineStr">
        <is>
          <t>Övriga Aktiebolag</t>
        </is>
      </c>
      <c r="G5" t="n">
        <v>25.3</v>
      </c>
      <c r="H5" t="n">
        <v>5</v>
      </c>
      <c r="I5" t="n">
        <v>6</v>
      </c>
      <c r="J5" t="n">
        <v>2</v>
      </c>
      <c r="K5" t="n">
        <v>1</v>
      </c>
      <c r="L5" t="n">
        <v>0</v>
      </c>
      <c r="M5" t="n">
        <v>0</v>
      </c>
      <c r="N5" t="n">
        <v>0</v>
      </c>
      <c r="O5" t="n">
        <v>3</v>
      </c>
      <c r="P5" t="n">
        <v>1</v>
      </c>
      <c r="Q5" t="n">
        <v>13</v>
      </c>
      <c r="R5" s="2" t="inlineStr">
        <is>
          <t>Rynkskinn
Järpe
Ullticka
Björksplintborre
Bronshjon
Mindre märgborre
Skogshakmossa
Vedticka
Vågbandad barkbock
Fläcknycklar
Blåsippa
Mattlummer
Revlummer</t>
        </is>
      </c>
      <c r="S5">
        <f>HYPERLINK("https://klasma.github.io/Logging_2061/artfynd/A 40058-2023 artfynd.xlsx", "A 40058-2023")</f>
        <v/>
      </c>
      <c r="T5">
        <f>HYPERLINK("https://klasma.github.io/Logging_2061/kartor/A 40058-2023 karta.png", "A 40058-2023")</f>
        <v/>
      </c>
      <c r="V5">
        <f>HYPERLINK("https://klasma.github.io/Logging_2061/klagomål/A 40058-2023 FSC-klagomål.docx", "A 40058-2023")</f>
        <v/>
      </c>
      <c r="W5">
        <f>HYPERLINK("https://klasma.github.io/Logging_2061/klagomålsmail/A 40058-2023 FSC-klagomål mail.docx", "A 40058-2023")</f>
        <v/>
      </c>
      <c r="X5">
        <f>HYPERLINK("https://klasma.github.io/Logging_2061/tillsyn/A 40058-2023 tillsynsbegäran.docx", "A 40058-2023")</f>
        <v/>
      </c>
      <c r="Y5">
        <f>HYPERLINK("https://klasma.github.io/Logging_2061/tillsynsmail/A 40058-2023 tillsynsbegäran mail.docx", "A 40058-2023")</f>
        <v/>
      </c>
      <c r="Z5">
        <f>HYPERLINK("https://klasma.github.io/Logging_2061/fåglar/A 40058-2023 prioriterade fågelarter.docx", "A 40058-2023")</f>
        <v/>
      </c>
    </row>
    <row r="6" ht="15" customHeight="1">
      <c r="A6" t="inlineStr">
        <is>
          <t>A 18375-2021</t>
        </is>
      </c>
      <c r="B6" s="1" t="n">
        <v>44305</v>
      </c>
      <c r="C6" s="1" t="n">
        <v>45352</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45352</v>
      </c>
      <c r="D7" t="inlineStr">
        <is>
          <t>DALARNAS LÄN</t>
        </is>
      </c>
      <c r="E7" t="inlineStr">
        <is>
          <t>SMEDJEBACKEN</t>
        </is>
      </c>
      <c r="G7" t="n">
        <v>6.3</v>
      </c>
      <c r="H7" t="n">
        <v>3</v>
      </c>
      <c r="I7" t="n">
        <v>0</v>
      </c>
      <c r="J7" t="n">
        <v>2</v>
      </c>
      <c r="K7" t="n">
        <v>3</v>
      </c>
      <c r="L7" t="n">
        <v>0</v>
      </c>
      <c r="M7" t="n">
        <v>0</v>
      </c>
      <c r="N7" t="n">
        <v>0</v>
      </c>
      <c r="O7" t="n">
        <v>5</v>
      </c>
      <c r="P7" t="n">
        <v>3</v>
      </c>
      <c r="Q7" t="n">
        <v>7</v>
      </c>
      <c r="R7" s="2" t="inlineStr">
        <is>
          <t>Knärot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11591-2020</t>
        </is>
      </c>
      <c r="B8" s="1" t="n">
        <v>43893</v>
      </c>
      <c r="C8" s="1" t="n">
        <v>45352</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45352</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45352</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47051-2020</t>
        </is>
      </c>
      <c r="B11" s="1" t="n">
        <v>44091</v>
      </c>
      <c r="C11" s="1" t="n">
        <v>45352</v>
      </c>
      <c r="D11" t="inlineStr">
        <is>
          <t>DALARNAS LÄN</t>
        </is>
      </c>
      <c r="E11" t="inlineStr">
        <is>
          <t>SMEDJEBACKEN</t>
        </is>
      </c>
      <c r="F11" t="inlineStr">
        <is>
          <t>Bergvik skog väst AB</t>
        </is>
      </c>
      <c r="G11" t="n">
        <v>2.5</v>
      </c>
      <c r="H11" t="n">
        <v>1</v>
      </c>
      <c r="I11" t="n">
        <v>0</v>
      </c>
      <c r="J11" t="n">
        <v>1</v>
      </c>
      <c r="K11" t="n">
        <v>0</v>
      </c>
      <c r="L11" t="n">
        <v>0</v>
      </c>
      <c r="M11" t="n">
        <v>0</v>
      </c>
      <c r="N11" t="n">
        <v>0</v>
      </c>
      <c r="O11" t="n">
        <v>1</v>
      </c>
      <c r="P11" t="n">
        <v>0</v>
      </c>
      <c r="Q11" t="n">
        <v>2</v>
      </c>
      <c r="R11" s="2" t="inlineStr">
        <is>
          <t>Grantaggsvamp
Fläcknycklar</t>
        </is>
      </c>
      <c r="S11">
        <f>HYPERLINK("https://klasma.github.io/Logging_2061/artfynd/A 47051-2020 artfynd.xlsx", "A 47051-2020")</f>
        <v/>
      </c>
      <c r="T11">
        <f>HYPERLINK("https://klasma.github.io/Logging_2061/kartor/A 47051-2020 karta.png", "A 47051-2020")</f>
        <v/>
      </c>
      <c r="V11">
        <f>HYPERLINK("https://klasma.github.io/Logging_2061/klagomål/A 47051-2020 FSC-klagomål.docx", "A 47051-2020")</f>
        <v/>
      </c>
      <c r="W11">
        <f>HYPERLINK("https://klasma.github.io/Logging_2061/klagomålsmail/A 47051-2020 FSC-klagomål mail.docx", "A 47051-2020")</f>
        <v/>
      </c>
      <c r="X11">
        <f>HYPERLINK("https://klasma.github.io/Logging_2061/tillsyn/A 47051-2020 tillsynsbegäran.docx", "A 47051-2020")</f>
        <v/>
      </c>
      <c r="Y11">
        <f>HYPERLINK("https://klasma.github.io/Logging_2061/tillsynsmail/A 47051-2020 tillsynsbegäran mail.docx", "A 47051-2020")</f>
        <v/>
      </c>
    </row>
    <row r="12" ht="15" customHeight="1">
      <c r="A12" t="inlineStr">
        <is>
          <t>A 21403-2021</t>
        </is>
      </c>
      <c r="B12" s="1" t="n">
        <v>44321</v>
      </c>
      <c r="C12" s="1" t="n">
        <v>45352</v>
      </c>
      <c r="D12" t="inlineStr">
        <is>
          <t>DALARNAS LÄN</t>
        </is>
      </c>
      <c r="E12" t="inlineStr">
        <is>
          <t>SMEDJEBACKEN</t>
        </is>
      </c>
      <c r="G12" t="n">
        <v>1.6</v>
      </c>
      <c r="H12" t="n">
        <v>1</v>
      </c>
      <c r="I12" t="n">
        <v>0</v>
      </c>
      <c r="J12" t="n">
        <v>1</v>
      </c>
      <c r="K12" t="n">
        <v>0</v>
      </c>
      <c r="L12" t="n">
        <v>0</v>
      </c>
      <c r="M12" t="n">
        <v>0</v>
      </c>
      <c r="N12" t="n">
        <v>0</v>
      </c>
      <c r="O12" t="n">
        <v>1</v>
      </c>
      <c r="P12" t="n">
        <v>0</v>
      </c>
      <c r="Q12" t="n">
        <v>2</v>
      </c>
      <c r="R12" s="2" t="inlineStr">
        <is>
          <t>Motaggsvamp
Blåsippa</t>
        </is>
      </c>
      <c r="S12">
        <f>HYPERLINK("https://klasma.github.io/Logging_2061/artfynd/A 21403-2021 artfynd.xlsx", "A 21403-2021")</f>
        <v/>
      </c>
      <c r="T12">
        <f>HYPERLINK("https://klasma.github.io/Logging_2061/kartor/A 21403-2021 karta.png", "A 21403-2021")</f>
        <v/>
      </c>
      <c r="V12">
        <f>HYPERLINK("https://klasma.github.io/Logging_2061/klagomål/A 21403-2021 FSC-klagomål.docx", "A 21403-2021")</f>
        <v/>
      </c>
      <c r="W12">
        <f>HYPERLINK("https://klasma.github.io/Logging_2061/klagomålsmail/A 21403-2021 FSC-klagomål mail.docx", "A 21403-2021")</f>
        <v/>
      </c>
      <c r="X12">
        <f>HYPERLINK("https://klasma.github.io/Logging_2061/tillsyn/A 21403-2021 tillsynsbegäran.docx", "A 21403-2021")</f>
        <v/>
      </c>
      <c r="Y12">
        <f>HYPERLINK("https://klasma.github.io/Logging_2061/tillsynsmail/A 21403-2021 tillsynsbegäran mail.docx", "A 21403-2021")</f>
        <v/>
      </c>
    </row>
    <row r="13" ht="15" customHeight="1">
      <c r="A13" t="inlineStr">
        <is>
          <t>A 40537-2021</t>
        </is>
      </c>
      <c r="B13" s="1" t="n">
        <v>44420</v>
      </c>
      <c r="C13" s="1" t="n">
        <v>45352</v>
      </c>
      <c r="D13" t="inlineStr">
        <is>
          <t>DALARNAS LÄN</t>
        </is>
      </c>
      <c r="E13" t="inlineStr">
        <is>
          <t>SMEDJEBACKEN</t>
        </is>
      </c>
      <c r="F13" t="inlineStr">
        <is>
          <t>Övriga Aktiebolag</t>
        </is>
      </c>
      <c r="G13" t="n">
        <v>10</v>
      </c>
      <c r="H13" t="n">
        <v>2</v>
      </c>
      <c r="I13" t="n">
        <v>0</v>
      </c>
      <c r="J13" t="n">
        <v>1</v>
      </c>
      <c r="K13" t="n">
        <v>0</v>
      </c>
      <c r="L13" t="n">
        <v>0</v>
      </c>
      <c r="M13" t="n">
        <v>0</v>
      </c>
      <c r="N13" t="n">
        <v>0</v>
      </c>
      <c r="O13" t="n">
        <v>1</v>
      </c>
      <c r="P13" t="n">
        <v>0</v>
      </c>
      <c r="Q13" t="n">
        <v>2</v>
      </c>
      <c r="R13" s="2" t="inlineStr">
        <is>
          <t>Tretåig hackspett
Blåsippa</t>
        </is>
      </c>
      <c r="S13">
        <f>HYPERLINK("https://klasma.github.io/Logging_2061/artfynd/A 40537-2021 artfynd.xlsx", "A 40537-2021")</f>
        <v/>
      </c>
      <c r="T13">
        <f>HYPERLINK("https://klasma.github.io/Logging_2061/kartor/A 40537-2021 karta.png", "A 40537-2021")</f>
        <v/>
      </c>
      <c r="V13">
        <f>HYPERLINK("https://klasma.github.io/Logging_2061/klagomål/A 40537-2021 FSC-klagomål.docx", "A 40537-2021")</f>
        <v/>
      </c>
      <c r="W13">
        <f>HYPERLINK("https://klasma.github.io/Logging_2061/klagomålsmail/A 40537-2021 FSC-klagomål mail.docx", "A 40537-2021")</f>
        <v/>
      </c>
      <c r="X13">
        <f>HYPERLINK("https://klasma.github.io/Logging_2061/tillsyn/A 40537-2021 tillsynsbegäran.docx", "A 40537-2021")</f>
        <v/>
      </c>
      <c r="Y13">
        <f>HYPERLINK("https://klasma.github.io/Logging_2061/tillsynsmail/A 40537-2021 tillsynsbegäran mail.docx", "A 40537-2021")</f>
        <v/>
      </c>
      <c r="Z13">
        <f>HYPERLINK("https://klasma.github.io/Logging_2061/fåglar/A 40537-2021 prioriterade fågelarter.docx", "A 40537-2021")</f>
        <v/>
      </c>
    </row>
    <row r="14" ht="15" customHeight="1">
      <c r="A14" t="inlineStr">
        <is>
          <t>A 36059-2022</t>
        </is>
      </c>
      <c r="B14" s="1" t="n">
        <v>44802</v>
      </c>
      <c r="C14" s="1" t="n">
        <v>45352</v>
      </c>
      <c r="D14" t="inlineStr">
        <is>
          <t>DALARNAS LÄN</t>
        </is>
      </c>
      <c r="E14" t="inlineStr">
        <is>
          <t>SMEDJEBACKEN</t>
        </is>
      </c>
      <c r="G14" t="n">
        <v>8.9</v>
      </c>
      <c r="H14" t="n">
        <v>2</v>
      </c>
      <c r="I14" t="n">
        <v>0</v>
      </c>
      <c r="J14" t="n">
        <v>2</v>
      </c>
      <c r="K14" t="n">
        <v>0</v>
      </c>
      <c r="L14" t="n">
        <v>0</v>
      </c>
      <c r="M14" t="n">
        <v>0</v>
      </c>
      <c r="N14" t="n">
        <v>0</v>
      </c>
      <c r="O14" t="n">
        <v>2</v>
      </c>
      <c r="P14" t="n">
        <v>0</v>
      </c>
      <c r="Q14" t="n">
        <v>2</v>
      </c>
      <c r="R14" s="2" t="inlineStr">
        <is>
          <t>Brunlångöra
Tretåig hackspett</t>
        </is>
      </c>
      <c r="S14">
        <f>HYPERLINK("https://klasma.github.io/Logging_2061/artfynd/A 36059-2022 artfynd.xlsx", "A 36059-2022")</f>
        <v/>
      </c>
      <c r="T14">
        <f>HYPERLINK("https://klasma.github.io/Logging_2061/kartor/A 36059-2022 karta.png", "A 36059-2022")</f>
        <v/>
      </c>
      <c r="V14">
        <f>HYPERLINK("https://klasma.github.io/Logging_2061/klagomål/A 36059-2022 FSC-klagomål.docx", "A 36059-2022")</f>
        <v/>
      </c>
      <c r="W14">
        <f>HYPERLINK("https://klasma.github.io/Logging_2061/klagomålsmail/A 36059-2022 FSC-klagomål mail.docx", "A 36059-2022")</f>
        <v/>
      </c>
      <c r="X14">
        <f>HYPERLINK("https://klasma.github.io/Logging_2061/tillsyn/A 36059-2022 tillsynsbegäran.docx", "A 36059-2022")</f>
        <v/>
      </c>
      <c r="Y14">
        <f>HYPERLINK("https://klasma.github.io/Logging_2061/tillsynsmail/A 36059-2022 tillsynsbegäran mail.docx", "A 36059-2022")</f>
        <v/>
      </c>
      <c r="Z14">
        <f>HYPERLINK("https://klasma.github.io/Logging_2061/fåglar/A 36059-2022 prioriterade fågelarter.docx", "A 36059-2022")</f>
        <v/>
      </c>
    </row>
    <row r="15" ht="15" customHeight="1">
      <c r="A15" t="inlineStr">
        <is>
          <t>A 61289-2022</t>
        </is>
      </c>
      <c r="B15" s="1" t="n">
        <v>44909</v>
      </c>
      <c r="C15" s="1" t="n">
        <v>45352</v>
      </c>
      <c r="D15" t="inlineStr">
        <is>
          <t>DALARNAS LÄN</t>
        </is>
      </c>
      <c r="E15" t="inlineStr">
        <is>
          <t>SMEDJEBACKEN</t>
        </is>
      </c>
      <c r="F15" t="inlineStr">
        <is>
          <t>Bergvik skog väst AB</t>
        </is>
      </c>
      <c r="G15" t="n">
        <v>9.6</v>
      </c>
      <c r="H15" t="n">
        <v>1</v>
      </c>
      <c r="I15" t="n">
        <v>0</v>
      </c>
      <c r="J15" t="n">
        <v>2</v>
      </c>
      <c r="K15" t="n">
        <v>0</v>
      </c>
      <c r="L15" t="n">
        <v>0</v>
      </c>
      <c r="M15" t="n">
        <v>0</v>
      </c>
      <c r="N15" t="n">
        <v>0</v>
      </c>
      <c r="O15" t="n">
        <v>2</v>
      </c>
      <c r="P15" t="n">
        <v>0</v>
      </c>
      <c r="Q15" t="n">
        <v>2</v>
      </c>
      <c r="R15" s="2" t="inlineStr">
        <is>
          <t>Kungsörn
Skogshare</t>
        </is>
      </c>
      <c r="S15">
        <f>HYPERLINK("https://klasma.github.io/Logging_2061/artfynd/A 61289-2022 artfynd.xlsx", "A 61289-2022")</f>
        <v/>
      </c>
      <c r="T15">
        <f>HYPERLINK("https://klasma.github.io/Logging_2061/kartor/A 61289-2022 karta.png", "A 61289-2022")</f>
        <v/>
      </c>
      <c r="V15">
        <f>HYPERLINK("https://klasma.github.io/Logging_2061/klagomål/A 61289-2022 FSC-klagomål.docx", "A 61289-2022")</f>
        <v/>
      </c>
      <c r="W15">
        <f>HYPERLINK("https://klasma.github.io/Logging_2061/klagomålsmail/A 61289-2022 FSC-klagomål mail.docx", "A 61289-2022")</f>
        <v/>
      </c>
      <c r="X15">
        <f>HYPERLINK("https://klasma.github.io/Logging_2061/tillsyn/A 61289-2022 tillsynsbegäran.docx", "A 61289-2022")</f>
        <v/>
      </c>
      <c r="Y15">
        <f>HYPERLINK("https://klasma.github.io/Logging_2061/tillsynsmail/A 61289-2022 tillsynsbegäran mail.docx", "A 61289-2022")</f>
        <v/>
      </c>
      <c r="Z15">
        <f>HYPERLINK("https://klasma.github.io/Logging_2061/fåglar/A 61289-2022 prioriterade fågelarter.docx", "A 61289-2022")</f>
        <v/>
      </c>
    </row>
    <row r="16" ht="15" customHeight="1">
      <c r="A16" t="inlineStr">
        <is>
          <t>A 15210-2023</t>
        </is>
      </c>
      <c r="B16" s="1" t="n">
        <v>45018</v>
      </c>
      <c r="C16" s="1" t="n">
        <v>45352</v>
      </c>
      <c r="D16" t="inlineStr">
        <is>
          <t>DALARNAS LÄN</t>
        </is>
      </c>
      <c r="E16" t="inlineStr">
        <is>
          <t>SMEDJEBACKEN</t>
        </is>
      </c>
      <c r="G16" t="n">
        <v>9.4</v>
      </c>
      <c r="H16" t="n">
        <v>2</v>
      </c>
      <c r="I16" t="n">
        <v>0</v>
      </c>
      <c r="J16" t="n">
        <v>1</v>
      </c>
      <c r="K16" t="n">
        <v>0</v>
      </c>
      <c r="L16" t="n">
        <v>0</v>
      </c>
      <c r="M16" t="n">
        <v>0</v>
      </c>
      <c r="N16" t="n">
        <v>0</v>
      </c>
      <c r="O16" t="n">
        <v>1</v>
      </c>
      <c r="P16" t="n">
        <v>0</v>
      </c>
      <c r="Q16" t="n">
        <v>2</v>
      </c>
      <c r="R16" s="2" t="inlineStr">
        <is>
          <t>Nordfladdermus
Vattenfladdermus</t>
        </is>
      </c>
      <c r="S16">
        <f>HYPERLINK("https://klasma.github.io/Logging_2061/artfynd/A 15210-2023 artfynd.xlsx", "A 15210-2023")</f>
        <v/>
      </c>
      <c r="T16">
        <f>HYPERLINK("https://klasma.github.io/Logging_2061/kartor/A 15210-2023 karta.png", "A 15210-2023")</f>
        <v/>
      </c>
      <c r="V16">
        <f>HYPERLINK("https://klasma.github.io/Logging_2061/klagomål/A 15210-2023 FSC-klagomål.docx", "A 15210-2023")</f>
        <v/>
      </c>
      <c r="W16">
        <f>HYPERLINK("https://klasma.github.io/Logging_2061/klagomålsmail/A 15210-2023 FSC-klagomål mail.docx", "A 15210-2023")</f>
        <v/>
      </c>
      <c r="X16">
        <f>HYPERLINK("https://klasma.github.io/Logging_2061/tillsyn/A 15210-2023 tillsynsbegäran.docx", "A 15210-2023")</f>
        <v/>
      </c>
      <c r="Y16">
        <f>HYPERLINK("https://klasma.github.io/Logging_2061/tillsynsmail/A 15210-2023 tillsynsbegäran mail.docx", "A 15210-2023")</f>
        <v/>
      </c>
    </row>
    <row r="17" ht="15" customHeight="1">
      <c r="A17" t="inlineStr">
        <is>
          <t>A 21706-2023</t>
        </is>
      </c>
      <c r="B17" s="1" t="n">
        <v>45064</v>
      </c>
      <c r="C17" s="1" t="n">
        <v>45352</v>
      </c>
      <c r="D17" t="inlineStr">
        <is>
          <t>DALARNAS LÄN</t>
        </is>
      </c>
      <c r="E17" t="inlineStr">
        <is>
          <t>SMEDJEBACKEN</t>
        </is>
      </c>
      <c r="F17" t="inlineStr">
        <is>
          <t>Övriga Aktiebolag</t>
        </is>
      </c>
      <c r="G17" t="n">
        <v>7.1</v>
      </c>
      <c r="H17" t="n">
        <v>2</v>
      </c>
      <c r="I17" t="n">
        <v>0</v>
      </c>
      <c r="J17" t="n">
        <v>0</v>
      </c>
      <c r="K17" t="n">
        <v>0</v>
      </c>
      <c r="L17" t="n">
        <v>0</v>
      </c>
      <c r="M17" t="n">
        <v>0</v>
      </c>
      <c r="N17" t="n">
        <v>0</v>
      </c>
      <c r="O17" t="n">
        <v>0</v>
      </c>
      <c r="P17" t="n">
        <v>0</v>
      </c>
      <c r="Q17" t="n">
        <v>2</v>
      </c>
      <c r="R17" s="2" t="inlineStr">
        <is>
          <t>Fläcknycklar
Mattlummer</t>
        </is>
      </c>
      <c r="S17">
        <f>HYPERLINK("https://klasma.github.io/Logging_2061/artfynd/A 21706-2023 artfynd.xlsx", "A 21706-2023")</f>
        <v/>
      </c>
      <c r="T17">
        <f>HYPERLINK("https://klasma.github.io/Logging_2061/kartor/A 21706-2023 karta.png", "A 21706-2023")</f>
        <v/>
      </c>
      <c r="V17">
        <f>HYPERLINK("https://klasma.github.io/Logging_2061/klagomål/A 21706-2023 FSC-klagomål.docx", "A 21706-2023")</f>
        <v/>
      </c>
      <c r="W17">
        <f>HYPERLINK("https://klasma.github.io/Logging_2061/klagomålsmail/A 21706-2023 FSC-klagomål mail.docx", "A 21706-2023")</f>
        <v/>
      </c>
      <c r="X17">
        <f>HYPERLINK("https://klasma.github.io/Logging_2061/tillsyn/A 21706-2023 tillsynsbegäran.docx", "A 21706-2023")</f>
        <v/>
      </c>
      <c r="Y17">
        <f>HYPERLINK("https://klasma.github.io/Logging_2061/tillsynsmail/A 21706-2023 tillsynsbegäran mail.docx", "A 21706-2023")</f>
        <v/>
      </c>
    </row>
    <row r="18" ht="15" customHeight="1">
      <c r="A18" t="inlineStr">
        <is>
          <t>A 38763-2023</t>
        </is>
      </c>
      <c r="B18" s="1" t="n">
        <v>45163</v>
      </c>
      <c r="C18" s="1" t="n">
        <v>45352</v>
      </c>
      <c r="D18" t="inlineStr">
        <is>
          <t>DALARNAS LÄN</t>
        </is>
      </c>
      <c r="E18" t="inlineStr">
        <is>
          <t>SMEDJEBACKEN</t>
        </is>
      </c>
      <c r="F18" t="inlineStr">
        <is>
          <t>Sveaskog</t>
        </is>
      </c>
      <c r="G18" t="n">
        <v>22.7</v>
      </c>
      <c r="H18" t="n">
        <v>2</v>
      </c>
      <c r="I18" t="n">
        <v>0</v>
      </c>
      <c r="J18" t="n">
        <v>1</v>
      </c>
      <c r="K18" t="n">
        <v>0</v>
      </c>
      <c r="L18" t="n">
        <v>0</v>
      </c>
      <c r="M18" t="n">
        <v>0</v>
      </c>
      <c r="N18" t="n">
        <v>0</v>
      </c>
      <c r="O18" t="n">
        <v>1</v>
      </c>
      <c r="P18" t="n">
        <v>0</v>
      </c>
      <c r="Q18" t="n">
        <v>2</v>
      </c>
      <c r="R18" s="2" t="inlineStr">
        <is>
          <t>Talltita
Mattlummer</t>
        </is>
      </c>
      <c r="S18">
        <f>HYPERLINK("https://klasma.github.io/Logging_2061/artfynd/A 38763-2023 artfynd.xlsx", "A 38763-2023")</f>
        <v/>
      </c>
      <c r="T18">
        <f>HYPERLINK("https://klasma.github.io/Logging_2061/kartor/A 38763-2023 karta.png", "A 38763-2023")</f>
        <v/>
      </c>
      <c r="V18">
        <f>HYPERLINK("https://klasma.github.io/Logging_2061/klagomål/A 38763-2023 FSC-klagomål.docx", "A 38763-2023")</f>
        <v/>
      </c>
      <c r="W18">
        <f>HYPERLINK("https://klasma.github.io/Logging_2061/klagomålsmail/A 38763-2023 FSC-klagomål mail.docx", "A 38763-2023")</f>
        <v/>
      </c>
      <c r="X18">
        <f>HYPERLINK("https://klasma.github.io/Logging_2061/tillsyn/A 38763-2023 tillsynsbegäran.docx", "A 38763-2023")</f>
        <v/>
      </c>
      <c r="Y18">
        <f>HYPERLINK("https://klasma.github.io/Logging_2061/tillsynsmail/A 38763-2023 tillsynsbegäran mail.docx", "A 38763-2023")</f>
        <v/>
      </c>
      <c r="Z18">
        <f>HYPERLINK("https://klasma.github.io/Logging_2061/fåglar/A 38763-2023 prioriterade fågelarter.docx", "A 38763-2023")</f>
        <v/>
      </c>
    </row>
    <row r="19" ht="15" customHeight="1">
      <c r="A19" t="inlineStr">
        <is>
          <t>A 43858-2019</t>
        </is>
      </c>
      <c r="B19" s="1" t="n">
        <v>43707</v>
      </c>
      <c r="C19" s="1" t="n">
        <v>45352</v>
      </c>
      <c r="D19" t="inlineStr">
        <is>
          <t>DALARNAS LÄN</t>
        </is>
      </c>
      <c r="E19" t="inlineStr">
        <is>
          <t>SMEDJEBACKEN</t>
        </is>
      </c>
      <c r="G19" t="n">
        <v>2</v>
      </c>
      <c r="H19" t="n">
        <v>0</v>
      </c>
      <c r="I19" t="n">
        <v>1</v>
      </c>
      <c r="J19" t="n">
        <v>0</v>
      </c>
      <c r="K19" t="n">
        <v>0</v>
      </c>
      <c r="L19" t="n">
        <v>0</v>
      </c>
      <c r="M19" t="n">
        <v>0</v>
      </c>
      <c r="N19" t="n">
        <v>0</v>
      </c>
      <c r="O19" t="n">
        <v>0</v>
      </c>
      <c r="P19" t="n">
        <v>0</v>
      </c>
      <c r="Q19" t="n">
        <v>1</v>
      </c>
      <c r="R19" s="2" t="inlineStr">
        <is>
          <t>Sotlav</t>
        </is>
      </c>
      <c r="S19">
        <f>HYPERLINK("https://klasma.github.io/Logging_2061/artfynd/A 43858-2019 artfynd.xlsx", "A 43858-2019")</f>
        <v/>
      </c>
      <c r="T19">
        <f>HYPERLINK("https://klasma.github.io/Logging_2061/kartor/A 43858-2019 karta.png", "A 43858-2019")</f>
        <v/>
      </c>
      <c r="V19">
        <f>HYPERLINK("https://klasma.github.io/Logging_2061/klagomål/A 43858-2019 FSC-klagomål.docx", "A 43858-2019")</f>
        <v/>
      </c>
      <c r="W19">
        <f>HYPERLINK("https://klasma.github.io/Logging_2061/klagomålsmail/A 43858-2019 FSC-klagomål mail.docx", "A 43858-2019")</f>
        <v/>
      </c>
      <c r="X19">
        <f>HYPERLINK("https://klasma.github.io/Logging_2061/tillsyn/A 43858-2019 tillsynsbegäran.docx", "A 43858-2019")</f>
        <v/>
      </c>
      <c r="Y19">
        <f>HYPERLINK("https://klasma.github.io/Logging_2061/tillsynsmail/A 43858-2019 tillsynsbegäran mail.docx", "A 43858-2019")</f>
        <v/>
      </c>
    </row>
    <row r="20" ht="15" customHeight="1">
      <c r="A20" t="inlineStr">
        <is>
          <t>A 57073-2019</t>
        </is>
      </c>
      <c r="B20" s="1" t="n">
        <v>43766</v>
      </c>
      <c r="C20" s="1" t="n">
        <v>45352</v>
      </c>
      <c r="D20" t="inlineStr">
        <is>
          <t>DALARNAS LÄN</t>
        </is>
      </c>
      <c r="E20" t="inlineStr">
        <is>
          <t>SMEDJEBACKEN</t>
        </is>
      </c>
      <c r="F20" t="inlineStr">
        <is>
          <t>Sveaskog</t>
        </is>
      </c>
      <c r="G20" t="n">
        <v>1.1</v>
      </c>
      <c r="H20" t="n">
        <v>0</v>
      </c>
      <c r="I20" t="n">
        <v>0</v>
      </c>
      <c r="J20" t="n">
        <v>1</v>
      </c>
      <c r="K20" t="n">
        <v>0</v>
      </c>
      <c r="L20" t="n">
        <v>0</v>
      </c>
      <c r="M20" t="n">
        <v>0</v>
      </c>
      <c r="N20" t="n">
        <v>0</v>
      </c>
      <c r="O20" t="n">
        <v>1</v>
      </c>
      <c r="P20" t="n">
        <v>0</v>
      </c>
      <c r="Q20" t="n">
        <v>1</v>
      </c>
      <c r="R20" s="2" t="inlineStr">
        <is>
          <t>Vedtrappmossa</t>
        </is>
      </c>
      <c r="S20">
        <f>HYPERLINK("https://klasma.github.io/Logging_2061/artfynd/A 57073-2019 artfynd.xlsx", "A 57073-2019")</f>
        <v/>
      </c>
      <c r="T20">
        <f>HYPERLINK("https://klasma.github.io/Logging_2061/kartor/A 57073-2019 karta.png", "A 57073-2019")</f>
        <v/>
      </c>
      <c r="V20">
        <f>HYPERLINK("https://klasma.github.io/Logging_2061/klagomål/A 57073-2019 FSC-klagomål.docx", "A 57073-2019")</f>
        <v/>
      </c>
      <c r="W20">
        <f>HYPERLINK("https://klasma.github.io/Logging_2061/klagomålsmail/A 57073-2019 FSC-klagomål mail.docx", "A 57073-2019")</f>
        <v/>
      </c>
      <c r="X20">
        <f>HYPERLINK("https://klasma.github.io/Logging_2061/tillsyn/A 57073-2019 tillsynsbegäran.docx", "A 57073-2019")</f>
        <v/>
      </c>
      <c r="Y20">
        <f>HYPERLINK("https://klasma.github.io/Logging_2061/tillsynsmail/A 57073-2019 tillsynsbegäran mail.docx", "A 57073-2019")</f>
        <v/>
      </c>
    </row>
    <row r="21" ht="15" customHeight="1">
      <c r="A21" t="inlineStr">
        <is>
          <t>A 60407-2019</t>
        </is>
      </c>
      <c r="B21" s="1" t="n">
        <v>43780</v>
      </c>
      <c r="C21" s="1" t="n">
        <v>45352</v>
      </c>
      <c r="D21" t="inlineStr">
        <is>
          <t>DALARNAS LÄN</t>
        </is>
      </c>
      <c r="E21" t="inlineStr">
        <is>
          <t>SMEDJEBACKEN</t>
        </is>
      </c>
      <c r="G21" t="n">
        <v>1.3</v>
      </c>
      <c r="H21" t="n">
        <v>0</v>
      </c>
      <c r="I21" t="n">
        <v>1</v>
      </c>
      <c r="J21" t="n">
        <v>0</v>
      </c>
      <c r="K21" t="n">
        <v>0</v>
      </c>
      <c r="L21" t="n">
        <v>0</v>
      </c>
      <c r="M21" t="n">
        <v>0</v>
      </c>
      <c r="N21" t="n">
        <v>0</v>
      </c>
      <c r="O21" t="n">
        <v>0</v>
      </c>
      <c r="P21" t="n">
        <v>0</v>
      </c>
      <c r="Q21" t="n">
        <v>1</v>
      </c>
      <c r="R21" s="2" t="inlineStr">
        <is>
          <t>Tibast</t>
        </is>
      </c>
      <c r="S21">
        <f>HYPERLINK("https://klasma.github.io/Logging_2061/artfynd/A 60407-2019 artfynd.xlsx", "A 60407-2019")</f>
        <v/>
      </c>
      <c r="T21">
        <f>HYPERLINK("https://klasma.github.io/Logging_2061/kartor/A 60407-2019 karta.png", "A 60407-2019")</f>
        <v/>
      </c>
      <c r="V21">
        <f>HYPERLINK("https://klasma.github.io/Logging_2061/klagomål/A 60407-2019 FSC-klagomål.docx", "A 60407-2019")</f>
        <v/>
      </c>
      <c r="W21">
        <f>HYPERLINK("https://klasma.github.io/Logging_2061/klagomålsmail/A 60407-2019 FSC-klagomål mail.docx", "A 60407-2019")</f>
        <v/>
      </c>
      <c r="X21">
        <f>HYPERLINK("https://klasma.github.io/Logging_2061/tillsyn/A 60407-2019 tillsynsbegäran.docx", "A 60407-2019")</f>
        <v/>
      </c>
      <c r="Y21">
        <f>HYPERLINK("https://klasma.github.io/Logging_2061/tillsynsmail/A 60407-2019 tillsynsbegäran mail.docx", "A 60407-2019")</f>
        <v/>
      </c>
    </row>
    <row r="22" ht="15" customHeight="1">
      <c r="A22" t="inlineStr">
        <is>
          <t>A 42272-2021</t>
        </is>
      </c>
      <c r="B22" s="1" t="n">
        <v>44426</v>
      </c>
      <c r="C22" s="1" t="n">
        <v>45352</v>
      </c>
      <c r="D22" t="inlineStr">
        <is>
          <t>DALARNAS LÄN</t>
        </is>
      </c>
      <c r="E22" t="inlineStr">
        <is>
          <t>SMEDJEBACKEN</t>
        </is>
      </c>
      <c r="F22" t="inlineStr">
        <is>
          <t>Bergvik skog väst AB</t>
        </is>
      </c>
      <c r="G22" t="n">
        <v>23.7</v>
      </c>
      <c r="H22" t="n">
        <v>1</v>
      </c>
      <c r="I22" t="n">
        <v>0</v>
      </c>
      <c r="J22" t="n">
        <v>0</v>
      </c>
      <c r="K22" t="n">
        <v>1</v>
      </c>
      <c r="L22" t="n">
        <v>0</v>
      </c>
      <c r="M22" t="n">
        <v>0</v>
      </c>
      <c r="N22" t="n">
        <v>0</v>
      </c>
      <c r="O22" t="n">
        <v>1</v>
      </c>
      <c r="P22" t="n">
        <v>1</v>
      </c>
      <c r="Q22" t="n">
        <v>1</v>
      </c>
      <c r="R22" s="2" t="inlineStr">
        <is>
          <t>Knärot</t>
        </is>
      </c>
      <c r="S22">
        <f>HYPERLINK("https://klasma.github.io/Logging_2061/artfynd/A 42272-2021 artfynd.xlsx", "A 42272-2021")</f>
        <v/>
      </c>
      <c r="T22">
        <f>HYPERLINK("https://klasma.github.io/Logging_2061/kartor/A 42272-2021 karta.png", "A 42272-2021")</f>
        <v/>
      </c>
      <c r="U22">
        <f>HYPERLINK("https://klasma.github.io/Logging_2061/knärot/A 42272-2021 karta knärot.png", "A 42272-2021")</f>
        <v/>
      </c>
      <c r="V22">
        <f>HYPERLINK("https://klasma.github.io/Logging_2061/klagomål/A 42272-2021 FSC-klagomål.docx", "A 42272-2021")</f>
        <v/>
      </c>
      <c r="W22">
        <f>HYPERLINK("https://klasma.github.io/Logging_2061/klagomålsmail/A 42272-2021 FSC-klagomål mail.docx", "A 42272-2021")</f>
        <v/>
      </c>
      <c r="X22">
        <f>HYPERLINK("https://klasma.github.io/Logging_2061/tillsyn/A 42272-2021 tillsynsbegäran.docx", "A 42272-2021")</f>
        <v/>
      </c>
      <c r="Y22">
        <f>HYPERLINK("https://klasma.github.io/Logging_2061/tillsynsmail/A 42272-2021 tillsynsbegäran mail.docx", "A 42272-2021")</f>
        <v/>
      </c>
    </row>
    <row r="23" ht="15" customHeight="1">
      <c r="A23" t="inlineStr">
        <is>
          <t>A 43377-2021</t>
        </is>
      </c>
      <c r="B23" s="1" t="n">
        <v>44432</v>
      </c>
      <c r="C23" s="1" t="n">
        <v>45352</v>
      </c>
      <c r="D23" t="inlineStr">
        <is>
          <t>DALARNAS LÄN</t>
        </is>
      </c>
      <c r="E23" t="inlineStr">
        <is>
          <t>SMEDJEBACKEN</t>
        </is>
      </c>
      <c r="G23" t="n">
        <v>2.6</v>
      </c>
      <c r="H23" t="n">
        <v>0</v>
      </c>
      <c r="I23" t="n">
        <v>1</v>
      </c>
      <c r="J23" t="n">
        <v>0</v>
      </c>
      <c r="K23" t="n">
        <v>0</v>
      </c>
      <c r="L23" t="n">
        <v>0</v>
      </c>
      <c r="M23" t="n">
        <v>0</v>
      </c>
      <c r="N23" t="n">
        <v>0</v>
      </c>
      <c r="O23" t="n">
        <v>0</v>
      </c>
      <c r="P23" t="n">
        <v>0</v>
      </c>
      <c r="Q23" t="n">
        <v>1</v>
      </c>
      <c r="R23" s="2" t="inlineStr">
        <is>
          <t>Fjällig taggsvamp s.str.</t>
        </is>
      </c>
      <c r="S23">
        <f>HYPERLINK("https://klasma.github.io/Logging_2061/artfynd/A 43377-2021 artfynd.xlsx", "A 43377-2021")</f>
        <v/>
      </c>
      <c r="T23">
        <f>HYPERLINK("https://klasma.github.io/Logging_2061/kartor/A 43377-2021 karta.png", "A 43377-2021")</f>
        <v/>
      </c>
      <c r="U23">
        <f>HYPERLINK("https://klasma.github.io/Logging_2061/knärot/A 43377-2021 karta knärot.png", "A 43377-2021")</f>
        <v/>
      </c>
      <c r="V23">
        <f>HYPERLINK("https://klasma.github.io/Logging_2061/klagomål/A 43377-2021 FSC-klagomål.docx", "A 43377-2021")</f>
        <v/>
      </c>
      <c r="W23">
        <f>HYPERLINK("https://klasma.github.io/Logging_2061/klagomålsmail/A 43377-2021 FSC-klagomål mail.docx", "A 43377-2021")</f>
        <v/>
      </c>
      <c r="X23">
        <f>HYPERLINK("https://klasma.github.io/Logging_2061/tillsyn/A 43377-2021 tillsynsbegäran.docx", "A 43377-2021")</f>
        <v/>
      </c>
      <c r="Y23">
        <f>HYPERLINK("https://klasma.github.io/Logging_2061/tillsynsmail/A 43377-2021 tillsynsbegäran mail.docx", "A 43377-2021")</f>
        <v/>
      </c>
    </row>
    <row r="24" ht="15" customHeight="1">
      <c r="A24" t="inlineStr">
        <is>
          <t>A 31803-2022</t>
        </is>
      </c>
      <c r="B24" s="1" t="n">
        <v>44776</v>
      </c>
      <c r="C24" s="1" t="n">
        <v>45352</v>
      </c>
      <c r="D24" t="inlineStr">
        <is>
          <t>DALARNAS LÄN</t>
        </is>
      </c>
      <c r="E24" t="inlineStr">
        <is>
          <t>SMEDJEBACKEN</t>
        </is>
      </c>
      <c r="F24" t="inlineStr">
        <is>
          <t>Bergvik skog väst AB</t>
        </is>
      </c>
      <c r="G24" t="n">
        <v>9.699999999999999</v>
      </c>
      <c r="H24" t="n">
        <v>1</v>
      </c>
      <c r="I24" t="n">
        <v>0</v>
      </c>
      <c r="J24" t="n">
        <v>1</v>
      </c>
      <c r="K24" t="n">
        <v>0</v>
      </c>
      <c r="L24" t="n">
        <v>0</v>
      </c>
      <c r="M24" t="n">
        <v>0</v>
      </c>
      <c r="N24" t="n">
        <v>0</v>
      </c>
      <c r="O24" t="n">
        <v>1</v>
      </c>
      <c r="P24" t="n">
        <v>0</v>
      </c>
      <c r="Q24" t="n">
        <v>1</v>
      </c>
      <c r="R24" s="2" t="inlineStr">
        <is>
          <t>Spillkråka</t>
        </is>
      </c>
      <c r="S24">
        <f>HYPERLINK("https://klasma.github.io/Logging_2061/artfynd/A 31803-2022 artfynd.xlsx", "A 31803-2022")</f>
        <v/>
      </c>
      <c r="T24">
        <f>HYPERLINK("https://klasma.github.io/Logging_2061/kartor/A 31803-2022 karta.png", "A 31803-2022")</f>
        <v/>
      </c>
      <c r="V24">
        <f>HYPERLINK("https://klasma.github.io/Logging_2061/klagomål/A 31803-2022 FSC-klagomål.docx", "A 31803-2022")</f>
        <v/>
      </c>
      <c r="W24">
        <f>HYPERLINK("https://klasma.github.io/Logging_2061/klagomålsmail/A 31803-2022 FSC-klagomål mail.docx", "A 31803-2022")</f>
        <v/>
      </c>
      <c r="X24">
        <f>HYPERLINK("https://klasma.github.io/Logging_2061/tillsyn/A 31803-2022 tillsynsbegäran.docx", "A 31803-2022")</f>
        <v/>
      </c>
      <c r="Y24">
        <f>HYPERLINK("https://klasma.github.io/Logging_2061/tillsynsmail/A 31803-2022 tillsynsbegäran mail.docx", "A 31803-2022")</f>
        <v/>
      </c>
      <c r="Z24">
        <f>HYPERLINK("https://klasma.github.io/Logging_2061/fåglar/A 31803-2022 prioriterade fågelarter.docx", "A 31803-2022")</f>
        <v/>
      </c>
    </row>
    <row r="25" ht="15" customHeight="1">
      <c r="A25" t="inlineStr">
        <is>
          <t>A 31793-2022</t>
        </is>
      </c>
      <c r="B25" s="1" t="n">
        <v>44776</v>
      </c>
      <c r="C25" s="1" t="n">
        <v>45352</v>
      </c>
      <c r="D25" t="inlineStr">
        <is>
          <t>DALARNAS LÄN</t>
        </is>
      </c>
      <c r="E25" t="inlineStr">
        <is>
          <t>SMEDJEBACKEN</t>
        </is>
      </c>
      <c r="F25" t="inlineStr">
        <is>
          <t>Bergvik skog väst AB</t>
        </is>
      </c>
      <c r="G25" t="n">
        <v>6.1</v>
      </c>
      <c r="H25" t="n">
        <v>1</v>
      </c>
      <c r="I25" t="n">
        <v>0</v>
      </c>
      <c r="J25" t="n">
        <v>0</v>
      </c>
      <c r="K25" t="n">
        <v>0</v>
      </c>
      <c r="L25" t="n">
        <v>0</v>
      </c>
      <c r="M25" t="n">
        <v>0</v>
      </c>
      <c r="N25" t="n">
        <v>0</v>
      </c>
      <c r="O25" t="n">
        <v>0</v>
      </c>
      <c r="P25" t="n">
        <v>0</v>
      </c>
      <c r="Q25" t="n">
        <v>1</v>
      </c>
      <c r="R25" s="2" t="inlineStr">
        <is>
          <t>Blåsippa</t>
        </is>
      </c>
      <c r="S25">
        <f>HYPERLINK("https://klasma.github.io/Logging_2061/artfynd/A 31793-2022 artfynd.xlsx", "A 31793-2022")</f>
        <v/>
      </c>
      <c r="T25">
        <f>HYPERLINK("https://klasma.github.io/Logging_2061/kartor/A 31793-2022 karta.png", "A 31793-2022")</f>
        <v/>
      </c>
      <c r="V25">
        <f>HYPERLINK("https://klasma.github.io/Logging_2061/klagomål/A 31793-2022 FSC-klagomål.docx", "A 31793-2022")</f>
        <v/>
      </c>
      <c r="W25">
        <f>HYPERLINK("https://klasma.github.io/Logging_2061/klagomålsmail/A 31793-2022 FSC-klagomål mail.docx", "A 31793-2022")</f>
        <v/>
      </c>
      <c r="X25">
        <f>HYPERLINK("https://klasma.github.io/Logging_2061/tillsyn/A 31793-2022 tillsynsbegäran.docx", "A 31793-2022")</f>
        <v/>
      </c>
      <c r="Y25">
        <f>HYPERLINK("https://klasma.github.io/Logging_2061/tillsynsmail/A 31793-2022 tillsynsbegäran mail.docx", "A 31793-2022")</f>
        <v/>
      </c>
    </row>
    <row r="26" ht="15" customHeight="1">
      <c r="A26" t="inlineStr">
        <is>
          <t>A 41336-2022</t>
        </is>
      </c>
      <c r="B26" s="1" t="n">
        <v>44826</v>
      </c>
      <c r="C26" s="1" t="n">
        <v>45352</v>
      </c>
      <c r="D26" t="inlineStr">
        <is>
          <t>DALARNAS LÄN</t>
        </is>
      </c>
      <c r="E26" t="inlineStr">
        <is>
          <t>SMEDJEBACKEN</t>
        </is>
      </c>
      <c r="G26" t="n">
        <v>2.3</v>
      </c>
      <c r="H26" t="n">
        <v>1</v>
      </c>
      <c r="I26" t="n">
        <v>0</v>
      </c>
      <c r="J26" t="n">
        <v>1</v>
      </c>
      <c r="K26" t="n">
        <v>0</v>
      </c>
      <c r="L26" t="n">
        <v>0</v>
      </c>
      <c r="M26" t="n">
        <v>0</v>
      </c>
      <c r="N26" t="n">
        <v>0</v>
      </c>
      <c r="O26" t="n">
        <v>1</v>
      </c>
      <c r="P26" t="n">
        <v>0</v>
      </c>
      <c r="Q26" t="n">
        <v>1</v>
      </c>
      <c r="R26" s="2" t="inlineStr">
        <is>
          <t>Spillkråka</t>
        </is>
      </c>
      <c r="S26">
        <f>HYPERLINK("https://klasma.github.io/Logging_2061/artfynd/A 41336-2022 artfynd.xlsx", "A 41336-2022")</f>
        <v/>
      </c>
      <c r="T26">
        <f>HYPERLINK("https://klasma.github.io/Logging_2061/kartor/A 41336-2022 karta.png", "A 41336-2022")</f>
        <v/>
      </c>
      <c r="V26">
        <f>HYPERLINK("https://klasma.github.io/Logging_2061/klagomål/A 41336-2022 FSC-klagomål.docx", "A 41336-2022")</f>
        <v/>
      </c>
      <c r="W26">
        <f>HYPERLINK("https://klasma.github.io/Logging_2061/klagomålsmail/A 41336-2022 FSC-klagomål mail.docx", "A 41336-2022")</f>
        <v/>
      </c>
      <c r="X26">
        <f>HYPERLINK("https://klasma.github.io/Logging_2061/tillsyn/A 41336-2022 tillsynsbegäran.docx", "A 41336-2022")</f>
        <v/>
      </c>
      <c r="Y26">
        <f>HYPERLINK("https://klasma.github.io/Logging_2061/tillsynsmail/A 41336-2022 tillsynsbegäran mail.docx", "A 41336-2022")</f>
        <v/>
      </c>
      <c r="Z26">
        <f>HYPERLINK("https://klasma.github.io/Logging_2061/fåglar/A 41336-2022 prioriterade fågelarter.docx", "A 41336-2022")</f>
        <v/>
      </c>
    </row>
    <row r="27" ht="15" customHeight="1">
      <c r="A27" t="inlineStr">
        <is>
          <t>A 41584-2022</t>
        </is>
      </c>
      <c r="B27" s="1" t="n">
        <v>44827</v>
      </c>
      <c r="C27" s="1" t="n">
        <v>45352</v>
      </c>
      <c r="D27" t="inlineStr">
        <is>
          <t>DALARNAS LÄN</t>
        </is>
      </c>
      <c r="E27" t="inlineStr">
        <is>
          <t>SMEDJEBACKEN</t>
        </is>
      </c>
      <c r="G27" t="n">
        <v>8.699999999999999</v>
      </c>
      <c r="H27" t="n">
        <v>0</v>
      </c>
      <c r="I27" t="n">
        <v>0</v>
      </c>
      <c r="J27" t="n">
        <v>0</v>
      </c>
      <c r="K27" t="n">
        <v>1</v>
      </c>
      <c r="L27" t="n">
        <v>0</v>
      </c>
      <c r="M27" t="n">
        <v>0</v>
      </c>
      <c r="N27" t="n">
        <v>0</v>
      </c>
      <c r="O27" t="n">
        <v>1</v>
      </c>
      <c r="P27" t="n">
        <v>1</v>
      </c>
      <c r="Q27" t="n">
        <v>1</v>
      </c>
      <c r="R27" s="2" t="inlineStr">
        <is>
          <t>Gaffelskinn</t>
        </is>
      </c>
      <c r="S27">
        <f>HYPERLINK("https://klasma.github.io/Logging_2061/artfynd/A 41584-2022 artfynd.xlsx", "A 41584-2022")</f>
        <v/>
      </c>
      <c r="T27">
        <f>HYPERLINK("https://klasma.github.io/Logging_2061/kartor/A 41584-2022 karta.png", "A 41584-2022")</f>
        <v/>
      </c>
      <c r="V27">
        <f>HYPERLINK("https://klasma.github.io/Logging_2061/klagomål/A 41584-2022 FSC-klagomål.docx", "A 41584-2022")</f>
        <v/>
      </c>
      <c r="W27">
        <f>HYPERLINK("https://klasma.github.io/Logging_2061/klagomålsmail/A 41584-2022 FSC-klagomål mail.docx", "A 41584-2022")</f>
        <v/>
      </c>
      <c r="X27">
        <f>HYPERLINK("https://klasma.github.io/Logging_2061/tillsyn/A 41584-2022 tillsynsbegäran.docx", "A 41584-2022")</f>
        <v/>
      </c>
      <c r="Y27">
        <f>HYPERLINK("https://klasma.github.io/Logging_2061/tillsynsmail/A 41584-2022 tillsynsbegäran mail.docx", "A 41584-2022")</f>
        <v/>
      </c>
    </row>
    <row r="28" ht="15" customHeight="1">
      <c r="A28" t="inlineStr">
        <is>
          <t>A 15124-2023</t>
        </is>
      </c>
      <c r="B28" s="1" t="n">
        <v>45015</v>
      </c>
      <c r="C28" s="1" t="n">
        <v>45352</v>
      </c>
      <c r="D28" t="inlineStr">
        <is>
          <t>DALARNAS LÄN</t>
        </is>
      </c>
      <c r="E28" t="inlineStr">
        <is>
          <t>SMEDJEBACKEN</t>
        </is>
      </c>
      <c r="F28" t="inlineStr">
        <is>
          <t>Bergvik skog väst AB</t>
        </is>
      </c>
      <c r="G28" t="n">
        <v>6.2</v>
      </c>
      <c r="H28" t="n">
        <v>0</v>
      </c>
      <c r="I28" t="n">
        <v>0</v>
      </c>
      <c r="J28" t="n">
        <v>1</v>
      </c>
      <c r="K28" t="n">
        <v>0</v>
      </c>
      <c r="L28" t="n">
        <v>0</v>
      </c>
      <c r="M28" t="n">
        <v>0</v>
      </c>
      <c r="N28" t="n">
        <v>0</v>
      </c>
      <c r="O28" t="n">
        <v>1</v>
      </c>
      <c r="P28" t="n">
        <v>0</v>
      </c>
      <c r="Q28" t="n">
        <v>1</v>
      </c>
      <c r="R28" s="2" t="inlineStr">
        <is>
          <t>Skogsklocka</t>
        </is>
      </c>
      <c r="S28">
        <f>HYPERLINK("https://klasma.github.io/Logging_2061/artfynd/A 15124-2023 artfynd.xlsx", "A 15124-2023")</f>
        <v/>
      </c>
      <c r="T28">
        <f>HYPERLINK("https://klasma.github.io/Logging_2061/kartor/A 15124-2023 karta.png", "A 15124-2023")</f>
        <v/>
      </c>
      <c r="V28">
        <f>HYPERLINK("https://klasma.github.io/Logging_2061/klagomål/A 15124-2023 FSC-klagomål.docx", "A 15124-2023")</f>
        <v/>
      </c>
      <c r="W28">
        <f>HYPERLINK("https://klasma.github.io/Logging_2061/klagomålsmail/A 15124-2023 FSC-klagomål mail.docx", "A 15124-2023")</f>
        <v/>
      </c>
      <c r="X28">
        <f>HYPERLINK("https://klasma.github.io/Logging_2061/tillsyn/A 15124-2023 tillsynsbegäran.docx", "A 15124-2023")</f>
        <v/>
      </c>
      <c r="Y28">
        <f>HYPERLINK("https://klasma.github.io/Logging_2061/tillsynsmail/A 15124-2023 tillsynsbegäran mail.docx", "A 15124-2023")</f>
        <v/>
      </c>
    </row>
    <row r="29" ht="15" customHeight="1">
      <c r="A29" t="inlineStr">
        <is>
          <t>A 46775-2023</t>
        </is>
      </c>
      <c r="B29" s="1" t="n">
        <v>45198</v>
      </c>
      <c r="C29" s="1" t="n">
        <v>45352</v>
      </c>
      <c r="D29" t="inlineStr">
        <is>
          <t>DALARNAS LÄN</t>
        </is>
      </c>
      <c r="E29" t="inlineStr">
        <is>
          <t>SMEDJEBACKEN</t>
        </is>
      </c>
      <c r="F29" t="inlineStr">
        <is>
          <t>Bergvik skog väst AB</t>
        </is>
      </c>
      <c r="G29" t="n">
        <v>1</v>
      </c>
      <c r="H29" t="n">
        <v>0</v>
      </c>
      <c r="I29" t="n">
        <v>1</v>
      </c>
      <c r="J29" t="n">
        <v>0</v>
      </c>
      <c r="K29" t="n">
        <v>0</v>
      </c>
      <c r="L29" t="n">
        <v>0</v>
      </c>
      <c r="M29" t="n">
        <v>0</v>
      </c>
      <c r="N29" t="n">
        <v>0</v>
      </c>
      <c r="O29" t="n">
        <v>0</v>
      </c>
      <c r="P29" t="n">
        <v>0</v>
      </c>
      <c r="Q29" t="n">
        <v>1</v>
      </c>
      <c r="R29" s="2" t="inlineStr">
        <is>
          <t>Tibast</t>
        </is>
      </c>
      <c r="S29">
        <f>HYPERLINK("https://klasma.github.io/Logging_2061/artfynd/A 46775-2023 artfynd.xlsx", "A 46775-2023")</f>
        <v/>
      </c>
      <c r="T29">
        <f>HYPERLINK("https://klasma.github.io/Logging_2061/kartor/A 46775-2023 karta.png", "A 46775-2023")</f>
        <v/>
      </c>
      <c r="V29">
        <f>HYPERLINK("https://klasma.github.io/Logging_2061/klagomål/A 46775-2023 FSC-klagomål.docx", "A 46775-2023")</f>
        <v/>
      </c>
      <c r="W29">
        <f>HYPERLINK("https://klasma.github.io/Logging_2061/klagomålsmail/A 46775-2023 FSC-klagomål mail.docx", "A 46775-2023")</f>
        <v/>
      </c>
      <c r="X29">
        <f>HYPERLINK("https://klasma.github.io/Logging_2061/tillsyn/A 46775-2023 tillsynsbegäran.docx", "A 46775-2023")</f>
        <v/>
      </c>
      <c r="Y29">
        <f>HYPERLINK("https://klasma.github.io/Logging_2061/tillsynsmail/A 46775-2023 tillsynsbegäran mail.docx", "A 46775-2023")</f>
        <v/>
      </c>
    </row>
    <row r="30" ht="15" customHeight="1">
      <c r="A30" t="inlineStr">
        <is>
          <t>A 46752-2023</t>
        </is>
      </c>
      <c r="B30" s="1" t="n">
        <v>45198</v>
      </c>
      <c r="C30" s="1" t="n">
        <v>45352</v>
      </c>
      <c r="D30" t="inlineStr">
        <is>
          <t>DALARNAS LÄN</t>
        </is>
      </c>
      <c r="E30" t="inlineStr">
        <is>
          <t>SMEDJEBACKEN</t>
        </is>
      </c>
      <c r="F30" t="inlineStr">
        <is>
          <t>Bergvik skog väst AB</t>
        </is>
      </c>
      <c r="G30" t="n">
        <v>2.4</v>
      </c>
      <c r="H30" t="n">
        <v>0</v>
      </c>
      <c r="I30" t="n">
        <v>1</v>
      </c>
      <c r="J30" t="n">
        <v>0</v>
      </c>
      <c r="K30" t="n">
        <v>0</v>
      </c>
      <c r="L30" t="n">
        <v>0</v>
      </c>
      <c r="M30" t="n">
        <v>0</v>
      </c>
      <c r="N30" t="n">
        <v>0</v>
      </c>
      <c r="O30" t="n">
        <v>0</v>
      </c>
      <c r="P30" t="n">
        <v>0</v>
      </c>
      <c r="Q30" t="n">
        <v>1</v>
      </c>
      <c r="R30" s="2" t="inlineStr">
        <is>
          <t>Tibast</t>
        </is>
      </c>
      <c r="S30">
        <f>HYPERLINK("https://klasma.github.io/Logging_2061/artfynd/A 46752-2023 artfynd.xlsx", "A 46752-2023")</f>
        <v/>
      </c>
      <c r="T30">
        <f>HYPERLINK("https://klasma.github.io/Logging_2061/kartor/A 46752-2023 karta.png", "A 46752-2023")</f>
        <v/>
      </c>
      <c r="V30">
        <f>HYPERLINK("https://klasma.github.io/Logging_2061/klagomål/A 46752-2023 FSC-klagomål.docx", "A 46752-2023")</f>
        <v/>
      </c>
      <c r="W30">
        <f>HYPERLINK("https://klasma.github.io/Logging_2061/klagomålsmail/A 46752-2023 FSC-klagomål mail.docx", "A 46752-2023")</f>
        <v/>
      </c>
      <c r="X30">
        <f>HYPERLINK("https://klasma.github.io/Logging_2061/tillsyn/A 46752-2023 tillsynsbegäran.docx", "A 46752-2023")</f>
        <v/>
      </c>
      <c r="Y30">
        <f>HYPERLINK("https://klasma.github.io/Logging_2061/tillsynsmail/A 46752-2023 tillsynsbegäran mail.docx", "A 46752-2023")</f>
        <v/>
      </c>
    </row>
    <row r="31" ht="15" customHeight="1">
      <c r="A31" t="inlineStr">
        <is>
          <t>A 46779-2023</t>
        </is>
      </c>
      <c r="B31" s="1" t="n">
        <v>45198</v>
      </c>
      <c r="C31" s="1" t="n">
        <v>45352</v>
      </c>
      <c r="D31" t="inlineStr">
        <is>
          <t>DALARNAS LÄN</t>
        </is>
      </c>
      <c r="E31" t="inlineStr">
        <is>
          <t>SMEDJEBACKEN</t>
        </is>
      </c>
      <c r="F31" t="inlineStr">
        <is>
          <t>Bergvik skog väst AB</t>
        </is>
      </c>
      <c r="G31" t="n">
        <v>14.2</v>
      </c>
      <c r="H31" t="n">
        <v>1</v>
      </c>
      <c r="I31" t="n">
        <v>0</v>
      </c>
      <c r="J31" t="n">
        <v>0</v>
      </c>
      <c r="K31" t="n">
        <v>1</v>
      </c>
      <c r="L31" t="n">
        <v>0</v>
      </c>
      <c r="M31" t="n">
        <v>0</v>
      </c>
      <c r="N31" t="n">
        <v>0</v>
      </c>
      <c r="O31" t="n">
        <v>1</v>
      </c>
      <c r="P31" t="n">
        <v>1</v>
      </c>
      <c r="Q31" t="n">
        <v>1</v>
      </c>
      <c r="R31" s="2" t="inlineStr">
        <is>
          <t>Väddnätfjäril</t>
        </is>
      </c>
      <c r="S31">
        <f>HYPERLINK("https://klasma.github.io/Logging_2061/artfynd/A 46779-2023 artfynd.xlsx", "A 46779-2023")</f>
        <v/>
      </c>
      <c r="T31">
        <f>HYPERLINK("https://klasma.github.io/Logging_2061/kartor/A 46779-2023 karta.png", "A 46779-2023")</f>
        <v/>
      </c>
      <c r="V31">
        <f>HYPERLINK("https://klasma.github.io/Logging_2061/klagomål/A 46779-2023 FSC-klagomål.docx", "A 46779-2023")</f>
        <v/>
      </c>
      <c r="W31">
        <f>HYPERLINK("https://klasma.github.io/Logging_2061/klagomålsmail/A 46779-2023 FSC-klagomål mail.docx", "A 46779-2023")</f>
        <v/>
      </c>
      <c r="X31">
        <f>HYPERLINK("https://klasma.github.io/Logging_2061/tillsyn/A 46779-2023 tillsynsbegäran.docx", "A 46779-2023")</f>
        <v/>
      </c>
      <c r="Y31">
        <f>HYPERLINK("https://klasma.github.io/Logging_2061/tillsynsmail/A 46779-2023 tillsynsbegäran mail.docx", "A 46779-2023")</f>
        <v/>
      </c>
    </row>
    <row r="32" ht="15" customHeight="1">
      <c r="A32" t="inlineStr">
        <is>
          <t>A 54156-2023</t>
        </is>
      </c>
      <c r="B32" s="1" t="n">
        <v>45225</v>
      </c>
      <c r="C32" s="1" t="n">
        <v>45352</v>
      </c>
      <c r="D32" t="inlineStr">
        <is>
          <t>DALARNAS LÄN</t>
        </is>
      </c>
      <c r="E32" t="inlineStr">
        <is>
          <t>SMEDJEBACKEN</t>
        </is>
      </c>
      <c r="F32" t="inlineStr">
        <is>
          <t>Bergvik skog väst AB</t>
        </is>
      </c>
      <c r="G32" t="n">
        <v>26.3</v>
      </c>
      <c r="H32" t="n">
        <v>1</v>
      </c>
      <c r="I32" t="n">
        <v>0</v>
      </c>
      <c r="J32" t="n">
        <v>0</v>
      </c>
      <c r="K32" t="n">
        <v>0</v>
      </c>
      <c r="L32" t="n">
        <v>0</v>
      </c>
      <c r="M32" t="n">
        <v>0</v>
      </c>
      <c r="N32" t="n">
        <v>0</v>
      </c>
      <c r="O32" t="n">
        <v>0</v>
      </c>
      <c r="P32" t="n">
        <v>0</v>
      </c>
      <c r="Q32" t="n">
        <v>1</v>
      </c>
      <c r="R32" s="2" t="inlineStr">
        <is>
          <t>Revlummer</t>
        </is>
      </c>
      <c r="S32">
        <f>HYPERLINK("https://klasma.github.io/Logging_2061/artfynd/A 54156-2023 artfynd.xlsx", "A 54156-2023")</f>
        <v/>
      </c>
      <c r="T32">
        <f>HYPERLINK("https://klasma.github.io/Logging_2061/kartor/A 54156-2023 karta.png", "A 54156-2023")</f>
        <v/>
      </c>
      <c r="V32">
        <f>HYPERLINK("https://klasma.github.io/Logging_2061/klagomål/A 54156-2023 FSC-klagomål.docx", "A 54156-2023")</f>
        <v/>
      </c>
      <c r="W32">
        <f>HYPERLINK("https://klasma.github.io/Logging_2061/klagomålsmail/A 54156-2023 FSC-klagomål mail.docx", "A 54156-2023")</f>
        <v/>
      </c>
      <c r="X32">
        <f>HYPERLINK("https://klasma.github.io/Logging_2061/tillsyn/A 54156-2023 tillsynsbegäran.docx", "A 54156-2023")</f>
        <v/>
      </c>
      <c r="Y32">
        <f>HYPERLINK("https://klasma.github.io/Logging_2061/tillsynsmail/A 54156-2023 tillsynsbegäran mail.docx", "A 54156-2023")</f>
        <v/>
      </c>
    </row>
    <row r="33" ht="15" customHeight="1">
      <c r="A33" t="inlineStr">
        <is>
          <t>A 52958-2023</t>
        </is>
      </c>
      <c r="B33" s="1" t="n">
        <v>45226</v>
      </c>
      <c r="C33" s="1" t="n">
        <v>45352</v>
      </c>
      <c r="D33" t="inlineStr">
        <is>
          <t>DALARNAS LÄN</t>
        </is>
      </c>
      <c r="E33" t="inlineStr">
        <is>
          <t>SMEDJEBACKEN</t>
        </is>
      </c>
      <c r="F33" t="inlineStr">
        <is>
          <t>Sveaskog</t>
        </is>
      </c>
      <c r="G33" t="n">
        <v>4.9</v>
      </c>
      <c r="H33" t="n">
        <v>0</v>
      </c>
      <c r="I33" t="n">
        <v>0</v>
      </c>
      <c r="J33" t="n">
        <v>1</v>
      </c>
      <c r="K33" t="n">
        <v>0</v>
      </c>
      <c r="L33" t="n">
        <v>0</v>
      </c>
      <c r="M33" t="n">
        <v>0</v>
      </c>
      <c r="N33" t="n">
        <v>0</v>
      </c>
      <c r="O33" t="n">
        <v>1</v>
      </c>
      <c r="P33" t="n">
        <v>0</v>
      </c>
      <c r="Q33" t="n">
        <v>1</v>
      </c>
      <c r="R33" s="2" t="inlineStr">
        <is>
          <t>Motaggsvamp</t>
        </is>
      </c>
      <c r="S33">
        <f>HYPERLINK("https://klasma.github.io/Logging_2061/artfynd/A 52958-2023 artfynd.xlsx", "A 52958-2023")</f>
        <v/>
      </c>
      <c r="T33">
        <f>HYPERLINK("https://klasma.github.io/Logging_2061/kartor/A 52958-2023 karta.png", "A 52958-2023")</f>
        <v/>
      </c>
      <c r="V33">
        <f>HYPERLINK("https://klasma.github.io/Logging_2061/klagomål/A 52958-2023 FSC-klagomål.docx", "A 52958-2023")</f>
        <v/>
      </c>
      <c r="W33">
        <f>HYPERLINK("https://klasma.github.io/Logging_2061/klagomålsmail/A 52958-2023 FSC-klagomål mail.docx", "A 52958-2023")</f>
        <v/>
      </c>
      <c r="X33">
        <f>HYPERLINK("https://klasma.github.io/Logging_2061/tillsyn/A 52958-2023 tillsynsbegäran.docx", "A 52958-2023")</f>
        <v/>
      </c>
      <c r="Y33">
        <f>HYPERLINK("https://klasma.github.io/Logging_2061/tillsynsmail/A 52958-2023 tillsynsbegäran mail.docx", "A 52958-2023")</f>
        <v/>
      </c>
    </row>
    <row r="34" ht="15" customHeight="1">
      <c r="A34" t="inlineStr">
        <is>
          <t>A 52953-2023</t>
        </is>
      </c>
      <c r="B34" s="1" t="n">
        <v>45226</v>
      </c>
      <c r="C34" s="1" t="n">
        <v>45352</v>
      </c>
      <c r="D34" t="inlineStr">
        <is>
          <t>DALARNAS LÄN</t>
        </is>
      </c>
      <c r="E34" t="inlineStr">
        <is>
          <t>SMEDJEBACKEN</t>
        </is>
      </c>
      <c r="F34" t="inlineStr">
        <is>
          <t>Sveaskog</t>
        </is>
      </c>
      <c r="G34" t="n">
        <v>0.9</v>
      </c>
      <c r="H34" t="n">
        <v>0</v>
      </c>
      <c r="I34" t="n">
        <v>0</v>
      </c>
      <c r="J34" t="n">
        <v>1</v>
      </c>
      <c r="K34" t="n">
        <v>0</v>
      </c>
      <c r="L34" t="n">
        <v>0</v>
      </c>
      <c r="M34" t="n">
        <v>0</v>
      </c>
      <c r="N34" t="n">
        <v>0</v>
      </c>
      <c r="O34" t="n">
        <v>1</v>
      </c>
      <c r="P34" t="n">
        <v>0</v>
      </c>
      <c r="Q34" t="n">
        <v>1</v>
      </c>
      <c r="R34" s="2" t="inlineStr">
        <is>
          <t>Motaggsvamp</t>
        </is>
      </c>
      <c r="S34">
        <f>HYPERLINK("https://klasma.github.io/Logging_2061/artfynd/A 52953-2023 artfynd.xlsx", "A 52953-2023")</f>
        <v/>
      </c>
      <c r="T34">
        <f>HYPERLINK("https://klasma.github.io/Logging_2061/kartor/A 52953-2023 karta.png", "A 52953-2023")</f>
        <v/>
      </c>
      <c r="V34">
        <f>HYPERLINK("https://klasma.github.io/Logging_2061/klagomål/A 52953-2023 FSC-klagomål.docx", "A 52953-2023")</f>
        <v/>
      </c>
      <c r="W34">
        <f>HYPERLINK("https://klasma.github.io/Logging_2061/klagomålsmail/A 52953-2023 FSC-klagomål mail.docx", "A 52953-2023")</f>
        <v/>
      </c>
      <c r="X34">
        <f>HYPERLINK("https://klasma.github.io/Logging_2061/tillsyn/A 52953-2023 tillsynsbegäran.docx", "A 52953-2023")</f>
        <v/>
      </c>
      <c r="Y34">
        <f>HYPERLINK("https://klasma.github.io/Logging_2061/tillsynsmail/A 52953-2023 tillsynsbegäran mail.docx", "A 52953-2023")</f>
        <v/>
      </c>
    </row>
    <row r="35" ht="15" customHeight="1">
      <c r="A35" t="inlineStr">
        <is>
          <t>A 55476-2023</t>
        </is>
      </c>
      <c r="B35" s="1" t="n">
        <v>45231</v>
      </c>
      <c r="C35" s="1" t="n">
        <v>45352</v>
      </c>
      <c r="D35" t="inlineStr">
        <is>
          <t>DALARNAS LÄN</t>
        </is>
      </c>
      <c r="E35" t="inlineStr">
        <is>
          <t>SMEDJEBACKEN</t>
        </is>
      </c>
      <c r="F35" t="inlineStr">
        <is>
          <t>Bergvik skog väst AB</t>
        </is>
      </c>
      <c r="G35" t="n">
        <v>16.3</v>
      </c>
      <c r="H35" t="n">
        <v>1</v>
      </c>
      <c r="I35" t="n">
        <v>0</v>
      </c>
      <c r="J35" t="n">
        <v>0</v>
      </c>
      <c r="K35" t="n">
        <v>0</v>
      </c>
      <c r="L35" t="n">
        <v>0</v>
      </c>
      <c r="M35" t="n">
        <v>0</v>
      </c>
      <c r="N35" t="n">
        <v>0</v>
      </c>
      <c r="O35" t="n">
        <v>0</v>
      </c>
      <c r="P35" t="n">
        <v>0</v>
      </c>
      <c r="Q35" t="n">
        <v>1</v>
      </c>
      <c r="R35" s="2" t="inlineStr">
        <is>
          <t>Revlummer</t>
        </is>
      </c>
      <c r="S35">
        <f>HYPERLINK("https://klasma.github.io/Logging_2061/artfynd/A 55476-2023 artfynd.xlsx", "A 55476-2023")</f>
        <v/>
      </c>
      <c r="T35">
        <f>HYPERLINK("https://klasma.github.io/Logging_2061/kartor/A 55476-2023 karta.png", "A 55476-2023")</f>
        <v/>
      </c>
      <c r="V35">
        <f>HYPERLINK("https://klasma.github.io/Logging_2061/klagomål/A 55476-2023 FSC-klagomål.docx", "A 55476-2023")</f>
        <v/>
      </c>
      <c r="W35">
        <f>HYPERLINK("https://klasma.github.io/Logging_2061/klagomålsmail/A 55476-2023 FSC-klagomål mail.docx", "A 55476-2023")</f>
        <v/>
      </c>
      <c r="X35">
        <f>HYPERLINK("https://klasma.github.io/Logging_2061/tillsyn/A 55476-2023 tillsynsbegäran.docx", "A 55476-2023")</f>
        <v/>
      </c>
      <c r="Y35">
        <f>HYPERLINK("https://klasma.github.io/Logging_2061/tillsynsmail/A 55476-2023 tillsynsbegäran mail.docx", "A 55476-2023")</f>
        <v/>
      </c>
    </row>
    <row r="36" ht="15" customHeight="1">
      <c r="A36" t="inlineStr">
        <is>
          <t>A 35106-2018</t>
        </is>
      </c>
      <c r="B36" s="1" t="n">
        <v>43322</v>
      </c>
      <c r="C36" s="1" t="n">
        <v>45352</v>
      </c>
      <c r="D36" t="inlineStr">
        <is>
          <t>DALARNAS LÄN</t>
        </is>
      </c>
      <c r="E36" t="inlineStr">
        <is>
          <t>SMEDJEBACKEN</t>
        </is>
      </c>
      <c r="G36" t="n">
        <v>2.2</v>
      </c>
      <c r="H36" t="n">
        <v>0</v>
      </c>
      <c r="I36" t="n">
        <v>0</v>
      </c>
      <c r="J36" t="n">
        <v>0</v>
      </c>
      <c r="K36" t="n">
        <v>0</v>
      </c>
      <c r="L36" t="n">
        <v>0</v>
      </c>
      <c r="M36" t="n">
        <v>0</v>
      </c>
      <c r="N36" t="n">
        <v>0</v>
      </c>
      <c r="O36" t="n">
        <v>0</v>
      </c>
      <c r="P36" t="n">
        <v>0</v>
      </c>
      <c r="Q36" t="n">
        <v>0</v>
      </c>
      <c r="R36" s="2" t="inlineStr"/>
    </row>
    <row r="37" ht="15" customHeight="1">
      <c r="A37" t="inlineStr">
        <is>
          <t>A 35134-2018</t>
        </is>
      </c>
      <c r="B37" s="1" t="n">
        <v>43322</v>
      </c>
      <c r="C37" s="1" t="n">
        <v>45352</v>
      </c>
      <c r="D37" t="inlineStr">
        <is>
          <t>DALARNAS LÄN</t>
        </is>
      </c>
      <c r="E37" t="inlineStr">
        <is>
          <t>SMEDJEBACKEN</t>
        </is>
      </c>
      <c r="G37" t="n">
        <v>1.3</v>
      </c>
      <c r="H37" t="n">
        <v>0</v>
      </c>
      <c r="I37" t="n">
        <v>0</v>
      </c>
      <c r="J37" t="n">
        <v>0</v>
      </c>
      <c r="K37" t="n">
        <v>0</v>
      </c>
      <c r="L37" t="n">
        <v>0</v>
      </c>
      <c r="M37" t="n">
        <v>0</v>
      </c>
      <c r="N37" t="n">
        <v>0</v>
      </c>
      <c r="O37" t="n">
        <v>0</v>
      </c>
      <c r="P37" t="n">
        <v>0</v>
      </c>
      <c r="Q37" t="n">
        <v>0</v>
      </c>
      <c r="R37" s="2" t="inlineStr"/>
    </row>
    <row r="38" ht="15" customHeight="1">
      <c r="A38" t="inlineStr">
        <is>
          <t>A 39348-2018</t>
        </is>
      </c>
      <c r="B38" s="1" t="n">
        <v>43339</v>
      </c>
      <c r="C38" s="1" t="n">
        <v>45352</v>
      </c>
      <c r="D38" t="inlineStr">
        <is>
          <t>DALARNAS LÄN</t>
        </is>
      </c>
      <c r="E38" t="inlineStr">
        <is>
          <t>SMEDJEBACKEN</t>
        </is>
      </c>
      <c r="G38" t="n">
        <v>1.2</v>
      </c>
      <c r="H38" t="n">
        <v>0</v>
      </c>
      <c r="I38" t="n">
        <v>0</v>
      </c>
      <c r="J38" t="n">
        <v>0</v>
      </c>
      <c r="K38" t="n">
        <v>0</v>
      </c>
      <c r="L38" t="n">
        <v>0</v>
      </c>
      <c r="M38" t="n">
        <v>0</v>
      </c>
      <c r="N38" t="n">
        <v>0</v>
      </c>
      <c r="O38" t="n">
        <v>0</v>
      </c>
      <c r="P38" t="n">
        <v>0</v>
      </c>
      <c r="Q38" t="n">
        <v>0</v>
      </c>
      <c r="R38" s="2" t="inlineStr"/>
    </row>
    <row r="39" ht="15" customHeight="1">
      <c r="A39" t="inlineStr">
        <is>
          <t>A 51973-2018</t>
        </is>
      </c>
      <c r="B39" s="1" t="n">
        <v>43385</v>
      </c>
      <c r="C39" s="1" t="n">
        <v>45352</v>
      </c>
      <c r="D39" t="inlineStr">
        <is>
          <t>DALARNAS LÄN</t>
        </is>
      </c>
      <c r="E39" t="inlineStr">
        <is>
          <t>SMEDJEBACKEN</t>
        </is>
      </c>
      <c r="G39" t="n">
        <v>6</v>
      </c>
      <c r="H39" t="n">
        <v>0</v>
      </c>
      <c r="I39" t="n">
        <v>0</v>
      </c>
      <c r="J39" t="n">
        <v>0</v>
      </c>
      <c r="K39" t="n">
        <v>0</v>
      </c>
      <c r="L39" t="n">
        <v>0</v>
      </c>
      <c r="M39" t="n">
        <v>0</v>
      </c>
      <c r="N39" t="n">
        <v>0</v>
      </c>
      <c r="O39" t="n">
        <v>0</v>
      </c>
      <c r="P39" t="n">
        <v>0</v>
      </c>
      <c r="Q39" t="n">
        <v>0</v>
      </c>
      <c r="R39" s="2" t="inlineStr"/>
    </row>
    <row r="40" ht="15" customHeight="1">
      <c r="A40" t="inlineStr">
        <is>
          <t>A 59594-2018</t>
        </is>
      </c>
      <c r="B40" s="1" t="n">
        <v>43419</v>
      </c>
      <c r="C40" s="1" t="n">
        <v>45352</v>
      </c>
      <c r="D40" t="inlineStr">
        <is>
          <t>DALARNAS LÄN</t>
        </is>
      </c>
      <c r="E40" t="inlineStr">
        <is>
          <t>SMEDJEBACKEN</t>
        </is>
      </c>
      <c r="G40" t="n">
        <v>0.6</v>
      </c>
      <c r="H40" t="n">
        <v>0</v>
      </c>
      <c r="I40" t="n">
        <v>0</v>
      </c>
      <c r="J40" t="n">
        <v>0</v>
      </c>
      <c r="K40" t="n">
        <v>0</v>
      </c>
      <c r="L40" t="n">
        <v>0</v>
      </c>
      <c r="M40" t="n">
        <v>0</v>
      </c>
      <c r="N40" t="n">
        <v>0</v>
      </c>
      <c r="O40" t="n">
        <v>0</v>
      </c>
      <c r="P40" t="n">
        <v>0</v>
      </c>
      <c r="Q40" t="n">
        <v>0</v>
      </c>
      <c r="R40" s="2" t="inlineStr"/>
    </row>
    <row r="41" ht="15" customHeight="1">
      <c r="A41" t="inlineStr">
        <is>
          <t>A 66782-2018</t>
        </is>
      </c>
      <c r="B41" s="1" t="n">
        <v>43437</v>
      </c>
      <c r="C41" s="1" t="n">
        <v>45352</v>
      </c>
      <c r="D41" t="inlineStr">
        <is>
          <t>DALARNAS LÄN</t>
        </is>
      </c>
      <c r="E41" t="inlineStr">
        <is>
          <t>SMEDJEBACKEN</t>
        </is>
      </c>
      <c r="F41" t="inlineStr">
        <is>
          <t>Kyrkan</t>
        </is>
      </c>
      <c r="G41" t="n">
        <v>4.7</v>
      </c>
      <c r="H41" t="n">
        <v>0</v>
      </c>
      <c r="I41" t="n">
        <v>0</v>
      </c>
      <c r="J41" t="n">
        <v>0</v>
      </c>
      <c r="K41" t="n">
        <v>0</v>
      </c>
      <c r="L41" t="n">
        <v>0</v>
      </c>
      <c r="M41" t="n">
        <v>0</v>
      </c>
      <c r="N41" t="n">
        <v>0</v>
      </c>
      <c r="O41" t="n">
        <v>0</v>
      </c>
      <c r="P41" t="n">
        <v>0</v>
      </c>
      <c r="Q41" t="n">
        <v>0</v>
      </c>
      <c r="R41" s="2" t="inlineStr"/>
    </row>
    <row r="42" ht="15" customHeight="1">
      <c r="A42" t="inlineStr">
        <is>
          <t>A 66947-2018</t>
        </is>
      </c>
      <c r="B42" s="1" t="n">
        <v>43438</v>
      </c>
      <c r="C42" s="1" t="n">
        <v>45352</v>
      </c>
      <c r="D42" t="inlineStr">
        <is>
          <t>DALARNAS LÄN</t>
        </is>
      </c>
      <c r="E42" t="inlineStr">
        <is>
          <t>SMEDJEBACKEN</t>
        </is>
      </c>
      <c r="G42" t="n">
        <v>0.8</v>
      </c>
      <c r="H42" t="n">
        <v>0</v>
      </c>
      <c r="I42" t="n">
        <v>0</v>
      </c>
      <c r="J42" t="n">
        <v>0</v>
      </c>
      <c r="K42" t="n">
        <v>0</v>
      </c>
      <c r="L42" t="n">
        <v>0</v>
      </c>
      <c r="M42" t="n">
        <v>0</v>
      </c>
      <c r="N42" t="n">
        <v>0</v>
      </c>
      <c r="O42" t="n">
        <v>0</v>
      </c>
      <c r="P42" t="n">
        <v>0</v>
      </c>
      <c r="Q42" t="n">
        <v>0</v>
      </c>
      <c r="R42" s="2" t="inlineStr"/>
    </row>
    <row r="43" ht="15" customHeight="1">
      <c r="A43" t="inlineStr">
        <is>
          <t>A 66948-2018</t>
        </is>
      </c>
      <c r="B43" s="1" t="n">
        <v>43438</v>
      </c>
      <c r="C43" s="1" t="n">
        <v>45352</v>
      </c>
      <c r="D43" t="inlineStr">
        <is>
          <t>DALARNAS LÄN</t>
        </is>
      </c>
      <c r="E43" t="inlineStr">
        <is>
          <t>SMEDJEBACKEN</t>
        </is>
      </c>
      <c r="G43" t="n">
        <v>3.5</v>
      </c>
      <c r="H43" t="n">
        <v>0</v>
      </c>
      <c r="I43" t="n">
        <v>0</v>
      </c>
      <c r="J43" t="n">
        <v>0</v>
      </c>
      <c r="K43" t="n">
        <v>0</v>
      </c>
      <c r="L43" t="n">
        <v>0</v>
      </c>
      <c r="M43" t="n">
        <v>0</v>
      </c>
      <c r="N43" t="n">
        <v>0</v>
      </c>
      <c r="O43" t="n">
        <v>0</v>
      </c>
      <c r="P43" t="n">
        <v>0</v>
      </c>
      <c r="Q43" t="n">
        <v>0</v>
      </c>
      <c r="R43" s="2" t="inlineStr"/>
    </row>
    <row r="44" ht="15" customHeight="1">
      <c r="A44" t="inlineStr">
        <is>
          <t>A 68678-2018</t>
        </is>
      </c>
      <c r="B44" s="1" t="n">
        <v>43444</v>
      </c>
      <c r="C44" s="1" t="n">
        <v>45352</v>
      </c>
      <c r="D44" t="inlineStr">
        <is>
          <t>DALARNAS LÄN</t>
        </is>
      </c>
      <c r="E44" t="inlineStr">
        <is>
          <t>SMEDJEBACKEN</t>
        </is>
      </c>
      <c r="F44" t="inlineStr">
        <is>
          <t>Bergvik skog väst AB</t>
        </is>
      </c>
      <c r="G44" t="n">
        <v>2.2</v>
      </c>
      <c r="H44" t="n">
        <v>0</v>
      </c>
      <c r="I44" t="n">
        <v>0</v>
      </c>
      <c r="J44" t="n">
        <v>0</v>
      </c>
      <c r="K44" t="n">
        <v>0</v>
      </c>
      <c r="L44" t="n">
        <v>0</v>
      </c>
      <c r="M44" t="n">
        <v>0</v>
      </c>
      <c r="N44" t="n">
        <v>0</v>
      </c>
      <c r="O44" t="n">
        <v>0</v>
      </c>
      <c r="P44" t="n">
        <v>0</v>
      </c>
      <c r="Q44" t="n">
        <v>0</v>
      </c>
      <c r="R44" s="2" t="inlineStr"/>
    </row>
    <row r="45" ht="15" customHeight="1">
      <c r="A45" t="inlineStr">
        <is>
          <t>A 69289-2018</t>
        </is>
      </c>
      <c r="B45" s="1" t="n">
        <v>43446</v>
      </c>
      <c r="C45" s="1" t="n">
        <v>45352</v>
      </c>
      <c r="D45" t="inlineStr">
        <is>
          <t>DALARNAS LÄN</t>
        </is>
      </c>
      <c r="E45" t="inlineStr">
        <is>
          <t>SMEDJEBACKEN</t>
        </is>
      </c>
      <c r="F45" t="inlineStr">
        <is>
          <t>Bergvik skog väst AB</t>
        </is>
      </c>
      <c r="G45" t="n">
        <v>2.9</v>
      </c>
      <c r="H45" t="n">
        <v>0</v>
      </c>
      <c r="I45" t="n">
        <v>0</v>
      </c>
      <c r="J45" t="n">
        <v>0</v>
      </c>
      <c r="K45" t="n">
        <v>0</v>
      </c>
      <c r="L45" t="n">
        <v>0</v>
      </c>
      <c r="M45" t="n">
        <v>0</v>
      </c>
      <c r="N45" t="n">
        <v>0</v>
      </c>
      <c r="O45" t="n">
        <v>0</v>
      </c>
      <c r="P45" t="n">
        <v>0</v>
      </c>
      <c r="Q45" t="n">
        <v>0</v>
      </c>
      <c r="R45" s="2" t="inlineStr"/>
    </row>
    <row r="46" ht="15" customHeight="1">
      <c r="A46" t="inlineStr">
        <is>
          <t>A 70178-2018</t>
        </is>
      </c>
      <c r="B46" s="1" t="n">
        <v>43448</v>
      </c>
      <c r="C46" s="1" t="n">
        <v>45352</v>
      </c>
      <c r="D46" t="inlineStr">
        <is>
          <t>DALARNAS LÄN</t>
        </is>
      </c>
      <c r="E46" t="inlineStr">
        <is>
          <t>SMEDJEBACKEN</t>
        </is>
      </c>
      <c r="G46" t="n">
        <v>4.9</v>
      </c>
      <c r="H46" t="n">
        <v>0</v>
      </c>
      <c r="I46" t="n">
        <v>0</v>
      </c>
      <c r="J46" t="n">
        <v>0</v>
      </c>
      <c r="K46" t="n">
        <v>0</v>
      </c>
      <c r="L46" t="n">
        <v>0</v>
      </c>
      <c r="M46" t="n">
        <v>0</v>
      </c>
      <c r="N46" t="n">
        <v>0</v>
      </c>
      <c r="O46" t="n">
        <v>0</v>
      </c>
      <c r="P46" t="n">
        <v>0</v>
      </c>
      <c r="Q46" t="n">
        <v>0</v>
      </c>
      <c r="R46" s="2" t="inlineStr"/>
    </row>
    <row r="47" ht="15" customHeight="1">
      <c r="A47" t="inlineStr">
        <is>
          <t>A 70576-2018</t>
        </is>
      </c>
      <c r="B47" s="1" t="n">
        <v>43451</v>
      </c>
      <c r="C47" s="1" t="n">
        <v>45352</v>
      </c>
      <c r="D47" t="inlineStr">
        <is>
          <t>DALARNAS LÄN</t>
        </is>
      </c>
      <c r="E47" t="inlineStr">
        <is>
          <t>SMEDJEBACKEN</t>
        </is>
      </c>
      <c r="G47" t="n">
        <v>14.5</v>
      </c>
      <c r="H47" t="n">
        <v>0</v>
      </c>
      <c r="I47" t="n">
        <v>0</v>
      </c>
      <c r="J47" t="n">
        <v>0</v>
      </c>
      <c r="K47" t="n">
        <v>0</v>
      </c>
      <c r="L47" t="n">
        <v>0</v>
      </c>
      <c r="M47" t="n">
        <v>0</v>
      </c>
      <c r="N47" t="n">
        <v>0</v>
      </c>
      <c r="O47" t="n">
        <v>0</v>
      </c>
      <c r="P47" t="n">
        <v>0</v>
      </c>
      <c r="Q47" t="n">
        <v>0</v>
      </c>
      <c r="R47" s="2" t="inlineStr"/>
    </row>
    <row r="48" ht="15" customHeight="1">
      <c r="A48" t="inlineStr">
        <is>
          <t>A 71593-2018</t>
        </is>
      </c>
      <c r="B48" s="1" t="n">
        <v>43454</v>
      </c>
      <c r="C48" s="1" t="n">
        <v>45352</v>
      </c>
      <c r="D48" t="inlineStr">
        <is>
          <t>DALARNAS LÄN</t>
        </is>
      </c>
      <c r="E48" t="inlineStr">
        <is>
          <t>SMEDJEBACKEN</t>
        </is>
      </c>
      <c r="G48" t="n">
        <v>0.5</v>
      </c>
      <c r="H48" t="n">
        <v>0</v>
      </c>
      <c r="I48" t="n">
        <v>0</v>
      </c>
      <c r="J48" t="n">
        <v>0</v>
      </c>
      <c r="K48" t="n">
        <v>0</v>
      </c>
      <c r="L48" t="n">
        <v>0</v>
      </c>
      <c r="M48" t="n">
        <v>0</v>
      </c>
      <c r="N48" t="n">
        <v>0</v>
      </c>
      <c r="O48" t="n">
        <v>0</v>
      </c>
      <c r="P48" t="n">
        <v>0</v>
      </c>
      <c r="Q48" t="n">
        <v>0</v>
      </c>
      <c r="R48" s="2" t="inlineStr"/>
    </row>
    <row r="49" ht="15" customHeight="1">
      <c r="A49" t="inlineStr">
        <is>
          <t>A 964-2019</t>
        </is>
      </c>
      <c r="B49" s="1" t="n">
        <v>43472</v>
      </c>
      <c r="C49" s="1" t="n">
        <v>45352</v>
      </c>
      <c r="D49" t="inlineStr">
        <is>
          <t>DALARNAS LÄN</t>
        </is>
      </c>
      <c r="E49" t="inlineStr">
        <is>
          <t>SMEDJEBACKEN</t>
        </is>
      </c>
      <c r="G49" t="n">
        <v>17</v>
      </c>
      <c r="H49" t="n">
        <v>0</v>
      </c>
      <c r="I49" t="n">
        <v>0</v>
      </c>
      <c r="J49" t="n">
        <v>0</v>
      </c>
      <c r="K49" t="n">
        <v>0</v>
      </c>
      <c r="L49" t="n">
        <v>0</v>
      </c>
      <c r="M49" t="n">
        <v>0</v>
      </c>
      <c r="N49" t="n">
        <v>0</v>
      </c>
      <c r="O49" t="n">
        <v>0</v>
      </c>
      <c r="P49" t="n">
        <v>0</v>
      </c>
      <c r="Q49" t="n">
        <v>0</v>
      </c>
      <c r="R49" s="2" t="inlineStr"/>
    </row>
    <row r="50" ht="15" customHeight="1">
      <c r="A50" t="inlineStr">
        <is>
          <t>A 4142-2019</t>
        </is>
      </c>
      <c r="B50" s="1" t="n">
        <v>43483</v>
      </c>
      <c r="C50" s="1" t="n">
        <v>45352</v>
      </c>
      <c r="D50" t="inlineStr">
        <is>
          <t>DALARNAS LÄN</t>
        </is>
      </c>
      <c r="E50" t="inlineStr">
        <is>
          <t>SMEDJEBACKEN</t>
        </is>
      </c>
      <c r="G50" t="n">
        <v>1.9</v>
      </c>
      <c r="H50" t="n">
        <v>0</v>
      </c>
      <c r="I50" t="n">
        <v>0</v>
      </c>
      <c r="J50" t="n">
        <v>0</v>
      </c>
      <c r="K50" t="n">
        <v>0</v>
      </c>
      <c r="L50" t="n">
        <v>0</v>
      </c>
      <c r="M50" t="n">
        <v>0</v>
      </c>
      <c r="N50" t="n">
        <v>0</v>
      </c>
      <c r="O50" t="n">
        <v>0</v>
      </c>
      <c r="P50" t="n">
        <v>0</v>
      </c>
      <c r="Q50" t="n">
        <v>0</v>
      </c>
      <c r="R50" s="2" t="inlineStr"/>
    </row>
    <row r="51" ht="15" customHeight="1">
      <c r="A51" t="inlineStr">
        <is>
          <t>A 4956-2019</t>
        </is>
      </c>
      <c r="B51" s="1" t="n">
        <v>43487</v>
      </c>
      <c r="C51" s="1" t="n">
        <v>45352</v>
      </c>
      <c r="D51" t="inlineStr">
        <is>
          <t>DALARNAS LÄN</t>
        </is>
      </c>
      <c r="E51" t="inlineStr">
        <is>
          <t>SMEDJEBACKEN</t>
        </is>
      </c>
      <c r="G51" t="n">
        <v>0.7</v>
      </c>
      <c r="H51" t="n">
        <v>0</v>
      </c>
      <c r="I51" t="n">
        <v>0</v>
      </c>
      <c r="J51" t="n">
        <v>0</v>
      </c>
      <c r="K51" t="n">
        <v>0</v>
      </c>
      <c r="L51" t="n">
        <v>0</v>
      </c>
      <c r="M51" t="n">
        <v>0</v>
      </c>
      <c r="N51" t="n">
        <v>0</v>
      </c>
      <c r="O51" t="n">
        <v>0</v>
      </c>
      <c r="P51" t="n">
        <v>0</v>
      </c>
      <c r="Q51" t="n">
        <v>0</v>
      </c>
      <c r="R51" s="2" t="inlineStr"/>
    </row>
    <row r="52" ht="15" customHeight="1">
      <c r="A52" t="inlineStr">
        <is>
          <t>A 5540-2019</t>
        </is>
      </c>
      <c r="B52" s="1" t="n">
        <v>43489</v>
      </c>
      <c r="C52" s="1" t="n">
        <v>45352</v>
      </c>
      <c r="D52" t="inlineStr">
        <is>
          <t>DALARNAS LÄN</t>
        </is>
      </c>
      <c r="E52" t="inlineStr">
        <is>
          <t>SMEDJEBACKEN</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6040-2019</t>
        </is>
      </c>
      <c r="B53" s="1" t="n">
        <v>43493</v>
      </c>
      <c r="C53" s="1" t="n">
        <v>45352</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7479-2019</t>
        </is>
      </c>
      <c r="B54" s="1" t="n">
        <v>43497</v>
      </c>
      <c r="C54" s="1" t="n">
        <v>45352</v>
      </c>
      <c r="D54" t="inlineStr">
        <is>
          <t>DALARNAS LÄN</t>
        </is>
      </c>
      <c r="E54" t="inlineStr">
        <is>
          <t>SMEDJEBACKEN</t>
        </is>
      </c>
      <c r="G54" t="n">
        <v>6.5</v>
      </c>
      <c r="H54" t="n">
        <v>0</v>
      </c>
      <c r="I54" t="n">
        <v>0</v>
      </c>
      <c r="J54" t="n">
        <v>0</v>
      </c>
      <c r="K54" t="n">
        <v>0</v>
      </c>
      <c r="L54" t="n">
        <v>0</v>
      </c>
      <c r="M54" t="n">
        <v>0</v>
      </c>
      <c r="N54" t="n">
        <v>0</v>
      </c>
      <c r="O54" t="n">
        <v>0</v>
      </c>
      <c r="P54" t="n">
        <v>0</v>
      </c>
      <c r="Q54" t="n">
        <v>0</v>
      </c>
      <c r="R54" s="2" t="inlineStr"/>
    </row>
    <row r="55" ht="15" customHeight="1">
      <c r="A55" t="inlineStr">
        <is>
          <t>A 9226-2019</t>
        </is>
      </c>
      <c r="B55" s="1" t="n">
        <v>43506</v>
      </c>
      <c r="C55" s="1" t="n">
        <v>45352</v>
      </c>
      <c r="D55" t="inlineStr">
        <is>
          <t>DALARNAS LÄN</t>
        </is>
      </c>
      <c r="E55" t="inlineStr">
        <is>
          <t>SMEDJEBACKEN</t>
        </is>
      </c>
      <c r="G55" t="n">
        <v>1.5</v>
      </c>
      <c r="H55" t="n">
        <v>0</v>
      </c>
      <c r="I55" t="n">
        <v>0</v>
      </c>
      <c r="J55" t="n">
        <v>0</v>
      </c>
      <c r="K55" t="n">
        <v>0</v>
      </c>
      <c r="L55" t="n">
        <v>0</v>
      </c>
      <c r="M55" t="n">
        <v>0</v>
      </c>
      <c r="N55" t="n">
        <v>0</v>
      </c>
      <c r="O55" t="n">
        <v>0</v>
      </c>
      <c r="P55" t="n">
        <v>0</v>
      </c>
      <c r="Q55" t="n">
        <v>0</v>
      </c>
      <c r="R55" s="2" t="inlineStr"/>
    </row>
    <row r="56" ht="15" customHeight="1">
      <c r="A56" t="inlineStr">
        <is>
          <t>A 9228-2019</t>
        </is>
      </c>
      <c r="B56" s="1" t="n">
        <v>43506</v>
      </c>
      <c r="C56" s="1" t="n">
        <v>45352</v>
      </c>
      <c r="D56" t="inlineStr">
        <is>
          <t>DALARNAS LÄN</t>
        </is>
      </c>
      <c r="E56" t="inlineStr">
        <is>
          <t>SMEDJEBACKEN</t>
        </is>
      </c>
      <c r="G56" t="n">
        <v>3.3</v>
      </c>
      <c r="H56" t="n">
        <v>0</v>
      </c>
      <c r="I56" t="n">
        <v>0</v>
      </c>
      <c r="J56" t="n">
        <v>0</v>
      </c>
      <c r="K56" t="n">
        <v>0</v>
      </c>
      <c r="L56" t="n">
        <v>0</v>
      </c>
      <c r="M56" t="n">
        <v>0</v>
      </c>
      <c r="N56" t="n">
        <v>0</v>
      </c>
      <c r="O56" t="n">
        <v>0</v>
      </c>
      <c r="P56" t="n">
        <v>0</v>
      </c>
      <c r="Q56" t="n">
        <v>0</v>
      </c>
      <c r="R56" s="2" t="inlineStr"/>
    </row>
    <row r="57" ht="15" customHeight="1">
      <c r="A57" t="inlineStr">
        <is>
          <t>A 9248-2019</t>
        </is>
      </c>
      <c r="B57" s="1" t="n">
        <v>43506</v>
      </c>
      <c r="C57" s="1" t="n">
        <v>45352</v>
      </c>
      <c r="D57" t="inlineStr">
        <is>
          <t>DALARNAS LÄN</t>
        </is>
      </c>
      <c r="E57" t="inlineStr">
        <is>
          <t>SMEDJEBACKEN</t>
        </is>
      </c>
      <c r="G57" t="n">
        <v>0.8</v>
      </c>
      <c r="H57" t="n">
        <v>0</v>
      </c>
      <c r="I57" t="n">
        <v>0</v>
      </c>
      <c r="J57" t="n">
        <v>0</v>
      </c>
      <c r="K57" t="n">
        <v>0</v>
      </c>
      <c r="L57" t="n">
        <v>0</v>
      </c>
      <c r="M57" t="n">
        <v>0</v>
      </c>
      <c r="N57" t="n">
        <v>0</v>
      </c>
      <c r="O57" t="n">
        <v>0</v>
      </c>
      <c r="P57" t="n">
        <v>0</v>
      </c>
      <c r="Q57" t="n">
        <v>0</v>
      </c>
      <c r="R57" s="2" t="inlineStr"/>
    </row>
    <row r="58" ht="15" customHeight="1">
      <c r="A58" t="inlineStr">
        <is>
          <t>A 9979-2019</t>
        </is>
      </c>
      <c r="B58" s="1" t="n">
        <v>43509</v>
      </c>
      <c r="C58" s="1" t="n">
        <v>45352</v>
      </c>
      <c r="D58" t="inlineStr">
        <is>
          <t>DALARNAS LÄN</t>
        </is>
      </c>
      <c r="E58" t="inlineStr">
        <is>
          <t>SMEDJEBACKEN</t>
        </is>
      </c>
      <c r="G58" t="n">
        <v>0.8</v>
      </c>
      <c r="H58" t="n">
        <v>0</v>
      </c>
      <c r="I58" t="n">
        <v>0</v>
      </c>
      <c r="J58" t="n">
        <v>0</v>
      </c>
      <c r="K58" t="n">
        <v>0</v>
      </c>
      <c r="L58" t="n">
        <v>0</v>
      </c>
      <c r="M58" t="n">
        <v>0</v>
      </c>
      <c r="N58" t="n">
        <v>0</v>
      </c>
      <c r="O58" t="n">
        <v>0</v>
      </c>
      <c r="P58" t="n">
        <v>0</v>
      </c>
      <c r="Q58" t="n">
        <v>0</v>
      </c>
      <c r="R58" s="2" t="inlineStr"/>
    </row>
    <row r="59" ht="15" customHeight="1">
      <c r="A59" t="inlineStr">
        <is>
          <t>A 10940-2019</t>
        </is>
      </c>
      <c r="B59" s="1" t="n">
        <v>43515</v>
      </c>
      <c r="C59" s="1" t="n">
        <v>45352</v>
      </c>
      <c r="D59" t="inlineStr">
        <is>
          <t>DALARNAS LÄN</t>
        </is>
      </c>
      <c r="E59" t="inlineStr">
        <is>
          <t>SMEDJEBACKEN</t>
        </is>
      </c>
      <c r="F59" t="inlineStr">
        <is>
          <t>Bergvik skog väst AB</t>
        </is>
      </c>
      <c r="G59" t="n">
        <v>0.5</v>
      </c>
      <c r="H59" t="n">
        <v>0</v>
      </c>
      <c r="I59" t="n">
        <v>0</v>
      </c>
      <c r="J59" t="n">
        <v>0</v>
      </c>
      <c r="K59" t="n">
        <v>0</v>
      </c>
      <c r="L59" t="n">
        <v>0</v>
      </c>
      <c r="M59" t="n">
        <v>0</v>
      </c>
      <c r="N59" t="n">
        <v>0</v>
      </c>
      <c r="O59" t="n">
        <v>0</v>
      </c>
      <c r="P59" t="n">
        <v>0</v>
      </c>
      <c r="Q59" t="n">
        <v>0</v>
      </c>
      <c r="R59" s="2" t="inlineStr"/>
    </row>
    <row r="60" ht="15" customHeight="1">
      <c r="A60" t="inlineStr">
        <is>
          <t>A 13934-2019</t>
        </is>
      </c>
      <c r="B60" s="1" t="n">
        <v>43531</v>
      </c>
      <c r="C60" s="1" t="n">
        <v>45352</v>
      </c>
      <c r="D60" t="inlineStr">
        <is>
          <t>DALARNAS LÄN</t>
        </is>
      </c>
      <c r="E60" t="inlineStr">
        <is>
          <t>SMEDJEBACKEN</t>
        </is>
      </c>
      <c r="F60" t="inlineStr">
        <is>
          <t>Kommuner</t>
        </is>
      </c>
      <c r="G60" t="n">
        <v>7.8</v>
      </c>
      <c r="H60" t="n">
        <v>0</v>
      </c>
      <c r="I60" t="n">
        <v>0</v>
      </c>
      <c r="J60" t="n">
        <v>0</v>
      </c>
      <c r="K60" t="n">
        <v>0</v>
      </c>
      <c r="L60" t="n">
        <v>0</v>
      </c>
      <c r="M60" t="n">
        <v>0</v>
      </c>
      <c r="N60" t="n">
        <v>0</v>
      </c>
      <c r="O60" t="n">
        <v>0</v>
      </c>
      <c r="P60" t="n">
        <v>0</v>
      </c>
      <c r="Q60" t="n">
        <v>0</v>
      </c>
      <c r="R60" s="2" t="inlineStr"/>
    </row>
    <row r="61" ht="15" customHeight="1">
      <c r="A61" t="inlineStr">
        <is>
          <t>A 14371-2019</t>
        </is>
      </c>
      <c r="B61" s="1" t="n">
        <v>43536</v>
      </c>
      <c r="C61" s="1" t="n">
        <v>45352</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17283-2019</t>
        </is>
      </c>
      <c r="B62" s="1" t="n">
        <v>43552</v>
      </c>
      <c r="C62" s="1" t="n">
        <v>45352</v>
      </c>
      <c r="D62" t="inlineStr">
        <is>
          <t>DALARNAS LÄN</t>
        </is>
      </c>
      <c r="E62" t="inlineStr">
        <is>
          <t>SMEDJEBACKEN</t>
        </is>
      </c>
      <c r="G62" t="n">
        <v>4.7</v>
      </c>
      <c r="H62" t="n">
        <v>0</v>
      </c>
      <c r="I62" t="n">
        <v>0</v>
      </c>
      <c r="J62" t="n">
        <v>0</v>
      </c>
      <c r="K62" t="n">
        <v>0</v>
      </c>
      <c r="L62" t="n">
        <v>0</v>
      </c>
      <c r="M62" t="n">
        <v>0</v>
      </c>
      <c r="N62" t="n">
        <v>0</v>
      </c>
      <c r="O62" t="n">
        <v>0</v>
      </c>
      <c r="P62" t="n">
        <v>0</v>
      </c>
      <c r="Q62" t="n">
        <v>0</v>
      </c>
      <c r="R62" s="2" t="inlineStr"/>
    </row>
    <row r="63" ht="15" customHeight="1">
      <c r="A63" t="inlineStr">
        <is>
          <t>A 18701-2019</t>
        </is>
      </c>
      <c r="B63" s="1" t="n">
        <v>43560</v>
      </c>
      <c r="C63" s="1" t="n">
        <v>45352</v>
      </c>
      <c r="D63" t="inlineStr">
        <is>
          <t>DALARNAS LÄN</t>
        </is>
      </c>
      <c r="E63" t="inlineStr">
        <is>
          <t>SMEDJEBACKEN</t>
        </is>
      </c>
      <c r="G63" t="n">
        <v>3.4</v>
      </c>
      <c r="H63" t="n">
        <v>0</v>
      </c>
      <c r="I63" t="n">
        <v>0</v>
      </c>
      <c r="J63" t="n">
        <v>0</v>
      </c>
      <c r="K63" t="n">
        <v>0</v>
      </c>
      <c r="L63" t="n">
        <v>0</v>
      </c>
      <c r="M63" t="n">
        <v>0</v>
      </c>
      <c r="N63" t="n">
        <v>0</v>
      </c>
      <c r="O63" t="n">
        <v>0</v>
      </c>
      <c r="P63" t="n">
        <v>0</v>
      </c>
      <c r="Q63" t="n">
        <v>0</v>
      </c>
      <c r="R63" s="2" t="inlineStr"/>
    </row>
    <row r="64" ht="15" customHeight="1">
      <c r="A64" t="inlineStr">
        <is>
          <t>A 19527-2019</t>
        </is>
      </c>
      <c r="B64" s="1" t="n">
        <v>43565</v>
      </c>
      <c r="C64" s="1" t="n">
        <v>45352</v>
      </c>
      <c r="D64" t="inlineStr">
        <is>
          <t>DALARNAS LÄN</t>
        </is>
      </c>
      <c r="E64" t="inlineStr">
        <is>
          <t>SMEDJEBACKEN</t>
        </is>
      </c>
      <c r="G64" t="n">
        <v>1.8</v>
      </c>
      <c r="H64" t="n">
        <v>0</v>
      </c>
      <c r="I64" t="n">
        <v>0</v>
      </c>
      <c r="J64" t="n">
        <v>0</v>
      </c>
      <c r="K64" t="n">
        <v>0</v>
      </c>
      <c r="L64" t="n">
        <v>0</v>
      </c>
      <c r="M64" t="n">
        <v>0</v>
      </c>
      <c r="N64" t="n">
        <v>0</v>
      </c>
      <c r="O64" t="n">
        <v>0</v>
      </c>
      <c r="P64" t="n">
        <v>0</v>
      </c>
      <c r="Q64" t="n">
        <v>0</v>
      </c>
      <c r="R64" s="2" t="inlineStr"/>
    </row>
    <row r="65" ht="15" customHeight="1">
      <c r="A65" t="inlineStr">
        <is>
          <t>A 22029-2019</t>
        </is>
      </c>
      <c r="B65" s="1" t="n">
        <v>43584</v>
      </c>
      <c r="C65" s="1" t="n">
        <v>45352</v>
      </c>
      <c r="D65" t="inlineStr">
        <is>
          <t>DALARNAS LÄN</t>
        </is>
      </c>
      <c r="E65" t="inlineStr">
        <is>
          <t>SMEDJEBACKEN</t>
        </is>
      </c>
      <c r="G65" t="n">
        <v>3</v>
      </c>
      <c r="H65" t="n">
        <v>0</v>
      </c>
      <c r="I65" t="n">
        <v>0</v>
      </c>
      <c r="J65" t="n">
        <v>0</v>
      </c>
      <c r="K65" t="n">
        <v>0</v>
      </c>
      <c r="L65" t="n">
        <v>0</v>
      </c>
      <c r="M65" t="n">
        <v>0</v>
      </c>
      <c r="N65" t="n">
        <v>0</v>
      </c>
      <c r="O65" t="n">
        <v>0</v>
      </c>
      <c r="P65" t="n">
        <v>0</v>
      </c>
      <c r="Q65" t="n">
        <v>0</v>
      </c>
      <c r="R65" s="2" t="inlineStr"/>
    </row>
    <row r="66" ht="15" customHeight="1">
      <c r="A66" t="inlineStr">
        <is>
          <t>A 23576-2019</t>
        </is>
      </c>
      <c r="B66" s="1" t="n">
        <v>43593</v>
      </c>
      <c r="C66" s="1" t="n">
        <v>45352</v>
      </c>
      <c r="D66" t="inlineStr">
        <is>
          <t>DALARNAS LÄN</t>
        </is>
      </c>
      <c r="E66" t="inlineStr">
        <is>
          <t>SMEDJEBACKEN</t>
        </is>
      </c>
      <c r="G66" t="n">
        <v>1.4</v>
      </c>
      <c r="H66" t="n">
        <v>0</v>
      </c>
      <c r="I66" t="n">
        <v>0</v>
      </c>
      <c r="J66" t="n">
        <v>0</v>
      </c>
      <c r="K66" t="n">
        <v>0</v>
      </c>
      <c r="L66" t="n">
        <v>0</v>
      </c>
      <c r="M66" t="n">
        <v>0</v>
      </c>
      <c r="N66" t="n">
        <v>0</v>
      </c>
      <c r="O66" t="n">
        <v>0</v>
      </c>
      <c r="P66" t="n">
        <v>0</v>
      </c>
      <c r="Q66" t="n">
        <v>0</v>
      </c>
      <c r="R66" s="2" t="inlineStr"/>
    </row>
    <row r="67" ht="15" customHeight="1">
      <c r="A67" t="inlineStr">
        <is>
          <t>A 23907-2019</t>
        </is>
      </c>
      <c r="B67" s="1" t="n">
        <v>43595</v>
      </c>
      <c r="C67" s="1" t="n">
        <v>45352</v>
      </c>
      <c r="D67" t="inlineStr">
        <is>
          <t>DALARNAS LÄN</t>
        </is>
      </c>
      <c r="E67" t="inlineStr">
        <is>
          <t>SMEDJEBACKEN</t>
        </is>
      </c>
      <c r="G67" t="n">
        <v>7.2</v>
      </c>
      <c r="H67" t="n">
        <v>0</v>
      </c>
      <c r="I67" t="n">
        <v>0</v>
      </c>
      <c r="J67" t="n">
        <v>0</v>
      </c>
      <c r="K67" t="n">
        <v>0</v>
      </c>
      <c r="L67" t="n">
        <v>0</v>
      </c>
      <c r="M67" t="n">
        <v>0</v>
      </c>
      <c r="N67" t="n">
        <v>0</v>
      </c>
      <c r="O67" t="n">
        <v>0</v>
      </c>
      <c r="P67" t="n">
        <v>0</v>
      </c>
      <c r="Q67" t="n">
        <v>0</v>
      </c>
      <c r="R67" s="2" t="inlineStr"/>
    </row>
    <row r="68" ht="15" customHeight="1">
      <c r="A68" t="inlineStr">
        <is>
          <t>A 25671-2019</t>
        </is>
      </c>
      <c r="B68" s="1" t="n">
        <v>43607</v>
      </c>
      <c r="C68" s="1" t="n">
        <v>45352</v>
      </c>
      <c r="D68" t="inlineStr">
        <is>
          <t>DALARNAS LÄN</t>
        </is>
      </c>
      <c r="E68" t="inlineStr">
        <is>
          <t>SMEDJEBACKEN</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27354-2019</t>
        </is>
      </c>
      <c r="B69" s="1" t="n">
        <v>43616</v>
      </c>
      <c r="C69" s="1" t="n">
        <v>45352</v>
      </c>
      <c r="D69" t="inlineStr">
        <is>
          <t>DALARNAS LÄN</t>
        </is>
      </c>
      <c r="E69" t="inlineStr">
        <is>
          <t>SMEDJEBACKEN</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27345-2019</t>
        </is>
      </c>
      <c r="B70" s="1" t="n">
        <v>43616</v>
      </c>
      <c r="C70" s="1" t="n">
        <v>45352</v>
      </c>
      <c r="D70" t="inlineStr">
        <is>
          <t>DALARNAS LÄN</t>
        </is>
      </c>
      <c r="E70" t="inlineStr">
        <is>
          <t>SMEDJEBACKEN</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27351-2019</t>
        </is>
      </c>
      <c r="B71" s="1" t="n">
        <v>43616</v>
      </c>
      <c r="C71" s="1" t="n">
        <v>45352</v>
      </c>
      <c r="D71" t="inlineStr">
        <is>
          <t>DALARNAS LÄN</t>
        </is>
      </c>
      <c r="E71" t="inlineStr">
        <is>
          <t>SMEDJEBACKEN</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27352-2019</t>
        </is>
      </c>
      <c r="B72" s="1" t="n">
        <v>43616</v>
      </c>
      <c r="C72" s="1" t="n">
        <v>45352</v>
      </c>
      <c r="D72" t="inlineStr">
        <is>
          <t>DALARNAS LÄN</t>
        </is>
      </c>
      <c r="E72" t="inlineStr">
        <is>
          <t>SMEDJEBACKEN</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29124-2019</t>
        </is>
      </c>
      <c r="B73" s="1" t="n">
        <v>43628</v>
      </c>
      <c r="C73" s="1" t="n">
        <v>45352</v>
      </c>
      <c r="D73" t="inlineStr">
        <is>
          <t>DALARNAS LÄN</t>
        </is>
      </c>
      <c r="E73" t="inlineStr">
        <is>
          <t>SMEDJEBACKEN</t>
        </is>
      </c>
      <c r="G73" t="n">
        <v>1.9</v>
      </c>
      <c r="H73" t="n">
        <v>0</v>
      </c>
      <c r="I73" t="n">
        <v>0</v>
      </c>
      <c r="J73" t="n">
        <v>0</v>
      </c>
      <c r="K73" t="n">
        <v>0</v>
      </c>
      <c r="L73" t="n">
        <v>0</v>
      </c>
      <c r="M73" t="n">
        <v>0</v>
      </c>
      <c r="N73" t="n">
        <v>0</v>
      </c>
      <c r="O73" t="n">
        <v>0</v>
      </c>
      <c r="P73" t="n">
        <v>0</v>
      </c>
      <c r="Q73" t="n">
        <v>0</v>
      </c>
      <c r="R73" s="2" t="inlineStr"/>
    </row>
    <row r="74" ht="15" customHeight="1">
      <c r="A74" t="inlineStr">
        <is>
          <t>A 29467-2019</t>
        </is>
      </c>
      <c r="B74" s="1" t="n">
        <v>43629</v>
      </c>
      <c r="C74" s="1" t="n">
        <v>45352</v>
      </c>
      <c r="D74" t="inlineStr">
        <is>
          <t>DALARNAS LÄN</t>
        </is>
      </c>
      <c r="E74" t="inlineStr">
        <is>
          <t>SMEDJEBACKEN</t>
        </is>
      </c>
      <c r="G74" t="n">
        <v>2.9</v>
      </c>
      <c r="H74" t="n">
        <v>0</v>
      </c>
      <c r="I74" t="n">
        <v>0</v>
      </c>
      <c r="J74" t="n">
        <v>0</v>
      </c>
      <c r="K74" t="n">
        <v>0</v>
      </c>
      <c r="L74" t="n">
        <v>0</v>
      </c>
      <c r="M74" t="n">
        <v>0</v>
      </c>
      <c r="N74" t="n">
        <v>0</v>
      </c>
      <c r="O74" t="n">
        <v>0</v>
      </c>
      <c r="P74" t="n">
        <v>0</v>
      </c>
      <c r="Q74" t="n">
        <v>0</v>
      </c>
      <c r="R74" s="2" t="inlineStr"/>
    </row>
    <row r="75" ht="15" customHeight="1">
      <c r="A75" t="inlineStr">
        <is>
          <t>A 29661-2019</t>
        </is>
      </c>
      <c r="B75" s="1" t="n">
        <v>43630</v>
      </c>
      <c r="C75" s="1" t="n">
        <v>45352</v>
      </c>
      <c r="D75" t="inlineStr">
        <is>
          <t>DALARNAS LÄN</t>
        </is>
      </c>
      <c r="E75" t="inlineStr">
        <is>
          <t>SMEDJEBACKEN</t>
        </is>
      </c>
      <c r="G75" t="n">
        <v>3.6</v>
      </c>
      <c r="H75" t="n">
        <v>0</v>
      </c>
      <c r="I75" t="n">
        <v>0</v>
      </c>
      <c r="J75" t="n">
        <v>0</v>
      </c>
      <c r="K75" t="n">
        <v>0</v>
      </c>
      <c r="L75" t="n">
        <v>0</v>
      </c>
      <c r="M75" t="n">
        <v>0</v>
      </c>
      <c r="N75" t="n">
        <v>0</v>
      </c>
      <c r="O75" t="n">
        <v>0</v>
      </c>
      <c r="P75" t="n">
        <v>0</v>
      </c>
      <c r="Q75" t="n">
        <v>0</v>
      </c>
      <c r="R75" s="2" t="inlineStr"/>
    </row>
    <row r="76" ht="15" customHeight="1">
      <c r="A76" t="inlineStr">
        <is>
          <t>A 32138-2019</t>
        </is>
      </c>
      <c r="B76" s="1" t="n">
        <v>43643</v>
      </c>
      <c r="C76" s="1" t="n">
        <v>45352</v>
      </c>
      <c r="D76" t="inlineStr">
        <is>
          <t>DALARNAS LÄN</t>
        </is>
      </c>
      <c r="E76" t="inlineStr">
        <is>
          <t>SMEDJEBACKEN</t>
        </is>
      </c>
      <c r="G76" t="n">
        <v>0.8</v>
      </c>
      <c r="H76" t="n">
        <v>0</v>
      </c>
      <c r="I76" t="n">
        <v>0</v>
      </c>
      <c r="J76" t="n">
        <v>0</v>
      </c>
      <c r="K76" t="n">
        <v>0</v>
      </c>
      <c r="L76" t="n">
        <v>0</v>
      </c>
      <c r="M76" t="n">
        <v>0</v>
      </c>
      <c r="N76" t="n">
        <v>0</v>
      </c>
      <c r="O76" t="n">
        <v>0</v>
      </c>
      <c r="P76" t="n">
        <v>0</v>
      </c>
      <c r="Q76" t="n">
        <v>0</v>
      </c>
      <c r="R76" s="2" t="inlineStr"/>
    </row>
    <row r="77" ht="15" customHeight="1">
      <c r="A77" t="inlineStr">
        <is>
          <t>A 32457-2019</t>
        </is>
      </c>
      <c r="B77" s="1" t="n">
        <v>43644</v>
      </c>
      <c r="C77" s="1" t="n">
        <v>45352</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33859-2019</t>
        </is>
      </c>
      <c r="B78" s="1" t="n">
        <v>43652</v>
      </c>
      <c r="C78" s="1" t="n">
        <v>45352</v>
      </c>
      <c r="D78" t="inlineStr">
        <is>
          <t>DALARNAS LÄN</t>
        </is>
      </c>
      <c r="E78" t="inlineStr">
        <is>
          <t>SMEDJEBACKEN</t>
        </is>
      </c>
      <c r="G78" t="n">
        <v>1.4</v>
      </c>
      <c r="H78" t="n">
        <v>0</v>
      </c>
      <c r="I78" t="n">
        <v>0</v>
      </c>
      <c r="J78" t="n">
        <v>0</v>
      </c>
      <c r="K78" t="n">
        <v>0</v>
      </c>
      <c r="L78" t="n">
        <v>0</v>
      </c>
      <c r="M78" t="n">
        <v>0</v>
      </c>
      <c r="N78" t="n">
        <v>0</v>
      </c>
      <c r="O78" t="n">
        <v>0</v>
      </c>
      <c r="P78" t="n">
        <v>0</v>
      </c>
      <c r="Q78" t="n">
        <v>0</v>
      </c>
      <c r="R78" s="2" t="inlineStr"/>
    </row>
    <row r="79" ht="15" customHeight="1">
      <c r="A79" t="inlineStr">
        <is>
          <t>A 37360-2019</t>
        </is>
      </c>
      <c r="B79" s="1" t="n">
        <v>43678</v>
      </c>
      <c r="C79" s="1" t="n">
        <v>45352</v>
      </c>
      <c r="D79" t="inlineStr">
        <is>
          <t>DALARNAS LÄN</t>
        </is>
      </c>
      <c r="E79" t="inlineStr">
        <is>
          <t>SMEDJEBACKEN</t>
        </is>
      </c>
      <c r="G79" t="n">
        <v>1.1</v>
      </c>
      <c r="H79" t="n">
        <v>0</v>
      </c>
      <c r="I79" t="n">
        <v>0</v>
      </c>
      <c r="J79" t="n">
        <v>0</v>
      </c>
      <c r="K79" t="n">
        <v>0</v>
      </c>
      <c r="L79" t="n">
        <v>0</v>
      </c>
      <c r="M79" t="n">
        <v>0</v>
      </c>
      <c r="N79" t="n">
        <v>0</v>
      </c>
      <c r="O79" t="n">
        <v>0</v>
      </c>
      <c r="P79" t="n">
        <v>0</v>
      </c>
      <c r="Q79" t="n">
        <v>0</v>
      </c>
      <c r="R79" s="2" t="inlineStr"/>
    </row>
    <row r="80" ht="15" customHeight="1">
      <c r="A80" t="inlineStr">
        <is>
          <t>A 37368-2019</t>
        </is>
      </c>
      <c r="B80" s="1" t="n">
        <v>43678</v>
      </c>
      <c r="C80" s="1" t="n">
        <v>45352</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38152-2019</t>
        </is>
      </c>
      <c r="B81" s="1" t="n">
        <v>43684</v>
      </c>
      <c r="C81" s="1" t="n">
        <v>45352</v>
      </c>
      <c r="D81" t="inlineStr">
        <is>
          <t>DALARNAS LÄN</t>
        </is>
      </c>
      <c r="E81" t="inlineStr">
        <is>
          <t>SMEDJEBACKEN</t>
        </is>
      </c>
      <c r="G81" t="n">
        <v>2.5</v>
      </c>
      <c r="H81" t="n">
        <v>0</v>
      </c>
      <c r="I81" t="n">
        <v>0</v>
      </c>
      <c r="J81" t="n">
        <v>0</v>
      </c>
      <c r="K81" t="n">
        <v>0</v>
      </c>
      <c r="L81" t="n">
        <v>0</v>
      </c>
      <c r="M81" t="n">
        <v>0</v>
      </c>
      <c r="N81" t="n">
        <v>0</v>
      </c>
      <c r="O81" t="n">
        <v>0</v>
      </c>
      <c r="P81" t="n">
        <v>0</v>
      </c>
      <c r="Q81" t="n">
        <v>0</v>
      </c>
      <c r="R81" s="2" t="inlineStr"/>
    </row>
    <row r="82" ht="15" customHeight="1">
      <c r="A82" t="inlineStr">
        <is>
          <t>A 38149-2019</t>
        </is>
      </c>
      <c r="B82" s="1" t="n">
        <v>43684</v>
      </c>
      <c r="C82" s="1" t="n">
        <v>45352</v>
      </c>
      <c r="D82" t="inlineStr">
        <is>
          <t>DALARNAS LÄN</t>
        </is>
      </c>
      <c r="E82" t="inlineStr">
        <is>
          <t>SMEDJEBACKEN</t>
        </is>
      </c>
      <c r="G82" t="n">
        <v>3.5</v>
      </c>
      <c r="H82" t="n">
        <v>0</v>
      </c>
      <c r="I82" t="n">
        <v>0</v>
      </c>
      <c r="J82" t="n">
        <v>0</v>
      </c>
      <c r="K82" t="n">
        <v>0</v>
      </c>
      <c r="L82" t="n">
        <v>0</v>
      </c>
      <c r="M82" t="n">
        <v>0</v>
      </c>
      <c r="N82" t="n">
        <v>0</v>
      </c>
      <c r="O82" t="n">
        <v>0</v>
      </c>
      <c r="P82" t="n">
        <v>0</v>
      </c>
      <c r="Q82" t="n">
        <v>0</v>
      </c>
      <c r="R82" s="2" t="inlineStr"/>
    </row>
    <row r="83" ht="15" customHeight="1">
      <c r="A83" t="inlineStr">
        <is>
          <t>A 38842-2019</t>
        </is>
      </c>
      <c r="B83" s="1" t="n">
        <v>43689</v>
      </c>
      <c r="C83" s="1" t="n">
        <v>45352</v>
      </c>
      <c r="D83" t="inlineStr">
        <is>
          <t>DALARNAS LÄN</t>
        </is>
      </c>
      <c r="E83" t="inlineStr">
        <is>
          <t>SMEDJEBACKEN</t>
        </is>
      </c>
      <c r="G83" t="n">
        <v>0.6</v>
      </c>
      <c r="H83" t="n">
        <v>0</v>
      </c>
      <c r="I83" t="n">
        <v>0</v>
      </c>
      <c r="J83" t="n">
        <v>0</v>
      </c>
      <c r="K83" t="n">
        <v>0</v>
      </c>
      <c r="L83" t="n">
        <v>0</v>
      </c>
      <c r="M83" t="n">
        <v>0</v>
      </c>
      <c r="N83" t="n">
        <v>0</v>
      </c>
      <c r="O83" t="n">
        <v>0</v>
      </c>
      <c r="P83" t="n">
        <v>0</v>
      </c>
      <c r="Q83" t="n">
        <v>0</v>
      </c>
      <c r="R83" s="2" t="inlineStr"/>
    </row>
    <row r="84" ht="15" customHeight="1">
      <c r="A84" t="inlineStr">
        <is>
          <t>A 40067-2019</t>
        </is>
      </c>
      <c r="B84" s="1" t="n">
        <v>43693</v>
      </c>
      <c r="C84" s="1" t="n">
        <v>45352</v>
      </c>
      <c r="D84" t="inlineStr">
        <is>
          <t>DALARNAS LÄN</t>
        </is>
      </c>
      <c r="E84" t="inlineStr">
        <is>
          <t>SMEDJEBACKEN</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40129-2019</t>
        </is>
      </c>
      <c r="B85" s="1" t="n">
        <v>43693</v>
      </c>
      <c r="C85" s="1" t="n">
        <v>45352</v>
      </c>
      <c r="D85" t="inlineStr">
        <is>
          <t>DALARNAS LÄN</t>
        </is>
      </c>
      <c r="E85" t="inlineStr">
        <is>
          <t>SMEDJEBACKEN</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40828-2019</t>
        </is>
      </c>
      <c r="B86" s="1" t="n">
        <v>43697</v>
      </c>
      <c r="C86" s="1" t="n">
        <v>45352</v>
      </c>
      <c r="D86" t="inlineStr">
        <is>
          <t>DALARNAS LÄN</t>
        </is>
      </c>
      <c r="E86" t="inlineStr">
        <is>
          <t>SMEDJEBACKEN</t>
        </is>
      </c>
      <c r="G86" t="n">
        <v>1.9</v>
      </c>
      <c r="H86" t="n">
        <v>0</v>
      </c>
      <c r="I86" t="n">
        <v>0</v>
      </c>
      <c r="J86" t="n">
        <v>0</v>
      </c>
      <c r="K86" t="n">
        <v>0</v>
      </c>
      <c r="L86" t="n">
        <v>0</v>
      </c>
      <c r="M86" t="n">
        <v>0</v>
      </c>
      <c r="N86" t="n">
        <v>0</v>
      </c>
      <c r="O86" t="n">
        <v>0</v>
      </c>
      <c r="P86" t="n">
        <v>0</v>
      </c>
      <c r="Q86" t="n">
        <v>0</v>
      </c>
      <c r="R86" s="2" t="inlineStr"/>
    </row>
    <row r="87" ht="15" customHeight="1">
      <c r="A87" t="inlineStr">
        <is>
          <t>A 41421-2019</t>
        </is>
      </c>
      <c r="B87" s="1" t="n">
        <v>43698</v>
      </c>
      <c r="C87" s="1" t="n">
        <v>45352</v>
      </c>
      <c r="D87" t="inlineStr">
        <is>
          <t>DALARNAS LÄN</t>
        </is>
      </c>
      <c r="E87" t="inlineStr">
        <is>
          <t>SMEDJEBACKEN</t>
        </is>
      </c>
      <c r="F87" t="inlineStr">
        <is>
          <t>Kyrkan</t>
        </is>
      </c>
      <c r="G87" t="n">
        <v>5.8</v>
      </c>
      <c r="H87" t="n">
        <v>0</v>
      </c>
      <c r="I87" t="n">
        <v>0</v>
      </c>
      <c r="J87" t="n">
        <v>0</v>
      </c>
      <c r="K87" t="n">
        <v>0</v>
      </c>
      <c r="L87" t="n">
        <v>0</v>
      </c>
      <c r="M87" t="n">
        <v>0</v>
      </c>
      <c r="N87" t="n">
        <v>0</v>
      </c>
      <c r="O87" t="n">
        <v>0</v>
      </c>
      <c r="P87" t="n">
        <v>0</v>
      </c>
      <c r="Q87" t="n">
        <v>0</v>
      </c>
      <c r="R87" s="2" t="inlineStr"/>
    </row>
    <row r="88" ht="15" customHeight="1">
      <c r="A88" t="inlineStr">
        <is>
          <t>A 41803-2019</t>
        </is>
      </c>
      <c r="B88" s="1" t="n">
        <v>43700</v>
      </c>
      <c r="C88" s="1" t="n">
        <v>45352</v>
      </c>
      <c r="D88" t="inlineStr">
        <is>
          <t>DALARNAS LÄN</t>
        </is>
      </c>
      <c r="E88" t="inlineStr">
        <is>
          <t>SMEDJEBACKEN</t>
        </is>
      </c>
      <c r="G88" t="n">
        <v>4.8</v>
      </c>
      <c r="H88" t="n">
        <v>0</v>
      </c>
      <c r="I88" t="n">
        <v>0</v>
      </c>
      <c r="J88" t="n">
        <v>0</v>
      </c>
      <c r="K88" t="n">
        <v>0</v>
      </c>
      <c r="L88" t="n">
        <v>0</v>
      </c>
      <c r="M88" t="n">
        <v>0</v>
      </c>
      <c r="N88" t="n">
        <v>0</v>
      </c>
      <c r="O88" t="n">
        <v>0</v>
      </c>
      <c r="P88" t="n">
        <v>0</v>
      </c>
      <c r="Q88" t="n">
        <v>0</v>
      </c>
      <c r="R88" s="2" t="inlineStr"/>
    </row>
    <row r="89" ht="15" customHeight="1">
      <c r="A89" t="inlineStr">
        <is>
          <t>A 41986-2019</t>
        </is>
      </c>
      <c r="B89" s="1" t="n">
        <v>43700</v>
      </c>
      <c r="C89" s="1" t="n">
        <v>45352</v>
      </c>
      <c r="D89" t="inlineStr">
        <is>
          <t>DALARNAS LÄN</t>
        </is>
      </c>
      <c r="E89" t="inlineStr">
        <is>
          <t>SMEDJEBACKEN</t>
        </is>
      </c>
      <c r="G89" t="n">
        <v>0.8</v>
      </c>
      <c r="H89" t="n">
        <v>0</v>
      </c>
      <c r="I89" t="n">
        <v>0</v>
      </c>
      <c r="J89" t="n">
        <v>0</v>
      </c>
      <c r="K89" t="n">
        <v>0</v>
      </c>
      <c r="L89" t="n">
        <v>0</v>
      </c>
      <c r="M89" t="n">
        <v>0</v>
      </c>
      <c r="N89" t="n">
        <v>0</v>
      </c>
      <c r="O89" t="n">
        <v>0</v>
      </c>
      <c r="P89" t="n">
        <v>0</v>
      </c>
      <c r="Q89" t="n">
        <v>0</v>
      </c>
      <c r="R89" s="2" t="inlineStr"/>
    </row>
    <row r="90" ht="15" customHeight="1">
      <c r="A90" t="inlineStr">
        <is>
          <t>A 42186-2019</t>
        </is>
      </c>
      <c r="B90" s="1" t="n">
        <v>43703</v>
      </c>
      <c r="C90" s="1" t="n">
        <v>45352</v>
      </c>
      <c r="D90" t="inlineStr">
        <is>
          <t>DALARNAS LÄN</t>
        </is>
      </c>
      <c r="E90" t="inlineStr">
        <is>
          <t>SMEDJEBACKEN</t>
        </is>
      </c>
      <c r="G90" t="n">
        <v>8</v>
      </c>
      <c r="H90" t="n">
        <v>0</v>
      </c>
      <c r="I90" t="n">
        <v>0</v>
      </c>
      <c r="J90" t="n">
        <v>0</v>
      </c>
      <c r="K90" t="n">
        <v>0</v>
      </c>
      <c r="L90" t="n">
        <v>0</v>
      </c>
      <c r="M90" t="n">
        <v>0</v>
      </c>
      <c r="N90" t="n">
        <v>0</v>
      </c>
      <c r="O90" t="n">
        <v>0</v>
      </c>
      <c r="P90" t="n">
        <v>0</v>
      </c>
      <c r="Q90" t="n">
        <v>0</v>
      </c>
      <c r="R90" s="2" t="inlineStr"/>
    </row>
    <row r="91" ht="15" customHeight="1">
      <c r="A91" t="inlineStr">
        <is>
          <t>A 42201-2019</t>
        </is>
      </c>
      <c r="B91" s="1" t="n">
        <v>43703</v>
      </c>
      <c r="C91" s="1" t="n">
        <v>45352</v>
      </c>
      <c r="D91" t="inlineStr">
        <is>
          <t>DALARNAS LÄN</t>
        </is>
      </c>
      <c r="E91" t="inlineStr">
        <is>
          <t>SMEDJEBACKEN</t>
        </is>
      </c>
      <c r="G91" t="n">
        <v>5.4</v>
      </c>
      <c r="H91" t="n">
        <v>0</v>
      </c>
      <c r="I91" t="n">
        <v>0</v>
      </c>
      <c r="J91" t="n">
        <v>0</v>
      </c>
      <c r="K91" t="n">
        <v>0</v>
      </c>
      <c r="L91" t="n">
        <v>0</v>
      </c>
      <c r="M91" t="n">
        <v>0</v>
      </c>
      <c r="N91" t="n">
        <v>0</v>
      </c>
      <c r="O91" t="n">
        <v>0</v>
      </c>
      <c r="P91" t="n">
        <v>0</v>
      </c>
      <c r="Q91" t="n">
        <v>0</v>
      </c>
      <c r="R91" s="2" t="inlineStr"/>
    </row>
    <row r="92" ht="15" customHeight="1">
      <c r="A92" t="inlineStr">
        <is>
          <t>A 42684-2019</t>
        </is>
      </c>
      <c r="B92" s="1" t="n">
        <v>43703</v>
      </c>
      <c r="C92" s="1" t="n">
        <v>45352</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42576-2019</t>
        </is>
      </c>
      <c r="B93" s="1" t="n">
        <v>43704</v>
      </c>
      <c r="C93" s="1" t="n">
        <v>45352</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43510-2019</t>
        </is>
      </c>
      <c r="B94" s="1" t="n">
        <v>43706</v>
      </c>
      <c r="C94" s="1" t="n">
        <v>45352</v>
      </c>
      <c r="D94" t="inlineStr">
        <is>
          <t>DALARNAS LÄN</t>
        </is>
      </c>
      <c r="E94" t="inlineStr">
        <is>
          <t>SMEDJEBACKEN</t>
        </is>
      </c>
      <c r="G94" t="n">
        <v>1.9</v>
      </c>
      <c r="H94" t="n">
        <v>0</v>
      </c>
      <c r="I94" t="n">
        <v>0</v>
      </c>
      <c r="J94" t="n">
        <v>0</v>
      </c>
      <c r="K94" t="n">
        <v>0</v>
      </c>
      <c r="L94" t="n">
        <v>0</v>
      </c>
      <c r="M94" t="n">
        <v>0</v>
      </c>
      <c r="N94" t="n">
        <v>0</v>
      </c>
      <c r="O94" t="n">
        <v>0</v>
      </c>
      <c r="P94" t="n">
        <v>0</v>
      </c>
      <c r="Q94" t="n">
        <v>0</v>
      </c>
      <c r="R94" s="2" t="inlineStr"/>
    </row>
    <row r="95" ht="15" customHeight="1">
      <c r="A95" t="inlineStr">
        <is>
          <t>A 48238-2019</t>
        </is>
      </c>
      <c r="B95" s="1" t="n">
        <v>43726</v>
      </c>
      <c r="C95" s="1" t="n">
        <v>45352</v>
      </c>
      <c r="D95" t="inlineStr">
        <is>
          <t>DALARNAS LÄN</t>
        </is>
      </c>
      <c r="E95" t="inlineStr">
        <is>
          <t>SMEDJEBACKEN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48251-2019</t>
        </is>
      </c>
      <c r="B96" s="1" t="n">
        <v>43726</v>
      </c>
      <c r="C96" s="1" t="n">
        <v>45352</v>
      </c>
      <c r="D96" t="inlineStr">
        <is>
          <t>DALARNAS LÄN</t>
        </is>
      </c>
      <c r="E96" t="inlineStr">
        <is>
          <t>SMEDJEBACKEN</t>
        </is>
      </c>
      <c r="G96" t="n">
        <v>5.7</v>
      </c>
      <c r="H96" t="n">
        <v>0</v>
      </c>
      <c r="I96" t="n">
        <v>0</v>
      </c>
      <c r="J96" t="n">
        <v>0</v>
      </c>
      <c r="K96" t="n">
        <v>0</v>
      </c>
      <c r="L96" t="n">
        <v>0</v>
      </c>
      <c r="M96" t="n">
        <v>0</v>
      </c>
      <c r="N96" t="n">
        <v>0</v>
      </c>
      <c r="O96" t="n">
        <v>0</v>
      </c>
      <c r="P96" t="n">
        <v>0</v>
      </c>
      <c r="Q96" t="n">
        <v>0</v>
      </c>
      <c r="R96" s="2" t="inlineStr"/>
    </row>
    <row r="97" ht="15" customHeight="1">
      <c r="A97" t="inlineStr">
        <is>
          <t>A 49122-2019</t>
        </is>
      </c>
      <c r="B97" s="1" t="n">
        <v>43731</v>
      </c>
      <c r="C97" s="1" t="n">
        <v>45352</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49303-2019</t>
        </is>
      </c>
      <c r="B98" s="1" t="n">
        <v>43731</v>
      </c>
      <c r="C98" s="1" t="n">
        <v>45352</v>
      </c>
      <c r="D98" t="inlineStr">
        <is>
          <t>DALARNAS LÄN</t>
        </is>
      </c>
      <c r="E98" t="inlineStr">
        <is>
          <t>SMEDJEBACKEN</t>
        </is>
      </c>
      <c r="G98" t="n">
        <v>2.3</v>
      </c>
      <c r="H98" t="n">
        <v>0</v>
      </c>
      <c r="I98" t="n">
        <v>0</v>
      </c>
      <c r="J98" t="n">
        <v>0</v>
      </c>
      <c r="K98" t="n">
        <v>0</v>
      </c>
      <c r="L98" t="n">
        <v>0</v>
      </c>
      <c r="M98" t="n">
        <v>0</v>
      </c>
      <c r="N98" t="n">
        <v>0</v>
      </c>
      <c r="O98" t="n">
        <v>0</v>
      </c>
      <c r="P98" t="n">
        <v>0</v>
      </c>
      <c r="Q98" t="n">
        <v>0</v>
      </c>
      <c r="R98" s="2" t="inlineStr"/>
    </row>
    <row r="99" ht="15" customHeight="1">
      <c r="A99" t="inlineStr">
        <is>
          <t>A 51146-2019</t>
        </is>
      </c>
      <c r="B99" s="1" t="n">
        <v>43732</v>
      </c>
      <c r="C99" s="1" t="n">
        <v>45352</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52834-2019</t>
        </is>
      </c>
      <c r="B100" s="1" t="n">
        <v>43739</v>
      </c>
      <c r="C100" s="1" t="n">
        <v>45352</v>
      </c>
      <c r="D100" t="inlineStr">
        <is>
          <t>DALARNAS LÄN</t>
        </is>
      </c>
      <c r="E100" t="inlineStr">
        <is>
          <t>SMEDJEBACKEN</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54239-2019</t>
        </is>
      </c>
      <c r="B101" s="1" t="n">
        <v>43745</v>
      </c>
      <c r="C101" s="1" t="n">
        <v>45352</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54273-2019</t>
        </is>
      </c>
      <c r="B102" s="1" t="n">
        <v>43745</v>
      </c>
      <c r="C102" s="1" t="n">
        <v>45352</v>
      </c>
      <c r="D102" t="inlineStr">
        <is>
          <t>DALARNAS LÄN</t>
        </is>
      </c>
      <c r="E102" t="inlineStr">
        <is>
          <t>SMEDJEBACKEN</t>
        </is>
      </c>
      <c r="F102" t="inlineStr">
        <is>
          <t>Bergvik skog väst AB</t>
        </is>
      </c>
      <c r="G102" t="n">
        <v>7.2</v>
      </c>
      <c r="H102" t="n">
        <v>0</v>
      </c>
      <c r="I102" t="n">
        <v>0</v>
      </c>
      <c r="J102" t="n">
        <v>0</v>
      </c>
      <c r="K102" t="n">
        <v>0</v>
      </c>
      <c r="L102" t="n">
        <v>0</v>
      </c>
      <c r="M102" t="n">
        <v>0</v>
      </c>
      <c r="N102" t="n">
        <v>0</v>
      </c>
      <c r="O102" t="n">
        <v>0</v>
      </c>
      <c r="P102" t="n">
        <v>0</v>
      </c>
      <c r="Q102" t="n">
        <v>0</v>
      </c>
      <c r="R102" s="2" t="inlineStr"/>
    </row>
    <row r="103" ht="15" customHeight="1">
      <c r="A103" t="inlineStr">
        <is>
          <t>A 54250-2019</t>
        </is>
      </c>
      <c r="B103" s="1" t="n">
        <v>43745</v>
      </c>
      <c r="C103" s="1" t="n">
        <v>45352</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55370-2019</t>
        </is>
      </c>
      <c r="B104" s="1" t="n">
        <v>43754</v>
      </c>
      <c r="C104" s="1" t="n">
        <v>45352</v>
      </c>
      <c r="D104" t="inlineStr">
        <is>
          <t>DALARNAS LÄN</t>
        </is>
      </c>
      <c r="E104" t="inlineStr">
        <is>
          <t>SMEDJEBACKEN</t>
        </is>
      </c>
      <c r="G104" t="n">
        <v>1.8</v>
      </c>
      <c r="H104" t="n">
        <v>0</v>
      </c>
      <c r="I104" t="n">
        <v>0</v>
      </c>
      <c r="J104" t="n">
        <v>0</v>
      </c>
      <c r="K104" t="n">
        <v>0</v>
      </c>
      <c r="L104" t="n">
        <v>0</v>
      </c>
      <c r="M104" t="n">
        <v>0</v>
      </c>
      <c r="N104" t="n">
        <v>0</v>
      </c>
      <c r="O104" t="n">
        <v>0</v>
      </c>
      <c r="P104" t="n">
        <v>0</v>
      </c>
      <c r="Q104" t="n">
        <v>0</v>
      </c>
      <c r="R104" s="2" t="inlineStr"/>
    </row>
    <row r="105" ht="15" customHeight="1">
      <c r="A105" t="inlineStr">
        <is>
          <t>A 54441-2019</t>
        </is>
      </c>
      <c r="B105" s="1" t="n">
        <v>43754</v>
      </c>
      <c r="C105" s="1" t="n">
        <v>45352</v>
      </c>
      <c r="D105" t="inlineStr">
        <is>
          <t>DALARNAS LÄN</t>
        </is>
      </c>
      <c r="E105" t="inlineStr">
        <is>
          <t>SMEDJEBACKEN</t>
        </is>
      </c>
      <c r="G105" t="n">
        <v>1.7</v>
      </c>
      <c r="H105" t="n">
        <v>0</v>
      </c>
      <c r="I105" t="n">
        <v>0</v>
      </c>
      <c r="J105" t="n">
        <v>0</v>
      </c>
      <c r="K105" t="n">
        <v>0</v>
      </c>
      <c r="L105" t="n">
        <v>0</v>
      </c>
      <c r="M105" t="n">
        <v>0</v>
      </c>
      <c r="N105" t="n">
        <v>0</v>
      </c>
      <c r="O105" t="n">
        <v>0</v>
      </c>
      <c r="P105" t="n">
        <v>0</v>
      </c>
      <c r="Q105" t="n">
        <v>0</v>
      </c>
      <c r="R105" s="2" t="inlineStr"/>
    </row>
    <row r="106" ht="15" customHeight="1">
      <c r="A106" t="inlineStr">
        <is>
          <t>A 55576-2019</t>
        </is>
      </c>
      <c r="B106" s="1" t="n">
        <v>43760</v>
      </c>
      <c r="C106" s="1" t="n">
        <v>45352</v>
      </c>
      <c r="D106" t="inlineStr">
        <is>
          <t>DALARNAS LÄN</t>
        </is>
      </c>
      <c r="E106" t="inlineStr">
        <is>
          <t>SMEDJEBACKEN</t>
        </is>
      </c>
      <c r="F106" t="inlineStr">
        <is>
          <t>Övriga Aktiebolag</t>
        </is>
      </c>
      <c r="G106" t="n">
        <v>5.2</v>
      </c>
      <c r="H106" t="n">
        <v>0</v>
      </c>
      <c r="I106" t="n">
        <v>0</v>
      </c>
      <c r="J106" t="n">
        <v>0</v>
      </c>
      <c r="K106" t="n">
        <v>0</v>
      </c>
      <c r="L106" t="n">
        <v>0</v>
      </c>
      <c r="M106" t="n">
        <v>0</v>
      </c>
      <c r="N106" t="n">
        <v>0</v>
      </c>
      <c r="O106" t="n">
        <v>0</v>
      </c>
      <c r="P106" t="n">
        <v>0</v>
      </c>
      <c r="Q106" t="n">
        <v>0</v>
      </c>
      <c r="R106" s="2" t="inlineStr"/>
    </row>
    <row r="107" ht="15" customHeight="1">
      <c r="A107" t="inlineStr">
        <is>
          <t>A 55633-2019</t>
        </is>
      </c>
      <c r="B107" s="1" t="n">
        <v>43760</v>
      </c>
      <c r="C107" s="1" t="n">
        <v>45352</v>
      </c>
      <c r="D107" t="inlineStr">
        <is>
          <t>DALARNAS LÄN</t>
        </is>
      </c>
      <c r="E107" t="inlineStr">
        <is>
          <t>SMEDJEBACKEN</t>
        </is>
      </c>
      <c r="G107" t="n">
        <v>0.8</v>
      </c>
      <c r="H107" t="n">
        <v>0</v>
      </c>
      <c r="I107" t="n">
        <v>0</v>
      </c>
      <c r="J107" t="n">
        <v>0</v>
      </c>
      <c r="K107" t="n">
        <v>0</v>
      </c>
      <c r="L107" t="n">
        <v>0</v>
      </c>
      <c r="M107" t="n">
        <v>0</v>
      </c>
      <c r="N107" t="n">
        <v>0</v>
      </c>
      <c r="O107" t="n">
        <v>0</v>
      </c>
      <c r="P107" t="n">
        <v>0</v>
      </c>
      <c r="Q107" t="n">
        <v>0</v>
      </c>
      <c r="R107" s="2" t="inlineStr"/>
    </row>
    <row r="108" ht="15" customHeight="1">
      <c r="A108" t="inlineStr">
        <is>
          <t>A 57067-2019</t>
        </is>
      </c>
      <c r="B108" s="1" t="n">
        <v>43766</v>
      </c>
      <c r="C108" s="1" t="n">
        <v>45352</v>
      </c>
      <c r="D108" t="inlineStr">
        <is>
          <t>DALARNAS LÄN</t>
        </is>
      </c>
      <c r="E108" t="inlineStr">
        <is>
          <t>SMEDJEBACKEN</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57357-2019</t>
        </is>
      </c>
      <c r="B109" s="1" t="n">
        <v>43767</v>
      </c>
      <c r="C109" s="1" t="n">
        <v>45352</v>
      </c>
      <c r="D109" t="inlineStr">
        <is>
          <t>DALARNAS LÄN</t>
        </is>
      </c>
      <c r="E109" t="inlineStr">
        <is>
          <t>SMEDJEBACKEN</t>
        </is>
      </c>
      <c r="G109" t="n">
        <v>5</v>
      </c>
      <c r="H109" t="n">
        <v>0</v>
      </c>
      <c r="I109" t="n">
        <v>0</v>
      </c>
      <c r="J109" t="n">
        <v>0</v>
      </c>
      <c r="K109" t="n">
        <v>0</v>
      </c>
      <c r="L109" t="n">
        <v>0</v>
      </c>
      <c r="M109" t="n">
        <v>0</v>
      </c>
      <c r="N109" t="n">
        <v>0</v>
      </c>
      <c r="O109" t="n">
        <v>0</v>
      </c>
      <c r="P109" t="n">
        <v>0</v>
      </c>
      <c r="Q109" t="n">
        <v>0</v>
      </c>
      <c r="R109" s="2" t="inlineStr"/>
    </row>
    <row r="110" ht="15" customHeight="1">
      <c r="A110" t="inlineStr">
        <is>
          <t>A 58674-2019</t>
        </is>
      </c>
      <c r="B110" s="1" t="n">
        <v>43773</v>
      </c>
      <c r="C110" s="1" t="n">
        <v>45352</v>
      </c>
      <c r="D110" t="inlineStr">
        <is>
          <t>DALARNAS LÄN</t>
        </is>
      </c>
      <c r="E110" t="inlineStr">
        <is>
          <t>SMEDJEBACKEN</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58603-2019</t>
        </is>
      </c>
      <c r="B111" s="1" t="n">
        <v>43773</v>
      </c>
      <c r="C111" s="1" t="n">
        <v>45352</v>
      </c>
      <c r="D111" t="inlineStr">
        <is>
          <t>DALARNAS LÄN</t>
        </is>
      </c>
      <c r="E111" t="inlineStr">
        <is>
          <t>SMEDJEBACKEN</t>
        </is>
      </c>
      <c r="G111" t="n">
        <v>6.2</v>
      </c>
      <c r="H111" t="n">
        <v>0</v>
      </c>
      <c r="I111" t="n">
        <v>0</v>
      </c>
      <c r="J111" t="n">
        <v>0</v>
      </c>
      <c r="K111" t="n">
        <v>0</v>
      </c>
      <c r="L111" t="n">
        <v>0</v>
      </c>
      <c r="M111" t="n">
        <v>0</v>
      </c>
      <c r="N111" t="n">
        <v>0</v>
      </c>
      <c r="O111" t="n">
        <v>0</v>
      </c>
      <c r="P111" t="n">
        <v>0</v>
      </c>
      <c r="Q111" t="n">
        <v>0</v>
      </c>
      <c r="R111" s="2" t="inlineStr"/>
    </row>
    <row r="112" ht="15" customHeight="1">
      <c r="A112" t="inlineStr">
        <is>
          <t>A 59267-2019</t>
        </is>
      </c>
      <c r="B112" s="1" t="n">
        <v>43775</v>
      </c>
      <c r="C112" s="1" t="n">
        <v>45352</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60095-2019</t>
        </is>
      </c>
      <c r="B113" s="1" t="n">
        <v>43777</v>
      </c>
      <c r="C113" s="1" t="n">
        <v>45352</v>
      </c>
      <c r="D113" t="inlineStr">
        <is>
          <t>DALARNAS LÄN</t>
        </is>
      </c>
      <c r="E113" t="inlineStr">
        <is>
          <t>SMEDJEBACKEN</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60148-2019</t>
        </is>
      </c>
      <c r="B114" s="1" t="n">
        <v>43779</v>
      </c>
      <c r="C114" s="1" t="n">
        <v>45352</v>
      </c>
      <c r="D114" t="inlineStr">
        <is>
          <t>DALARNAS LÄN</t>
        </is>
      </c>
      <c r="E114" t="inlineStr">
        <is>
          <t>SMEDJEBACKEN</t>
        </is>
      </c>
      <c r="G114" t="n">
        <v>2.5</v>
      </c>
      <c r="H114" t="n">
        <v>0</v>
      </c>
      <c r="I114" t="n">
        <v>0</v>
      </c>
      <c r="J114" t="n">
        <v>0</v>
      </c>
      <c r="K114" t="n">
        <v>0</v>
      </c>
      <c r="L114" t="n">
        <v>0</v>
      </c>
      <c r="M114" t="n">
        <v>0</v>
      </c>
      <c r="N114" t="n">
        <v>0</v>
      </c>
      <c r="O114" t="n">
        <v>0</v>
      </c>
      <c r="P114" t="n">
        <v>0</v>
      </c>
      <c r="Q114" t="n">
        <v>0</v>
      </c>
      <c r="R114" s="2" t="inlineStr"/>
    </row>
    <row r="115" ht="15" customHeight="1">
      <c r="A115" t="inlineStr">
        <is>
          <t>A 60421-2019</t>
        </is>
      </c>
      <c r="B115" s="1" t="n">
        <v>43780</v>
      </c>
      <c r="C115" s="1" t="n">
        <v>45352</v>
      </c>
      <c r="D115" t="inlineStr">
        <is>
          <t>DALARNAS LÄN</t>
        </is>
      </c>
      <c r="E115" t="inlineStr">
        <is>
          <t>SMEDJEBACKEN</t>
        </is>
      </c>
      <c r="G115" t="n">
        <v>3.1</v>
      </c>
      <c r="H115" t="n">
        <v>0</v>
      </c>
      <c r="I115" t="n">
        <v>0</v>
      </c>
      <c r="J115" t="n">
        <v>0</v>
      </c>
      <c r="K115" t="n">
        <v>0</v>
      </c>
      <c r="L115" t="n">
        <v>0</v>
      </c>
      <c r="M115" t="n">
        <v>0</v>
      </c>
      <c r="N115" t="n">
        <v>0</v>
      </c>
      <c r="O115" t="n">
        <v>0</v>
      </c>
      <c r="P115" t="n">
        <v>0</v>
      </c>
      <c r="Q115" t="n">
        <v>0</v>
      </c>
      <c r="R115" s="2" t="inlineStr"/>
    </row>
    <row r="116" ht="15" customHeight="1">
      <c r="A116" t="inlineStr">
        <is>
          <t>A 63796-2019</t>
        </is>
      </c>
      <c r="B116" s="1" t="n">
        <v>43795</v>
      </c>
      <c r="C116" s="1" t="n">
        <v>45352</v>
      </c>
      <c r="D116" t="inlineStr">
        <is>
          <t>DALARNAS LÄN</t>
        </is>
      </c>
      <c r="E116" t="inlineStr">
        <is>
          <t>SMEDJEBACKEN</t>
        </is>
      </c>
      <c r="G116" t="n">
        <v>1.2</v>
      </c>
      <c r="H116" t="n">
        <v>0</v>
      </c>
      <c r="I116" t="n">
        <v>0</v>
      </c>
      <c r="J116" t="n">
        <v>0</v>
      </c>
      <c r="K116" t="n">
        <v>0</v>
      </c>
      <c r="L116" t="n">
        <v>0</v>
      </c>
      <c r="M116" t="n">
        <v>0</v>
      </c>
      <c r="N116" t="n">
        <v>0</v>
      </c>
      <c r="O116" t="n">
        <v>0</v>
      </c>
      <c r="P116" t="n">
        <v>0</v>
      </c>
      <c r="Q116" t="n">
        <v>0</v>
      </c>
      <c r="R116" s="2" t="inlineStr"/>
    </row>
    <row r="117" ht="15" customHeight="1">
      <c r="A117" t="inlineStr">
        <is>
          <t>A 64705-2019</t>
        </is>
      </c>
      <c r="B117" s="1" t="n">
        <v>43798</v>
      </c>
      <c r="C117" s="1" t="n">
        <v>45352</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67991-2019</t>
        </is>
      </c>
      <c r="B118" s="1" t="n">
        <v>43811</v>
      </c>
      <c r="C118" s="1" t="n">
        <v>45352</v>
      </c>
      <c r="D118" t="inlineStr">
        <is>
          <t>DALARNAS LÄN</t>
        </is>
      </c>
      <c r="E118" t="inlineStr">
        <is>
          <t>SMEDJEBACKEN</t>
        </is>
      </c>
      <c r="F118" t="inlineStr">
        <is>
          <t>Bergvik skog väst AB</t>
        </is>
      </c>
      <c r="G118" t="n">
        <v>13.9</v>
      </c>
      <c r="H118" t="n">
        <v>0</v>
      </c>
      <c r="I118" t="n">
        <v>0</v>
      </c>
      <c r="J118" t="n">
        <v>0</v>
      </c>
      <c r="K118" t="n">
        <v>0</v>
      </c>
      <c r="L118" t="n">
        <v>0</v>
      </c>
      <c r="M118" t="n">
        <v>0</v>
      </c>
      <c r="N118" t="n">
        <v>0</v>
      </c>
      <c r="O118" t="n">
        <v>0</v>
      </c>
      <c r="P118" t="n">
        <v>0</v>
      </c>
      <c r="Q118" t="n">
        <v>0</v>
      </c>
      <c r="R118" s="2" t="inlineStr"/>
    </row>
    <row r="119" ht="15" customHeight="1">
      <c r="A119" t="inlineStr">
        <is>
          <t>A 68938-2019</t>
        </is>
      </c>
      <c r="B119" s="1" t="n">
        <v>43822</v>
      </c>
      <c r="C119" s="1" t="n">
        <v>45352</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68937-2019</t>
        </is>
      </c>
      <c r="B120" s="1" t="n">
        <v>43822</v>
      </c>
      <c r="C120" s="1" t="n">
        <v>45352</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1080-2020</t>
        </is>
      </c>
      <c r="B121" s="1" t="n">
        <v>43840</v>
      </c>
      <c r="C121" s="1" t="n">
        <v>45352</v>
      </c>
      <c r="D121" t="inlineStr">
        <is>
          <t>DALARNAS LÄN</t>
        </is>
      </c>
      <c r="E121" t="inlineStr">
        <is>
          <t>SMEDJEBACKEN</t>
        </is>
      </c>
      <c r="G121" t="n">
        <v>2.9</v>
      </c>
      <c r="H121" t="n">
        <v>0</v>
      </c>
      <c r="I121" t="n">
        <v>0</v>
      </c>
      <c r="J121" t="n">
        <v>0</v>
      </c>
      <c r="K121" t="n">
        <v>0</v>
      </c>
      <c r="L121" t="n">
        <v>0</v>
      </c>
      <c r="M121" t="n">
        <v>0</v>
      </c>
      <c r="N121" t="n">
        <v>0</v>
      </c>
      <c r="O121" t="n">
        <v>0</v>
      </c>
      <c r="P121" t="n">
        <v>0</v>
      </c>
      <c r="Q121" t="n">
        <v>0</v>
      </c>
      <c r="R121" s="2" t="inlineStr"/>
    </row>
    <row r="122" ht="15" customHeight="1">
      <c r="A122" t="inlineStr">
        <is>
          <t>A 2333-2020</t>
        </is>
      </c>
      <c r="B122" s="1" t="n">
        <v>43840</v>
      </c>
      <c r="C122" s="1" t="n">
        <v>45352</v>
      </c>
      <c r="D122" t="inlineStr">
        <is>
          <t>DALARNAS LÄN</t>
        </is>
      </c>
      <c r="E122" t="inlineStr">
        <is>
          <t>SMEDJEBACKEN</t>
        </is>
      </c>
      <c r="G122" t="n">
        <v>4.5</v>
      </c>
      <c r="H122" t="n">
        <v>0</v>
      </c>
      <c r="I122" t="n">
        <v>0</v>
      </c>
      <c r="J122" t="n">
        <v>0</v>
      </c>
      <c r="K122" t="n">
        <v>0</v>
      </c>
      <c r="L122" t="n">
        <v>0</v>
      </c>
      <c r="M122" t="n">
        <v>0</v>
      </c>
      <c r="N122" t="n">
        <v>0</v>
      </c>
      <c r="O122" t="n">
        <v>0</v>
      </c>
      <c r="P122" t="n">
        <v>0</v>
      </c>
      <c r="Q122" t="n">
        <v>0</v>
      </c>
      <c r="R122" s="2" t="inlineStr"/>
    </row>
    <row r="123" ht="15" customHeight="1">
      <c r="A123" t="inlineStr">
        <is>
          <t>A 1119-2020</t>
        </is>
      </c>
      <c r="B123" s="1" t="n">
        <v>43840</v>
      </c>
      <c r="C123" s="1" t="n">
        <v>45352</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1287-2020</t>
        </is>
      </c>
      <c r="B124" s="1" t="n">
        <v>43842</v>
      </c>
      <c r="C124" s="1" t="n">
        <v>45352</v>
      </c>
      <c r="D124" t="inlineStr">
        <is>
          <t>DALARNAS LÄN</t>
        </is>
      </c>
      <c r="E124" t="inlineStr">
        <is>
          <t>SMEDJEBACKEN</t>
        </is>
      </c>
      <c r="G124" t="n">
        <v>1.3</v>
      </c>
      <c r="H124" t="n">
        <v>0</v>
      </c>
      <c r="I124" t="n">
        <v>0</v>
      </c>
      <c r="J124" t="n">
        <v>0</v>
      </c>
      <c r="K124" t="n">
        <v>0</v>
      </c>
      <c r="L124" t="n">
        <v>0</v>
      </c>
      <c r="M124" t="n">
        <v>0</v>
      </c>
      <c r="N124" t="n">
        <v>0</v>
      </c>
      <c r="O124" t="n">
        <v>0</v>
      </c>
      <c r="P124" t="n">
        <v>0</v>
      </c>
      <c r="Q124" t="n">
        <v>0</v>
      </c>
      <c r="R124" s="2" t="inlineStr"/>
    </row>
    <row r="125" ht="15" customHeight="1">
      <c r="A125" t="inlineStr">
        <is>
          <t>A 1470-2020</t>
        </is>
      </c>
      <c r="B125" s="1" t="n">
        <v>43843</v>
      </c>
      <c r="C125" s="1" t="n">
        <v>45352</v>
      </c>
      <c r="D125" t="inlineStr">
        <is>
          <t>DALARNAS LÄN</t>
        </is>
      </c>
      <c r="E125" t="inlineStr">
        <is>
          <t>SMEDJEBACKEN</t>
        </is>
      </c>
      <c r="G125" t="n">
        <v>4</v>
      </c>
      <c r="H125" t="n">
        <v>0</v>
      </c>
      <c r="I125" t="n">
        <v>0</v>
      </c>
      <c r="J125" t="n">
        <v>0</v>
      </c>
      <c r="K125" t="n">
        <v>0</v>
      </c>
      <c r="L125" t="n">
        <v>0</v>
      </c>
      <c r="M125" t="n">
        <v>0</v>
      </c>
      <c r="N125" t="n">
        <v>0</v>
      </c>
      <c r="O125" t="n">
        <v>0</v>
      </c>
      <c r="P125" t="n">
        <v>0</v>
      </c>
      <c r="Q125" t="n">
        <v>0</v>
      </c>
      <c r="R125" s="2" t="inlineStr"/>
    </row>
    <row r="126" ht="15" customHeight="1">
      <c r="A126" t="inlineStr">
        <is>
          <t>A 1466-2020</t>
        </is>
      </c>
      <c r="B126" s="1" t="n">
        <v>43843</v>
      </c>
      <c r="C126" s="1" t="n">
        <v>45352</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2044-2020</t>
        </is>
      </c>
      <c r="B127" s="1" t="n">
        <v>43845</v>
      </c>
      <c r="C127" s="1" t="n">
        <v>45352</v>
      </c>
      <c r="D127" t="inlineStr">
        <is>
          <t>DALARNAS LÄN</t>
        </is>
      </c>
      <c r="E127" t="inlineStr">
        <is>
          <t>SMEDJEBACKEN</t>
        </is>
      </c>
      <c r="F127" t="inlineStr">
        <is>
          <t>Kyrkan</t>
        </is>
      </c>
      <c r="G127" t="n">
        <v>5.1</v>
      </c>
      <c r="H127" t="n">
        <v>0</v>
      </c>
      <c r="I127" t="n">
        <v>0</v>
      </c>
      <c r="J127" t="n">
        <v>0</v>
      </c>
      <c r="K127" t="n">
        <v>0</v>
      </c>
      <c r="L127" t="n">
        <v>0</v>
      </c>
      <c r="M127" t="n">
        <v>0</v>
      </c>
      <c r="N127" t="n">
        <v>0</v>
      </c>
      <c r="O127" t="n">
        <v>0</v>
      </c>
      <c r="P127" t="n">
        <v>0</v>
      </c>
      <c r="Q127" t="n">
        <v>0</v>
      </c>
      <c r="R127" s="2" t="inlineStr"/>
    </row>
    <row r="128" ht="15" customHeight="1">
      <c r="A128" t="inlineStr">
        <is>
          <t>A 4046-2020</t>
        </is>
      </c>
      <c r="B128" s="1" t="n">
        <v>43846</v>
      </c>
      <c r="C128" s="1" t="n">
        <v>45352</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2989-2020</t>
        </is>
      </c>
      <c r="B129" s="1" t="n">
        <v>43850</v>
      </c>
      <c r="C129" s="1" t="n">
        <v>45352</v>
      </c>
      <c r="D129" t="inlineStr">
        <is>
          <t>DALARNAS LÄN</t>
        </is>
      </c>
      <c r="E129" t="inlineStr">
        <is>
          <t>SMEDJEBACKEN</t>
        </is>
      </c>
      <c r="G129" t="n">
        <v>0.6</v>
      </c>
      <c r="H129" t="n">
        <v>0</v>
      </c>
      <c r="I129" t="n">
        <v>0</v>
      </c>
      <c r="J129" t="n">
        <v>0</v>
      </c>
      <c r="K129" t="n">
        <v>0</v>
      </c>
      <c r="L129" t="n">
        <v>0</v>
      </c>
      <c r="M129" t="n">
        <v>0</v>
      </c>
      <c r="N129" t="n">
        <v>0</v>
      </c>
      <c r="O129" t="n">
        <v>0</v>
      </c>
      <c r="P129" t="n">
        <v>0</v>
      </c>
      <c r="Q129" t="n">
        <v>0</v>
      </c>
      <c r="R129" s="2" t="inlineStr"/>
    </row>
    <row r="130" ht="15" customHeight="1">
      <c r="A130" t="inlineStr">
        <is>
          <t>A 3219-2020</t>
        </is>
      </c>
      <c r="B130" s="1" t="n">
        <v>43851</v>
      </c>
      <c r="C130" s="1" t="n">
        <v>45352</v>
      </c>
      <c r="D130" t="inlineStr">
        <is>
          <t>DALARNAS LÄN</t>
        </is>
      </c>
      <c r="E130" t="inlineStr">
        <is>
          <t>SMEDJEBACKEN</t>
        </is>
      </c>
      <c r="G130" t="n">
        <v>7.2</v>
      </c>
      <c r="H130" t="n">
        <v>0</v>
      </c>
      <c r="I130" t="n">
        <v>0</v>
      </c>
      <c r="J130" t="n">
        <v>0</v>
      </c>
      <c r="K130" t="n">
        <v>0</v>
      </c>
      <c r="L130" t="n">
        <v>0</v>
      </c>
      <c r="M130" t="n">
        <v>0</v>
      </c>
      <c r="N130" t="n">
        <v>0</v>
      </c>
      <c r="O130" t="n">
        <v>0</v>
      </c>
      <c r="P130" t="n">
        <v>0</v>
      </c>
      <c r="Q130" t="n">
        <v>0</v>
      </c>
      <c r="R130" s="2" t="inlineStr"/>
    </row>
    <row r="131" ht="15" customHeight="1">
      <c r="A131" t="inlineStr">
        <is>
          <t>A 3601-2020</t>
        </is>
      </c>
      <c r="B131" s="1" t="n">
        <v>43853</v>
      </c>
      <c r="C131" s="1" t="n">
        <v>45352</v>
      </c>
      <c r="D131" t="inlineStr">
        <is>
          <t>DALARNAS LÄN</t>
        </is>
      </c>
      <c r="E131" t="inlineStr">
        <is>
          <t>SMEDJEBACKEN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5227-2020</t>
        </is>
      </c>
      <c r="B132" s="1" t="n">
        <v>43854</v>
      </c>
      <c r="C132" s="1" t="n">
        <v>45352</v>
      </c>
      <c r="D132" t="inlineStr">
        <is>
          <t>DALARNAS LÄN</t>
        </is>
      </c>
      <c r="E132" t="inlineStr">
        <is>
          <t>SMEDJEBACKEN</t>
        </is>
      </c>
      <c r="G132" t="n">
        <v>1.6</v>
      </c>
      <c r="H132" t="n">
        <v>0</v>
      </c>
      <c r="I132" t="n">
        <v>0</v>
      </c>
      <c r="J132" t="n">
        <v>0</v>
      </c>
      <c r="K132" t="n">
        <v>0</v>
      </c>
      <c r="L132" t="n">
        <v>0</v>
      </c>
      <c r="M132" t="n">
        <v>0</v>
      </c>
      <c r="N132" t="n">
        <v>0</v>
      </c>
      <c r="O132" t="n">
        <v>0</v>
      </c>
      <c r="P132" t="n">
        <v>0</v>
      </c>
      <c r="Q132" t="n">
        <v>0</v>
      </c>
      <c r="R132" s="2" t="inlineStr"/>
    </row>
    <row r="133" ht="15" customHeight="1">
      <c r="A133" t="inlineStr">
        <is>
          <t>A 5959-2020</t>
        </is>
      </c>
      <c r="B133" s="1" t="n">
        <v>43864</v>
      </c>
      <c r="C133" s="1" t="n">
        <v>45352</v>
      </c>
      <c r="D133" t="inlineStr">
        <is>
          <t>DALARNAS LÄN</t>
        </is>
      </c>
      <c r="E133" t="inlineStr">
        <is>
          <t>SMEDJEBACKEN</t>
        </is>
      </c>
      <c r="G133" t="n">
        <v>2.2</v>
      </c>
      <c r="H133" t="n">
        <v>0</v>
      </c>
      <c r="I133" t="n">
        <v>0</v>
      </c>
      <c r="J133" t="n">
        <v>0</v>
      </c>
      <c r="K133" t="n">
        <v>0</v>
      </c>
      <c r="L133" t="n">
        <v>0</v>
      </c>
      <c r="M133" t="n">
        <v>0</v>
      </c>
      <c r="N133" t="n">
        <v>0</v>
      </c>
      <c r="O133" t="n">
        <v>0</v>
      </c>
      <c r="P133" t="n">
        <v>0</v>
      </c>
      <c r="Q133" t="n">
        <v>0</v>
      </c>
      <c r="R133" s="2" t="inlineStr"/>
    </row>
    <row r="134" ht="15" customHeight="1">
      <c r="A134" t="inlineStr">
        <is>
          <t>A 6312-2020</t>
        </is>
      </c>
      <c r="B134" s="1" t="n">
        <v>43866</v>
      </c>
      <c r="C134" s="1" t="n">
        <v>45352</v>
      </c>
      <c r="D134" t="inlineStr">
        <is>
          <t>DALARNAS LÄN</t>
        </is>
      </c>
      <c r="E134" t="inlineStr">
        <is>
          <t>SMEDJEBACKEN</t>
        </is>
      </c>
      <c r="G134" t="n">
        <v>6.7</v>
      </c>
      <c r="H134" t="n">
        <v>0</v>
      </c>
      <c r="I134" t="n">
        <v>0</v>
      </c>
      <c r="J134" t="n">
        <v>0</v>
      </c>
      <c r="K134" t="n">
        <v>0</v>
      </c>
      <c r="L134" t="n">
        <v>0</v>
      </c>
      <c r="M134" t="n">
        <v>0</v>
      </c>
      <c r="N134" t="n">
        <v>0</v>
      </c>
      <c r="O134" t="n">
        <v>0</v>
      </c>
      <c r="P134" t="n">
        <v>0</v>
      </c>
      <c r="Q134" t="n">
        <v>0</v>
      </c>
      <c r="R134" s="2" t="inlineStr"/>
    </row>
    <row r="135" ht="15" customHeight="1">
      <c r="A135" t="inlineStr">
        <is>
          <t>A 7721-2020</t>
        </is>
      </c>
      <c r="B135" s="1" t="n">
        <v>43872</v>
      </c>
      <c r="C135" s="1" t="n">
        <v>45352</v>
      </c>
      <c r="D135" t="inlineStr">
        <is>
          <t>DALARNAS LÄN</t>
        </is>
      </c>
      <c r="E135" t="inlineStr">
        <is>
          <t>SMEDJEBACKEN</t>
        </is>
      </c>
      <c r="G135" t="n">
        <v>1</v>
      </c>
      <c r="H135" t="n">
        <v>0</v>
      </c>
      <c r="I135" t="n">
        <v>0</v>
      </c>
      <c r="J135" t="n">
        <v>0</v>
      </c>
      <c r="K135" t="n">
        <v>0</v>
      </c>
      <c r="L135" t="n">
        <v>0</v>
      </c>
      <c r="M135" t="n">
        <v>0</v>
      </c>
      <c r="N135" t="n">
        <v>0</v>
      </c>
      <c r="O135" t="n">
        <v>0</v>
      </c>
      <c r="P135" t="n">
        <v>0</v>
      </c>
      <c r="Q135" t="n">
        <v>0</v>
      </c>
      <c r="R135" s="2" t="inlineStr"/>
    </row>
    <row r="136" ht="15" customHeight="1">
      <c r="A136" t="inlineStr">
        <is>
          <t>A 9950-2020</t>
        </is>
      </c>
      <c r="B136" s="1" t="n">
        <v>43882</v>
      </c>
      <c r="C136" s="1" t="n">
        <v>45352</v>
      </c>
      <c r="D136" t="inlineStr">
        <is>
          <t>DALARNAS LÄN</t>
        </is>
      </c>
      <c r="E136" t="inlineStr">
        <is>
          <t>SMEDJEBACKEN</t>
        </is>
      </c>
      <c r="G136" t="n">
        <v>3.4</v>
      </c>
      <c r="H136" t="n">
        <v>0</v>
      </c>
      <c r="I136" t="n">
        <v>0</v>
      </c>
      <c r="J136" t="n">
        <v>0</v>
      </c>
      <c r="K136" t="n">
        <v>0</v>
      </c>
      <c r="L136" t="n">
        <v>0</v>
      </c>
      <c r="M136" t="n">
        <v>0</v>
      </c>
      <c r="N136" t="n">
        <v>0</v>
      </c>
      <c r="O136" t="n">
        <v>0</v>
      </c>
      <c r="P136" t="n">
        <v>0</v>
      </c>
      <c r="Q136" t="n">
        <v>0</v>
      </c>
      <c r="R136" s="2" t="inlineStr"/>
    </row>
    <row r="137" ht="15" customHeight="1">
      <c r="A137" t="inlineStr">
        <is>
          <t>A 10716-2020</t>
        </is>
      </c>
      <c r="B137" s="1" t="n">
        <v>43885</v>
      </c>
      <c r="C137" s="1" t="n">
        <v>45352</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11304-2020</t>
        </is>
      </c>
      <c r="B138" s="1" t="n">
        <v>43886</v>
      </c>
      <c r="C138" s="1" t="n">
        <v>45352</v>
      </c>
      <c r="D138" t="inlineStr">
        <is>
          <t>DALARNAS LÄN</t>
        </is>
      </c>
      <c r="E138" t="inlineStr">
        <is>
          <t>SMEDJEBACKEN</t>
        </is>
      </c>
      <c r="G138" t="n">
        <v>1.8</v>
      </c>
      <c r="H138" t="n">
        <v>0</v>
      </c>
      <c r="I138" t="n">
        <v>0</v>
      </c>
      <c r="J138" t="n">
        <v>0</v>
      </c>
      <c r="K138" t="n">
        <v>0</v>
      </c>
      <c r="L138" t="n">
        <v>0</v>
      </c>
      <c r="M138" t="n">
        <v>0</v>
      </c>
      <c r="N138" t="n">
        <v>0</v>
      </c>
      <c r="O138" t="n">
        <v>0</v>
      </c>
      <c r="P138" t="n">
        <v>0</v>
      </c>
      <c r="Q138" t="n">
        <v>0</v>
      </c>
      <c r="R138" s="2" t="inlineStr"/>
    </row>
    <row r="139" ht="15" customHeight="1">
      <c r="A139" t="inlineStr">
        <is>
          <t>A 10582-2020</t>
        </is>
      </c>
      <c r="B139" s="1" t="n">
        <v>43887</v>
      </c>
      <c r="C139" s="1" t="n">
        <v>45352</v>
      </c>
      <c r="D139" t="inlineStr">
        <is>
          <t>DALARNAS LÄN</t>
        </is>
      </c>
      <c r="E139" t="inlineStr">
        <is>
          <t>SMEDJEBACKEN</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10104-2020</t>
        </is>
      </c>
      <c r="B140" s="1" t="n">
        <v>43887</v>
      </c>
      <c r="C140" s="1" t="n">
        <v>45352</v>
      </c>
      <c r="D140" t="inlineStr">
        <is>
          <t>DALARNAS LÄN</t>
        </is>
      </c>
      <c r="E140" t="inlineStr">
        <is>
          <t>SMEDJEBACKEN</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10605-2020</t>
        </is>
      </c>
      <c r="B141" s="1" t="n">
        <v>43887</v>
      </c>
      <c r="C141" s="1" t="n">
        <v>45352</v>
      </c>
      <c r="D141" t="inlineStr">
        <is>
          <t>DALARNAS LÄN</t>
        </is>
      </c>
      <c r="E141" t="inlineStr">
        <is>
          <t>SMEDJEBACKEN</t>
        </is>
      </c>
      <c r="G141" t="n">
        <v>0.6</v>
      </c>
      <c r="H141" t="n">
        <v>0</v>
      </c>
      <c r="I141" t="n">
        <v>0</v>
      </c>
      <c r="J141" t="n">
        <v>0</v>
      </c>
      <c r="K141" t="n">
        <v>0</v>
      </c>
      <c r="L141" t="n">
        <v>0</v>
      </c>
      <c r="M141" t="n">
        <v>0</v>
      </c>
      <c r="N141" t="n">
        <v>0</v>
      </c>
      <c r="O141" t="n">
        <v>0</v>
      </c>
      <c r="P141" t="n">
        <v>0</v>
      </c>
      <c r="Q141" t="n">
        <v>0</v>
      </c>
      <c r="R141" s="2" t="inlineStr"/>
    </row>
    <row r="142" ht="15" customHeight="1">
      <c r="A142" t="inlineStr">
        <is>
          <t>A 10562-2020</t>
        </is>
      </c>
      <c r="B142" s="1" t="n">
        <v>43887</v>
      </c>
      <c r="C142" s="1" t="n">
        <v>45352</v>
      </c>
      <c r="D142" t="inlineStr">
        <is>
          <t>DALARNAS LÄN</t>
        </is>
      </c>
      <c r="E142" t="inlineStr">
        <is>
          <t>SMEDJEBACKEN</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10772-2020</t>
        </is>
      </c>
      <c r="B143" s="1" t="n">
        <v>43888</v>
      </c>
      <c r="C143" s="1" t="n">
        <v>45352</v>
      </c>
      <c r="D143" t="inlineStr">
        <is>
          <t>DALARNAS LÄN</t>
        </is>
      </c>
      <c r="E143" t="inlineStr">
        <is>
          <t>SMEDJEBACKEN</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12381-2020</t>
        </is>
      </c>
      <c r="B144" s="1" t="n">
        <v>43896</v>
      </c>
      <c r="C144" s="1" t="n">
        <v>45352</v>
      </c>
      <c r="D144" t="inlineStr">
        <is>
          <t>DALARNAS LÄN</t>
        </is>
      </c>
      <c r="E144" t="inlineStr">
        <is>
          <t>SMEDJEBACKEN</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14636-2020</t>
        </is>
      </c>
      <c r="B145" s="1" t="n">
        <v>43902</v>
      </c>
      <c r="C145" s="1" t="n">
        <v>45352</v>
      </c>
      <c r="D145" t="inlineStr">
        <is>
          <t>DALARNAS LÄN</t>
        </is>
      </c>
      <c r="E145" t="inlineStr">
        <is>
          <t>SMEDJEBACKEN</t>
        </is>
      </c>
      <c r="G145" t="n">
        <v>9.6</v>
      </c>
      <c r="H145" t="n">
        <v>0</v>
      </c>
      <c r="I145" t="n">
        <v>0</v>
      </c>
      <c r="J145" t="n">
        <v>0</v>
      </c>
      <c r="K145" t="n">
        <v>0</v>
      </c>
      <c r="L145" t="n">
        <v>0</v>
      </c>
      <c r="M145" t="n">
        <v>0</v>
      </c>
      <c r="N145" t="n">
        <v>0</v>
      </c>
      <c r="O145" t="n">
        <v>0</v>
      </c>
      <c r="P145" t="n">
        <v>0</v>
      </c>
      <c r="Q145" t="n">
        <v>0</v>
      </c>
      <c r="R145" s="2" t="inlineStr"/>
    </row>
    <row r="146" ht="15" customHeight="1">
      <c r="A146" t="inlineStr">
        <is>
          <t>A 15772-2020</t>
        </is>
      </c>
      <c r="B146" s="1" t="n">
        <v>43915</v>
      </c>
      <c r="C146" s="1" t="n">
        <v>45352</v>
      </c>
      <c r="D146" t="inlineStr">
        <is>
          <t>DALARNAS LÄN</t>
        </is>
      </c>
      <c r="E146" t="inlineStr">
        <is>
          <t>SMEDJEBACKEN</t>
        </is>
      </c>
      <c r="G146" t="n">
        <v>1.2</v>
      </c>
      <c r="H146" t="n">
        <v>0</v>
      </c>
      <c r="I146" t="n">
        <v>0</v>
      </c>
      <c r="J146" t="n">
        <v>0</v>
      </c>
      <c r="K146" t="n">
        <v>0</v>
      </c>
      <c r="L146" t="n">
        <v>0</v>
      </c>
      <c r="M146" t="n">
        <v>0</v>
      </c>
      <c r="N146" t="n">
        <v>0</v>
      </c>
      <c r="O146" t="n">
        <v>0</v>
      </c>
      <c r="P146" t="n">
        <v>0</v>
      </c>
      <c r="Q146" t="n">
        <v>0</v>
      </c>
      <c r="R146" s="2" t="inlineStr"/>
    </row>
    <row r="147" ht="15" customHeight="1">
      <c r="A147" t="inlineStr">
        <is>
          <t>A 15668-2020</t>
        </is>
      </c>
      <c r="B147" s="1" t="n">
        <v>43915</v>
      </c>
      <c r="C147" s="1" t="n">
        <v>45352</v>
      </c>
      <c r="D147" t="inlineStr">
        <is>
          <t>DALARNAS LÄN</t>
        </is>
      </c>
      <c r="E147" t="inlineStr">
        <is>
          <t>SMEDJEBACKEN</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16415-2020</t>
        </is>
      </c>
      <c r="B148" s="1" t="n">
        <v>43919</v>
      </c>
      <c r="C148" s="1" t="n">
        <v>45352</v>
      </c>
      <c r="D148" t="inlineStr">
        <is>
          <t>DALARNAS LÄN</t>
        </is>
      </c>
      <c r="E148" t="inlineStr">
        <is>
          <t>SMEDJEBACKEN</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16614-2020</t>
        </is>
      </c>
      <c r="B149" s="1" t="n">
        <v>43920</v>
      </c>
      <c r="C149" s="1" t="n">
        <v>45352</v>
      </c>
      <c r="D149" t="inlineStr">
        <is>
          <t>DALARNAS LÄN</t>
        </is>
      </c>
      <c r="E149" t="inlineStr">
        <is>
          <t>SMEDJEBACKEN</t>
        </is>
      </c>
      <c r="F149" t="inlineStr">
        <is>
          <t>Övriga Aktiebolag</t>
        </is>
      </c>
      <c r="G149" t="n">
        <v>7.7</v>
      </c>
      <c r="H149" t="n">
        <v>0</v>
      </c>
      <c r="I149" t="n">
        <v>0</v>
      </c>
      <c r="J149" t="n">
        <v>0</v>
      </c>
      <c r="K149" t="n">
        <v>0</v>
      </c>
      <c r="L149" t="n">
        <v>0</v>
      </c>
      <c r="M149" t="n">
        <v>0</v>
      </c>
      <c r="N149" t="n">
        <v>0</v>
      </c>
      <c r="O149" t="n">
        <v>0</v>
      </c>
      <c r="P149" t="n">
        <v>0</v>
      </c>
      <c r="Q149" t="n">
        <v>0</v>
      </c>
      <c r="R149" s="2" t="inlineStr"/>
    </row>
    <row r="150" ht="15" customHeight="1">
      <c r="A150" t="inlineStr">
        <is>
          <t>A 16861-2020</t>
        </is>
      </c>
      <c r="B150" s="1" t="n">
        <v>43921</v>
      </c>
      <c r="C150" s="1" t="n">
        <v>45352</v>
      </c>
      <c r="D150" t="inlineStr">
        <is>
          <t>DALARNAS LÄN</t>
        </is>
      </c>
      <c r="E150" t="inlineStr">
        <is>
          <t>SMEDJEBACKEN</t>
        </is>
      </c>
      <c r="F150" t="inlineStr">
        <is>
          <t>Övriga Aktiebolag</t>
        </is>
      </c>
      <c r="G150" t="n">
        <v>3.6</v>
      </c>
      <c r="H150" t="n">
        <v>0</v>
      </c>
      <c r="I150" t="n">
        <v>0</v>
      </c>
      <c r="J150" t="n">
        <v>0</v>
      </c>
      <c r="K150" t="n">
        <v>0</v>
      </c>
      <c r="L150" t="n">
        <v>0</v>
      </c>
      <c r="M150" t="n">
        <v>0</v>
      </c>
      <c r="N150" t="n">
        <v>0</v>
      </c>
      <c r="O150" t="n">
        <v>0</v>
      </c>
      <c r="P150" t="n">
        <v>0</v>
      </c>
      <c r="Q150" t="n">
        <v>0</v>
      </c>
      <c r="R150" s="2" t="inlineStr"/>
    </row>
    <row r="151" ht="15" customHeight="1">
      <c r="A151" t="inlineStr">
        <is>
          <t>A 17031-2020</t>
        </is>
      </c>
      <c r="B151" s="1" t="n">
        <v>43921</v>
      </c>
      <c r="C151" s="1" t="n">
        <v>45352</v>
      </c>
      <c r="D151" t="inlineStr">
        <is>
          <t>DALARNAS LÄN</t>
        </is>
      </c>
      <c r="E151" t="inlineStr">
        <is>
          <t>SMEDJEBACKEN</t>
        </is>
      </c>
      <c r="G151" t="n">
        <v>0.8</v>
      </c>
      <c r="H151" t="n">
        <v>0</v>
      </c>
      <c r="I151" t="n">
        <v>0</v>
      </c>
      <c r="J151" t="n">
        <v>0</v>
      </c>
      <c r="K151" t="n">
        <v>0</v>
      </c>
      <c r="L151" t="n">
        <v>0</v>
      </c>
      <c r="M151" t="n">
        <v>0</v>
      </c>
      <c r="N151" t="n">
        <v>0</v>
      </c>
      <c r="O151" t="n">
        <v>0</v>
      </c>
      <c r="P151" t="n">
        <v>0</v>
      </c>
      <c r="Q151" t="n">
        <v>0</v>
      </c>
      <c r="R151" s="2" t="inlineStr"/>
    </row>
    <row r="152" ht="15" customHeight="1">
      <c r="A152" t="inlineStr">
        <is>
          <t>A 18065-2020</t>
        </is>
      </c>
      <c r="B152" s="1" t="n">
        <v>43927</v>
      </c>
      <c r="C152" s="1" t="n">
        <v>45352</v>
      </c>
      <c r="D152" t="inlineStr">
        <is>
          <t>DALARNAS LÄN</t>
        </is>
      </c>
      <c r="E152" t="inlineStr">
        <is>
          <t>SMEDJEBACKEN</t>
        </is>
      </c>
      <c r="G152" t="n">
        <v>2.6</v>
      </c>
      <c r="H152" t="n">
        <v>0</v>
      </c>
      <c r="I152" t="n">
        <v>0</v>
      </c>
      <c r="J152" t="n">
        <v>0</v>
      </c>
      <c r="K152" t="n">
        <v>0</v>
      </c>
      <c r="L152" t="n">
        <v>0</v>
      </c>
      <c r="M152" t="n">
        <v>0</v>
      </c>
      <c r="N152" t="n">
        <v>0</v>
      </c>
      <c r="O152" t="n">
        <v>0</v>
      </c>
      <c r="P152" t="n">
        <v>0</v>
      </c>
      <c r="Q152" t="n">
        <v>0</v>
      </c>
      <c r="R152" s="2" t="inlineStr"/>
    </row>
    <row r="153" ht="15" customHeight="1">
      <c r="A153" t="inlineStr">
        <is>
          <t>A 18068-2020</t>
        </is>
      </c>
      <c r="B153" s="1" t="n">
        <v>43927</v>
      </c>
      <c r="C153" s="1" t="n">
        <v>45352</v>
      </c>
      <c r="D153" t="inlineStr">
        <is>
          <t>DALARNAS LÄN</t>
        </is>
      </c>
      <c r="E153" t="inlineStr">
        <is>
          <t>SMEDJEBACKEN</t>
        </is>
      </c>
      <c r="G153" t="n">
        <v>3.5</v>
      </c>
      <c r="H153" t="n">
        <v>0</v>
      </c>
      <c r="I153" t="n">
        <v>0</v>
      </c>
      <c r="J153" t="n">
        <v>0</v>
      </c>
      <c r="K153" t="n">
        <v>0</v>
      </c>
      <c r="L153" t="n">
        <v>0</v>
      </c>
      <c r="M153" t="n">
        <v>0</v>
      </c>
      <c r="N153" t="n">
        <v>0</v>
      </c>
      <c r="O153" t="n">
        <v>0</v>
      </c>
      <c r="P153" t="n">
        <v>0</v>
      </c>
      <c r="Q153" t="n">
        <v>0</v>
      </c>
      <c r="R153" s="2" t="inlineStr"/>
    </row>
    <row r="154" ht="15" customHeight="1">
      <c r="A154" t="inlineStr">
        <is>
          <t>A 18500-2020</t>
        </is>
      </c>
      <c r="B154" s="1" t="n">
        <v>43929</v>
      </c>
      <c r="C154" s="1" t="n">
        <v>45352</v>
      </c>
      <c r="D154" t="inlineStr">
        <is>
          <t>DALARNAS LÄN</t>
        </is>
      </c>
      <c r="E154" t="inlineStr">
        <is>
          <t>SMEDJEBACKEN</t>
        </is>
      </c>
      <c r="G154" t="n">
        <v>4.3</v>
      </c>
      <c r="H154" t="n">
        <v>0</v>
      </c>
      <c r="I154" t="n">
        <v>0</v>
      </c>
      <c r="J154" t="n">
        <v>0</v>
      </c>
      <c r="K154" t="n">
        <v>0</v>
      </c>
      <c r="L154" t="n">
        <v>0</v>
      </c>
      <c r="M154" t="n">
        <v>0</v>
      </c>
      <c r="N154" t="n">
        <v>0</v>
      </c>
      <c r="O154" t="n">
        <v>0</v>
      </c>
      <c r="P154" t="n">
        <v>0</v>
      </c>
      <c r="Q154" t="n">
        <v>0</v>
      </c>
      <c r="R154" s="2" t="inlineStr"/>
    </row>
    <row r="155" ht="15" customHeight="1">
      <c r="A155" t="inlineStr">
        <is>
          <t>A 19633-2020</t>
        </is>
      </c>
      <c r="B155" s="1" t="n">
        <v>43941</v>
      </c>
      <c r="C155" s="1" t="n">
        <v>45352</v>
      </c>
      <c r="D155" t="inlineStr">
        <is>
          <t>DALARNAS LÄN</t>
        </is>
      </c>
      <c r="E155" t="inlineStr">
        <is>
          <t>SMEDJEBACKEN</t>
        </is>
      </c>
      <c r="F155" t="inlineStr">
        <is>
          <t>Övriga Aktiebolag</t>
        </is>
      </c>
      <c r="G155" t="n">
        <v>6.6</v>
      </c>
      <c r="H155" t="n">
        <v>0</v>
      </c>
      <c r="I155" t="n">
        <v>0</v>
      </c>
      <c r="J155" t="n">
        <v>0</v>
      </c>
      <c r="K155" t="n">
        <v>0</v>
      </c>
      <c r="L155" t="n">
        <v>0</v>
      </c>
      <c r="M155" t="n">
        <v>0</v>
      </c>
      <c r="N155" t="n">
        <v>0</v>
      </c>
      <c r="O155" t="n">
        <v>0</v>
      </c>
      <c r="P155" t="n">
        <v>0</v>
      </c>
      <c r="Q155" t="n">
        <v>0</v>
      </c>
      <c r="R155" s="2" t="inlineStr"/>
    </row>
    <row r="156" ht="15" customHeight="1">
      <c r="A156" t="inlineStr">
        <is>
          <t>A 19850-2020</t>
        </is>
      </c>
      <c r="B156" s="1" t="n">
        <v>43942</v>
      </c>
      <c r="C156" s="1" t="n">
        <v>45352</v>
      </c>
      <c r="D156" t="inlineStr">
        <is>
          <t>DALARNAS LÄN</t>
        </is>
      </c>
      <c r="E156" t="inlineStr">
        <is>
          <t>SMEDJEBACKEN</t>
        </is>
      </c>
      <c r="G156" t="n">
        <v>4.2</v>
      </c>
      <c r="H156" t="n">
        <v>0</v>
      </c>
      <c r="I156" t="n">
        <v>0</v>
      </c>
      <c r="J156" t="n">
        <v>0</v>
      </c>
      <c r="K156" t="n">
        <v>0</v>
      </c>
      <c r="L156" t="n">
        <v>0</v>
      </c>
      <c r="M156" t="n">
        <v>0</v>
      </c>
      <c r="N156" t="n">
        <v>0</v>
      </c>
      <c r="O156" t="n">
        <v>0</v>
      </c>
      <c r="P156" t="n">
        <v>0</v>
      </c>
      <c r="Q156" t="n">
        <v>0</v>
      </c>
      <c r="R156" s="2" t="inlineStr"/>
    </row>
    <row r="157" ht="15" customHeight="1">
      <c r="A157" t="inlineStr">
        <is>
          <t>A 24298-2020</t>
        </is>
      </c>
      <c r="B157" s="1" t="n">
        <v>43976</v>
      </c>
      <c r="C157" s="1" t="n">
        <v>45352</v>
      </c>
      <c r="D157" t="inlineStr">
        <is>
          <t>DALARNAS LÄN</t>
        </is>
      </c>
      <c r="E157" t="inlineStr">
        <is>
          <t>SMEDJEBACKEN</t>
        </is>
      </c>
      <c r="G157" t="n">
        <v>1.1</v>
      </c>
      <c r="H157" t="n">
        <v>0</v>
      </c>
      <c r="I157" t="n">
        <v>0</v>
      </c>
      <c r="J157" t="n">
        <v>0</v>
      </c>
      <c r="K157" t="n">
        <v>0</v>
      </c>
      <c r="L157" t="n">
        <v>0</v>
      </c>
      <c r="M157" t="n">
        <v>0</v>
      </c>
      <c r="N157" t="n">
        <v>0</v>
      </c>
      <c r="O157" t="n">
        <v>0</v>
      </c>
      <c r="P157" t="n">
        <v>0</v>
      </c>
      <c r="Q157" t="n">
        <v>0</v>
      </c>
      <c r="R157" s="2" t="inlineStr"/>
    </row>
    <row r="158" ht="15" customHeight="1">
      <c r="A158" t="inlineStr">
        <is>
          <t>A 24517-2020</t>
        </is>
      </c>
      <c r="B158" s="1" t="n">
        <v>43977</v>
      </c>
      <c r="C158" s="1" t="n">
        <v>45352</v>
      </c>
      <c r="D158" t="inlineStr">
        <is>
          <t>DALARNAS LÄN</t>
        </is>
      </c>
      <c r="E158" t="inlineStr">
        <is>
          <t>SMEDJEBACKEN</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24911-2020</t>
        </is>
      </c>
      <c r="B159" s="1" t="n">
        <v>43979</v>
      </c>
      <c r="C159" s="1" t="n">
        <v>45352</v>
      </c>
      <c r="D159" t="inlineStr">
        <is>
          <t>DALARNAS LÄN</t>
        </is>
      </c>
      <c r="E159" t="inlineStr">
        <is>
          <t>SMEDJEBACKEN</t>
        </is>
      </c>
      <c r="G159" t="n">
        <v>1.7</v>
      </c>
      <c r="H159" t="n">
        <v>0</v>
      </c>
      <c r="I159" t="n">
        <v>0</v>
      </c>
      <c r="J159" t="n">
        <v>0</v>
      </c>
      <c r="K159" t="n">
        <v>0</v>
      </c>
      <c r="L159" t="n">
        <v>0</v>
      </c>
      <c r="M159" t="n">
        <v>0</v>
      </c>
      <c r="N159" t="n">
        <v>0</v>
      </c>
      <c r="O159" t="n">
        <v>0</v>
      </c>
      <c r="P159" t="n">
        <v>0</v>
      </c>
      <c r="Q159" t="n">
        <v>0</v>
      </c>
      <c r="R159" s="2" t="inlineStr"/>
    </row>
    <row r="160" ht="15" customHeight="1">
      <c r="A160" t="inlineStr">
        <is>
          <t>A 25875-2020</t>
        </is>
      </c>
      <c r="B160" s="1" t="n">
        <v>43984</v>
      </c>
      <c r="C160" s="1" t="n">
        <v>45352</v>
      </c>
      <c r="D160" t="inlineStr">
        <is>
          <t>DALARNAS LÄN</t>
        </is>
      </c>
      <c r="E160" t="inlineStr">
        <is>
          <t>SMEDJEBACKEN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25878-2020</t>
        </is>
      </c>
      <c r="B161" s="1" t="n">
        <v>43984</v>
      </c>
      <c r="C161" s="1" t="n">
        <v>45352</v>
      </c>
      <c r="D161" t="inlineStr">
        <is>
          <t>DALARNAS LÄN</t>
        </is>
      </c>
      <c r="E161" t="inlineStr">
        <is>
          <t>SMEDJEBACKEN</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26309-2020</t>
        </is>
      </c>
      <c r="B162" s="1" t="n">
        <v>43986</v>
      </c>
      <c r="C162" s="1" t="n">
        <v>45352</v>
      </c>
      <c r="D162" t="inlineStr">
        <is>
          <t>DALARNAS LÄN</t>
        </is>
      </c>
      <c r="E162" t="inlineStr">
        <is>
          <t>SMEDJEBACKEN</t>
        </is>
      </c>
      <c r="G162" t="n">
        <v>0.7</v>
      </c>
      <c r="H162" t="n">
        <v>0</v>
      </c>
      <c r="I162" t="n">
        <v>0</v>
      </c>
      <c r="J162" t="n">
        <v>0</v>
      </c>
      <c r="K162" t="n">
        <v>0</v>
      </c>
      <c r="L162" t="n">
        <v>0</v>
      </c>
      <c r="M162" t="n">
        <v>0</v>
      </c>
      <c r="N162" t="n">
        <v>0</v>
      </c>
      <c r="O162" t="n">
        <v>0</v>
      </c>
      <c r="P162" t="n">
        <v>0</v>
      </c>
      <c r="Q162" t="n">
        <v>0</v>
      </c>
      <c r="R162" s="2" t="inlineStr"/>
    </row>
    <row r="163" ht="15" customHeight="1">
      <c r="A163" t="inlineStr">
        <is>
          <t>A 27961-2020</t>
        </is>
      </c>
      <c r="B163" s="1" t="n">
        <v>43997</v>
      </c>
      <c r="C163" s="1" t="n">
        <v>45352</v>
      </c>
      <c r="D163" t="inlineStr">
        <is>
          <t>DALARNAS LÄN</t>
        </is>
      </c>
      <c r="E163" t="inlineStr">
        <is>
          <t>SMEDJEBACKEN</t>
        </is>
      </c>
      <c r="G163" t="n">
        <v>0.6</v>
      </c>
      <c r="H163" t="n">
        <v>0</v>
      </c>
      <c r="I163" t="n">
        <v>0</v>
      </c>
      <c r="J163" t="n">
        <v>0</v>
      </c>
      <c r="K163" t="n">
        <v>0</v>
      </c>
      <c r="L163" t="n">
        <v>0</v>
      </c>
      <c r="M163" t="n">
        <v>0</v>
      </c>
      <c r="N163" t="n">
        <v>0</v>
      </c>
      <c r="O163" t="n">
        <v>0</v>
      </c>
      <c r="P163" t="n">
        <v>0</v>
      </c>
      <c r="Q163" t="n">
        <v>0</v>
      </c>
      <c r="R163" s="2" t="inlineStr"/>
    </row>
    <row r="164" ht="15" customHeight="1">
      <c r="A164" t="inlineStr">
        <is>
          <t>A 28085-2020</t>
        </is>
      </c>
      <c r="B164" s="1" t="n">
        <v>43997</v>
      </c>
      <c r="C164" s="1" t="n">
        <v>45352</v>
      </c>
      <c r="D164" t="inlineStr">
        <is>
          <t>DALARNAS LÄN</t>
        </is>
      </c>
      <c r="E164" t="inlineStr">
        <is>
          <t>SMEDJEBACKEN</t>
        </is>
      </c>
      <c r="G164" t="n">
        <v>2.8</v>
      </c>
      <c r="H164" t="n">
        <v>0</v>
      </c>
      <c r="I164" t="n">
        <v>0</v>
      </c>
      <c r="J164" t="n">
        <v>0</v>
      </c>
      <c r="K164" t="n">
        <v>0</v>
      </c>
      <c r="L164" t="n">
        <v>0</v>
      </c>
      <c r="M164" t="n">
        <v>0</v>
      </c>
      <c r="N164" t="n">
        <v>0</v>
      </c>
      <c r="O164" t="n">
        <v>0</v>
      </c>
      <c r="P164" t="n">
        <v>0</v>
      </c>
      <c r="Q164" t="n">
        <v>0</v>
      </c>
      <c r="R164" s="2" t="inlineStr"/>
    </row>
    <row r="165" ht="15" customHeight="1">
      <c r="A165" t="inlineStr">
        <is>
          <t>A 28916-2020</t>
        </is>
      </c>
      <c r="B165" s="1" t="n">
        <v>44000</v>
      </c>
      <c r="C165" s="1" t="n">
        <v>45352</v>
      </c>
      <c r="D165" t="inlineStr">
        <is>
          <t>DALARNAS LÄN</t>
        </is>
      </c>
      <c r="E165" t="inlineStr">
        <is>
          <t>SMEDJEBACKEN</t>
        </is>
      </c>
      <c r="G165" t="n">
        <v>4.6</v>
      </c>
      <c r="H165" t="n">
        <v>0</v>
      </c>
      <c r="I165" t="n">
        <v>0</v>
      </c>
      <c r="J165" t="n">
        <v>0</v>
      </c>
      <c r="K165" t="n">
        <v>0</v>
      </c>
      <c r="L165" t="n">
        <v>0</v>
      </c>
      <c r="M165" t="n">
        <v>0</v>
      </c>
      <c r="N165" t="n">
        <v>0</v>
      </c>
      <c r="O165" t="n">
        <v>0</v>
      </c>
      <c r="P165" t="n">
        <v>0</v>
      </c>
      <c r="Q165" t="n">
        <v>0</v>
      </c>
      <c r="R165" s="2" t="inlineStr"/>
    </row>
    <row r="166" ht="15" customHeight="1">
      <c r="A166" t="inlineStr">
        <is>
          <t>A 30288-2020</t>
        </is>
      </c>
      <c r="B166" s="1" t="n">
        <v>44007</v>
      </c>
      <c r="C166" s="1" t="n">
        <v>45352</v>
      </c>
      <c r="D166" t="inlineStr">
        <is>
          <t>DALARNAS LÄN</t>
        </is>
      </c>
      <c r="E166" t="inlineStr">
        <is>
          <t>SMEDJEBACKEN</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30637-2020</t>
        </is>
      </c>
      <c r="B167" s="1" t="n">
        <v>44008</v>
      </c>
      <c r="C167" s="1" t="n">
        <v>45352</v>
      </c>
      <c r="D167" t="inlineStr">
        <is>
          <t>DALARNAS LÄN</t>
        </is>
      </c>
      <c r="E167" t="inlineStr">
        <is>
          <t>SMEDJEBACKEN</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32177-2020</t>
        </is>
      </c>
      <c r="B168" s="1" t="n">
        <v>44015</v>
      </c>
      <c r="C168" s="1" t="n">
        <v>45352</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33655-2020</t>
        </is>
      </c>
      <c r="B169" s="1" t="n">
        <v>44026</v>
      </c>
      <c r="C169" s="1" t="n">
        <v>45352</v>
      </c>
      <c r="D169" t="inlineStr">
        <is>
          <t>DALARNAS LÄN</t>
        </is>
      </c>
      <c r="E169" t="inlineStr">
        <is>
          <t>SMEDJEBACKEN</t>
        </is>
      </c>
      <c r="F169" t="inlineStr">
        <is>
          <t>Kyrkan</t>
        </is>
      </c>
      <c r="G169" t="n">
        <v>7.7</v>
      </c>
      <c r="H169" t="n">
        <v>0</v>
      </c>
      <c r="I169" t="n">
        <v>0</v>
      </c>
      <c r="J169" t="n">
        <v>0</v>
      </c>
      <c r="K169" t="n">
        <v>0</v>
      </c>
      <c r="L169" t="n">
        <v>0</v>
      </c>
      <c r="M169" t="n">
        <v>0</v>
      </c>
      <c r="N169" t="n">
        <v>0</v>
      </c>
      <c r="O169" t="n">
        <v>0</v>
      </c>
      <c r="P169" t="n">
        <v>0</v>
      </c>
      <c r="Q169" t="n">
        <v>0</v>
      </c>
      <c r="R169" s="2" t="inlineStr"/>
    </row>
    <row r="170" ht="15" customHeight="1">
      <c r="A170" t="inlineStr">
        <is>
          <t>A 34618-2020</t>
        </is>
      </c>
      <c r="B170" s="1" t="n">
        <v>44034</v>
      </c>
      <c r="C170" s="1" t="n">
        <v>45352</v>
      </c>
      <c r="D170" t="inlineStr">
        <is>
          <t>DALARNAS LÄN</t>
        </is>
      </c>
      <c r="E170" t="inlineStr">
        <is>
          <t>SMEDJEBACKEN</t>
        </is>
      </c>
      <c r="G170" t="n">
        <v>1.8</v>
      </c>
      <c r="H170" t="n">
        <v>0</v>
      </c>
      <c r="I170" t="n">
        <v>0</v>
      </c>
      <c r="J170" t="n">
        <v>0</v>
      </c>
      <c r="K170" t="n">
        <v>0</v>
      </c>
      <c r="L170" t="n">
        <v>0</v>
      </c>
      <c r="M170" t="n">
        <v>0</v>
      </c>
      <c r="N170" t="n">
        <v>0</v>
      </c>
      <c r="O170" t="n">
        <v>0</v>
      </c>
      <c r="P170" t="n">
        <v>0</v>
      </c>
      <c r="Q170" t="n">
        <v>0</v>
      </c>
      <c r="R170" s="2" t="inlineStr"/>
    </row>
    <row r="171" ht="15" customHeight="1">
      <c r="A171" t="inlineStr">
        <is>
          <t>A 35961-2020</t>
        </is>
      </c>
      <c r="B171" s="1" t="n">
        <v>44047</v>
      </c>
      <c r="C171" s="1" t="n">
        <v>45352</v>
      </c>
      <c r="D171" t="inlineStr">
        <is>
          <t>DALARNAS LÄN</t>
        </is>
      </c>
      <c r="E171" t="inlineStr">
        <is>
          <t>SMEDJEBACKEN</t>
        </is>
      </c>
      <c r="G171" t="n">
        <v>1.3</v>
      </c>
      <c r="H171" t="n">
        <v>0</v>
      </c>
      <c r="I171" t="n">
        <v>0</v>
      </c>
      <c r="J171" t="n">
        <v>0</v>
      </c>
      <c r="K171" t="n">
        <v>0</v>
      </c>
      <c r="L171" t="n">
        <v>0</v>
      </c>
      <c r="M171" t="n">
        <v>0</v>
      </c>
      <c r="N171" t="n">
        <v>0</v>
      </c>
      <c r="O171" t="n">
        <v>0</v>
      </c>
      <c r="P171" t="n">
        <v>0</v>
      </c>
      <c r="Q171" t="n">
        <v>0</v>
      </c>
      <c r="R171" s="2" t="inlineStr"/>
    </row>
    <row r="172" ht="15" customHeight="1">
      <c r="A172" t="inlineStr">
        <is>
          <t>A 36605-2020</t>
        </is>
      </c>
      <c r="B172" s="1" t="n">
        <v>44050</v>
      </c>
      <c r="C172" s="1" t="n">
        <v>45352</v>
      </c>
      <c r="D172" t="inlineStr">
        <is>
          <t>DALARNAS LÄN</t>
        </is>
      </c>
      <c r="E172" t="inlineStr">
        <is>
          <t>SMEDJEBACKEN</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36603-2020</t>
        </is>
      </c>
      <c r="B173" s="1" t="n">
        <v>44050</v>
      </c>
      <c r="C173" s="1" t="n">
        <v>45352</v>
      </c>
      <c r="D173" t="inlineStr">
        <is>
          <t>DALARNAS LÄN</t>
        </is>
      </c>
      <c r="E173" t="inlineStr">
        <is>
          <t>SMEDJEBACKEN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38919-2020</t>
        </is>
      </c>
      <c r="B174" s="1" t="n">
        <v>44062</v>
      </c>
      <c r="C174" s="1" t="n">
        <v>45352</v>
      </c>
      <c r="D174" t="inlineStr">
        <is>
          <t>DALARNAS LÄN</t>
        </is>
      </c>
      <c r="E174" t="inlineStr">
        <is>
          <t>SMEDJEBACKEN</t>
        </is>
      </c>
      <c r="F174" t="inlineStr">
        <is>
          <t>Bergvik skog väst AB</t>
        </is>
      </c>
      <c r="G174" t="n">
        <v>6</v>
      </c>
      <c r="H174" t="n">
        <v>0</v>
      </c>
      <c r="I174" t="n">
        <v>0</v>
      </c>
      <c r="J174" t="n">
        <v>0</v>
      </c>
      <c r="K174" t="n">
        <v>0</v>
      </c>
      <c r="L174" t="n">
        <v>0</v>
      </c>
      <c r="M174" t="n">
        <v>0</v>
      </c>
      <c r="N174" t="n">
        <v>0</v>
      </c>
      <c r="O174" t="n">
        <v>0</v>
      </c>
      <c r="P174" t="n">
        <v>0</v>
      </c>
      <c r="Q174" t="n">
        <v>0</v>
      </c>
      <c r="R174" s="2" t="inlineStr"/>
    </row>
    <row r="175" ht="15" customHeight="1">
      <c r="A175" t="inlineStr">
        <is>
          <t>A 38971-2020</t>
        </is>
      </c>
      <c r="B175" s="1" t="n">
        <v>44062</v>
      </c>
      <c r="C175" s="1" t="n">
        <v>45352</v>
      </c>
      <c r="D175" t="inlineStr">
        <is>
          <t>DALARNAS LÄN</t>
        </is>
      </c>
      <c r="E175" t="inlineStr">
        <is>
          <t>SMEDJEBACKEN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38986-2020</t>
        </is>
      </c>
      <c r="B176" s="1" t="n">
        <v>44062</v>
      </c>
      <c r="C176" s="1" t="n">
        <v>45352</v>
      </c>
      <c r="D176" t="inlineStr">
        <is>
          <t>DALARNAS LÄN</t>
        </is>
      </c>
      <c r="E176" t="inlineStr">
        <is>
          <t>SMEDJEBACKEN</t>
        </is>
      </c>
      <c r="F176" t="inlineStr">
        <is>
          <t>Bergvik skog väst AB</t>
        </is>
      </c>
      <c r="G176" t="n">
        <v>3.3</v>
      </c>
      <c r="H176" t="n">
        <v>0</v>
      </c>
      <c r="I176" t="n">
        <v>0</v>
      </c>
      <c r="J176" t="n">
        <v>0</v>
      </c>
      <c r="K176" t="n">
        <v>0</v>
      </c>
      <c r="L176" t="n">
        <v>0</v>
      </c>
      <c r="M176" t="n">
        <v>0</v>
      </c>
      <c r="N176" t="n">
        <v>0</v>
      </c>
      <c r="O176" t="n">
        <v>0</v>
      </c>
      <c r="P176" t="n">
        <v>0</v>
      </c>
      <c r="Q176" t="n">
        <v>0</v>
      </c>
      <c r="R176" s="2" t="inlineStr"/>
    </row>
    <row r="177" ht="15" customHeight="1">
      <c r="A177" t="inlineStr">
        <is>
          <t>A 39605-2020</t>
        </is>
      </c>
      <c r="B177" s="1" t="n">
        <v>44064</v>
      </c>
      <c r="C177" s="1" t="n">
        <v>45352</v>
      </c>
      <c r="D177" t="inlineStr">
        <is>
          <t>DALARNAS LÄN</t>
        </is>
      </c>
      <c r="E177" t="inlineStr">
        <is>
          <t>SMEDJEBACKEN</t>
        </is>
      </c>
      <c r="G177" t="n">
        <v>0.9</v>
      </c>
      <c r="H177" t="n">
        <v>0</v>
      </c>
      <c r="I177" t="n">
        <v>0</v>
      </c>
      <c r="J177" t="n">
        <v>0</v>
      </c>
      <c r="K177" t="n">
        <v>0</v>
      </c>
      <c r="L177" t="n">
        <v>0</v>
      </c>
      <c r="M177" t="n">
        <v>0</v>
      </c>
      <c r="N177" t="n">
        <v>0</v>
      </c>
      <c r="O177" t="n">
        <v>0</v>
      </c>
      <c r="P177" t="n">
        <v>0</v>
      </c>
      <c r="Q177" t="n">
        <v>0</v>
      </c>
      <c r="R177" s="2" t="inlineStr"/>
    </row>
    <row r="178" ht="15" customHeight="1">
      <c r="A178" t="inlineStr">
        <is>
          <t>A 39710-2020</t>
        </is>
      </c>
      <c r="B178" s="1" t="n">
        <v>44066</v>
      </c>
      <c r="C178" s="1" t="n">
        <v>45352</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42429-2020</t>
        </is>
      </c>
      <c r="B179" s="1" t="n">
        <v>44075</v>
      </c>
      <c r="C179" s="1" t="n">
        <v>45352</v>
      </c>
      <c r="D179" t="inlineStr">
        <is>
          <t>DALARNAS LÄN</t>
        </is>
      </c>
      <c r="E179" t="inlineStr">
        <is>
          <t>SMEDJEBACKEN</t>
        </is>
      </c>
      <c r="G179" t="n">
        <v>2.8</v>
      </c>
      <c r="H179" t="n">
        <v>0</v>
      </c>
      <c r="I179" t="n">
        <v>0</v>
      </c>
      <c r="J179" t="n">
        <v>0</v>
      </c>
      <c r="K179" t="n">
        <v>0</v>
      </c>
      <c r="L179" t="n">
        <v>0</v>
      </c>
      <c r="M179" t="n">
        <v>0</v>
      </c>
      <c r="N179" t="n">
        <v>0</v>
      </c>
      <c r="O179" t="n">
        <v>0</v>
      </c>
      <c r="P179" t="n">
        <v>0</v>
      </c>
      <c r="Q179" t="n">
        <v>0</v>
      </c>
      <c r="R179" s="2" t="inlineStr"/>
    </row>
    <row r="180" ht="15" customHeight="1">
      <c r="A180" t="inlineStr">
        <is>
          <t>A 42426-2020</t>
        </is>
      </c>
      <c r="B180" s="1" t="n">
        <v>44075</v>
      </c>
      <c r="C180" s="1" t="n">
        <v>45352</v>
      </c>
      <c r="D180" t="inlineStr">
        <is>
          <t>DALARNAS LÄN</t>
        </is>
      </c>
      <c r="E180" t="inlineStr">
        <is>
          <t>SMEDJEBACKEN</t>
        </is>
      </c>
      <c r="G180" t="n">
        <v>7.3</v>
      </c>
      <c r="H180" t="n">
        <v>0</v>
      </c>
      <c r="I180" t="n">
        <v>0</v>
      </c>
      <c r="J180" t="n">
        <v>0</v>
      </c>
      <c r="K180" t="n">
        <v>0</v>
      </c>
      <c r="L180" t="n">
        <v>0</v>
      </c>
      <c r="M180" t="n">
        <v>0</v>
      </c>
      <c r="N180" t="n">
        <v>0</v>
      </c>
      <c r="O180" t="n">
        <v>0</v>
      </c>
      <c r="P180" t="n">
        <v>0</v>
      </c>
      <c r="Q180" t="n">
        <v>0</v>
      </c>
      <c r="R180" s="2" t="inlineStr"/>
    </row>
    <row r="181" ht="15" customHeight="1">
      <c r="A181" t="inlineStr">
        <is>
          <t>A 43214-2020</t>
        </is>
      </c>
      <c r="B181" s="1" t="n">
        <v>44076</v>
      </c>
      <c r="C181" s="1" t="n">
        <v>45352</v>
      </c>
      <c r="D181" t="inlineStr">
        <is>
          <t>DALARNAS LÄN</t>
        </is>
      </c>
      <c r="E181" t="inlineStr">
        <is>
          <t>SMEDJEBACKEN</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43277-2020</t>
        </is>
      </c>
      <c r="B182" s="1" t="n">
        <v>44076</v>
      </c>
      <c r="C182" s="1" t="n">
        <v>45352</v>
      </c>
      <c r="D182" t="inlineStr">
        <is>
          <t>DALARNAS LÄN</t>
        </is>
      </c>
      <c r="E182" t="inlineStr">
        <is>
          <t>SMEDJEBACKEN</t>
        </is>
      </c>
      <c r="F182" t="inlineStr">
        <is>
          <t>Bergvik skog väst AB</t>
        </is>
      </c>
      <c r="G182" t="n">
        <v>6.5</v>
      </c>
      <c r="H182" t="n">
        <v>0</v>
      </c>
      <c r="I182" t="n">
        <v>0</v>
      </c>
      <c r="J182" t="n">
        <v>0</v>
      </c>
      <c r="K182" t="n">
        <v>0</v>
      </c>
      <c r="L182" t="n">
        <v>0</v>
      </c>
      <c r="M182" t="n">
        <v>0</v>
      </c>
      <c r="N182" t="n">
        <v>0</v>
      </c>
      <c r="O182" t="n">
        <v>0</v>
      </c>
      <c r="P182" t="n">
        <v>0</v>
      </c>
      <c r="Q182" t="n">
        <v>0</v>
      </c>
      <c r="R182" s="2" t="inlineStr"/>
    </row>
    <row r="183" ht="15" customHeight="1">
      <c r="A183" t="inlineStr">
        <is>
          <t>A 48943-2020</t>
        </is>
      </c>
      <c r="B183" s="1" t="n">
        <v>44102</v>
      </c>
      <c r="C183" s="1" t="n">
        <v>45352</v>
      </c>
      <c r="D183" t="inlineStr">
        <is>
          <t>DALARNAS LÄN</t>
        </is>
      </c>
      <c r="E183" t="inlineStr">
        <is>
          <t>SMEDJEBACKEN</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48634-2020</t>
        </is>
      </c>
      <c r="B184" s="1" t="n">
        <v>44103</v>
      </c>
      <c r="C184" s="1" t="n">
        <v>45352</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50432-2020</t>
        </is>
      </c>
      <c r="B185" s="1" t="n">
        <v>44105</v>
      </c>
      <c r="C185" s="1" t="n">
        <v>45352</v>
      </c>
      <c r="D185" t="inlineStr">
        <is>
          <t>DALARNAS LÄN</t>
        </is>
      </c>
      <c r="E185" t="inlineStr">
        <is>
          <t>SMEDJEBACKEN</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50446-2020</t>
        </is>
      </c>
      <c r="B186" s="1" t="n">
        <v>44105</v>
      </c>
      <c r="C186" s="1" t="n">
        <v>45352</v>
      </c>
      <c r="D186" t="inlineStr">
        <is>
          <t>DALARNAS LÄN</t>
        </is>
      </c>
      <c r="E186" t="inlineStr">
        <is>
          <t>SMEDJEBACKEN</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50463-2020</t>
        </is>
      </c>
      <c r="B187" s="1" t="n">
        <v>44105</v>
      </c>
      <c r="C187" s="1" t="n">
        <v>45352</v>
      </c>
      <c r="D187" t="inlineStr">
        <is>
          <t>DALARNAS LÄN</t>
        </is>
      </c>
      <c r="E187" t="inlineStr">
        <is>
          <t>SMEDJEBACKEN</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51199-2020</t>
        </is>
      </c>
      <c r="B188" s="1" t="n">
        <v>44106</v>
      </c>
      <c r="C188" s="1" t="n">
        <v>45352</v>
      </c>
      <c r="D188" t="inlineStr">
        <is>
          <t>DALARNAS LÄN</t>
        </is>
      </c>
      <c r="E188" t="inlineStr">
        <is>
          <t>SMEDJEBACKEN</t>
        </is>
      </c>
      <c r="G188" t="n">
        <v>1.4</v>
      </c>
      <c r="H188" t="n">
        <v>0</v>
      </c>
      <c r="I188" t="n">
        <v>0</v>
      </c>
      <c r="J188" t="n">
        <v>0</v>
      </c>
      <c r="K188" t="n">
        <v>0</v>
      </c>
      <c r="L188" t="n">
        <v>0</v>
      </c>
      <c r="M188" t="n">
        <v>0</v>
      </c>
      <c r="N188" t="n">
        <v>0</v>
      </c>
      <c r="O188" t="n">
        <v>0</v>
      </c>
      <c r="P188" t="n">
        <v>0</v>
      </c>
      <c r="Q188" t="n">
        <v>0</v>
      </c>
      <c r="R188" s="2" t="inlineStr"/>
    </row>
    <row r="189" ht="15" customHeight="1">
      <c r="A189" t="inlineStr">
        <is>
          <t>A 51205-2020</t>
        </is>
      </c>
      <c r="B189" s="1" t="n">
        <v>44106</v>
      </c>
      <c r="C189" s="1" t="n">
        <v>45352</v>
      </c>
      <c r="D189" t="inlineStr">
        <is>
          <t>DALARNAS LÄN</t>
        </is>
      </c>
      <c r="E189" t="inlineStr">
        <is>
          <t>SMEDJEBACKEN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49895-2020</t>
        </is>
      </c>
      <c r="B190" s="1" t="n">
        <v>44108</v>
      </c>
      <c r="C190" s="1" t="n">
        <v>45352</v>
      </c>
      <c r="D190" t="inlineStr">
        <is>
          <t>DALARNAS LÄN</t>
        </is>
      </c>
      <c r="E190" t="inlineStr">
        <is>
          <t>SMEDJEBACKEN</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49888-2020</t>
        </is>
      </c>
      <c r="B191" s="1" t="n">
        <v>44108</v>
      </c>
      <c r="C191" s="1" t="n">
        <v>45352</v>
      </c>
      <c r="D191" t="inlineStr">
        <is>
          <t>DALARNAS LÄN</t>
        </is>
      </c>
      <c r="E191" t="inlineStr">
        <is>
          <t>SMEDJEBACKEN</t>
        </is>
      </c>
      <c r="G191" t="n">
        <v>7.7</v>
      </c>
      <c r="H191" t="n">
        <v>0</v>
      </c>
      <c r="I191" t="n">
        <v>0</v>
      </c>
      <c r="J191" t="n">
        <v>0</v>
      </c>
      <c r="K191" t="n">
        <v>0</v>
      </c>
      <c r="L191" t="n">
        <v>0</v>
      </c>
      <c r="M191" t="n">
        <v>0</v>
      </c>
      <c r="N191" t="n">
        <v>0</v>
      </c>
      <c r="O191" t="n">
        <v>0</v>
      </c>
      <c r="P191" t="n">
        <v>0</v>
      </c>
      <c r="Q191" t="n">
        <v>0</v>
      </c>
      <c r="R191" s="2" t="inlineStr"/>
    </row>
    <row r="192" ht="15" customHeight="1">
      <c r="A192" t="inlineStr">
        <is>
          <t>A 49896-2020</t>
        </is>
      </c>
      <c r="B192" s="1" t="n">
        <v>44108</v>
      </c>
      <c r="C192" s="1" t="n">
        <v>45352</v>
      </c>
      <c r="D192" t="inlineStr">
        <is>
          <t>DALARNAS LÄN</t>
        </is>
      </c>
      <c r="E192" t="inlineStr">
        <is>
          <t>SMEDJEBACKEN</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51761-2020</t>
        </is>
      </c>
      <c r="B193" s="1" t="n">
        <v>44115</v>
      </c>
      <c r="C193" s="1" t="n">
        <v>45352</v>
      </c>
      <c r="D193" t="inlineStr">
        <is>
          <t>DALARNAS LÄN</t>
        </is>
      </c>
      <c r="E193" t="inlineStr">
        <is>
          <t>SMEDJEBACKEN</t>
        </is>
      </c>
      <c r="G193" t="n">
        <v>10.6</v>
      </c>
      <c r="H193" t="n">
        <v>0</v>
      </c>
      <c r="I193" t="n">
        <v>0</v>
      </c>
      <c r="J193" t="n">
        <v>0</v>
      </c>
      <c r="K193" t="n">
        <v>0</v>
      </c>
      <c r="L193" t="n">
        <v>0</v>
      </c>
      <c r="M193" t="n">
        <v>0</v>
      </c>
      <c r="N193" t="n">
        <v>0</v>
      </c>
      <c r="O193" t="n">
        <v>0</v>
      </c>
      <c r="P193" t="n">
        <v>0</v>
      </c>
      <c r="Q193" t="n">
        <v>0</v>
      </c>
      <c r="R193" s="2" t="inlineStr"/>
    </row>
    <row r="194" ht="15" customHeight="1">
      <c r="A194" t="inlineStr">
        <is>
          <t>A 51770-2020</t>
        </is>
      </c>
      <c r="B194" s="1" t="n">
        <v>44115</v>
      </c>
      <c r="C194" s="1" t="n">
        <v>45352</v>
      </c>
      <c r="D194" t="inlineStr">
        <is>
          <t>DALARNAS LÄN</t>
        </is>
      </c>
      <c r="E194" t="inlineStr">
        <is>
          <t>SMEDJEBACKEN</t>
        </is>
      </c>
      <c r="G194" t="n">
        <v>0.8</v>
      </c>
      <c r="H194" t="n">
        <v>0</v>
      </c>
      <c r="I194" t="n">
        <v>0</v>
      </c>
      <c r="J194" t="n">
        <v>0</v>
      </c>
      <c r="K194" t="n">
        <v>0</v>
      </c>
      <c r="L194" t="n">
        <v>0</v>
      </c>
      <c r="M194" t="n">
        <v>0</v>
      </c>
      <c r="N194" t="n">
        <v>0</v>
      </c>
      <c r="O194" t="n">
        <v>0</v>
      </c>
      <c r="P194" t="n">
        <v>0</v>
      </c>
      <c r="Q194" t="n">
        <v>0</v>
      </c>
      <c r="R194" s="2" t="inlineStr"/>
    </row>
    <row r="195" ht="15" customHeight="1">
      <c r="A195" t="inlineStr">
        <is>
          <t>A 51775-2020</t>
        </is>
      </c>
      <c r="B195" s="1" t="n">
        <v>44115</v>
      </c>
      <c r="C195" s="1" t="n">
        <v>45352</v>
      </c>
      <c r="D195" t="inlineStr">
        <is>
          <t>DALARNAS LÄN</t>
        </is>
      </c>
      <c r="E195" t="inlineStr">
        <is>
          <t>SMEDJEBACKEN</t>
        </is>
      </c>
      <c r="G195" t="n">
        <v>0.5</v>
      </c>
      <c r="H195" t="n">
        <v>0</v>
      </c>
      <c r="I195" t="n">
        <v>0</v>
      </c>
      <c r="J195" t="n">
        <v>0</v>
      </c>
      <c r="K195" t="n">
        <v>0</v>
      </c>
      <c r="L195" t="n">
        <v>0</v>
      </c>
      <c r="M195" t="n">
        <v>0</v>
      </c>
      <c r="N195" t="n">
        <v>0</v>
      </c>
      <c r="O195" t="n">
        <v>0</v>
      </c>
      <c r="P195" t="n">
        <v>0</v>
      </c>
      <c r="Q195" t="n">
        <v>0</v>
      </c>
      <c r="R195" s="2" t="inlineStr"/>
    </row>
    <row r="196" ht="15" customHeight="1">
      <c r="A196" t="inlineStr">
        <is>
          <t>A 51774-2020</t>
        </is>
      </c>
      <c r="B196" s="1" t="n">
        <v>44115</v>
      </c>
      <c r="C196" s="1" t="n">
        <v>45352</v>
      </c>
      <c r="D196" t="inlineStr">
        <is>
          <t>DALARNAS LÄN</t>
        </is>
      </c>
      <c r="E196" t="inlineStr">
        <is>
          <t>SMEDJEBACKEN</t>
        </is>
      </c>
      <c r="G196" t="n">
        <v>0.3</v>
      </c>
      <c r="H196" t="n">
        <v>0</v>
      </c>
      <c r="I196" t="n">
        <v>0</v>
      </c>
      <c r="J196" t="n">
        <v>0</v>
      </c>
      <c r="K196" t="n">
        <v>0</v>
      </c>
      <c r="L196" t="n">
        <v>0</v>
      </c>
      <c r="M196" t="n">
        <v>0</v>
      </c>
      <c r="N196" t="n">
        <v>0</v>
      </c>
      <c r="O196" t="n">
        <v>0</v>
      </c>
      <c r="P196" t="n">
        <v>0</v>
      </c>
      <c r="Q196" t="n">
        <v>0</v>
      </c>
      <c r="R196" s="2" t="inlineStr"/>
    </row>
    <row r="197" ht="15" customHeight="1">
      <c r="A197" t="inlineStr">
        <is>
          <t>A 51776-2020</t>
        </is>
      </c>
      <c r="B197" s="1" t="n">
        <v>44116</v>
      </c>
      <c r="C197" s="1" t="n">
        <v>45352</v>
      </c>
      <c r="D197" t="inlineStr">
        <is>
          <t>DALARNAS LÄN</t>
        </is>
      </c>
      <c r="E197" t="inlineStr">
        <is>
          <t>SMEDJEBACKEN</t>
        </is>
      </c>
      <c r="G197" t="n">
        <v>2.5</v>
      </c>
      <c r="H197" t="n">
        <v>0</v>
      </c>
      <c r="I197" t="n">
        <v>0</v>
      </c>
      <c r="J197" t="n">
        <v>0</v>
      </c>
      <c r="K197" t="n">
        <v>0</v>
      </c>
      <c r="L197" t="n">
        <v>0</v>
      </c>
      <c r="M197" t="n">
        <v>0</v>
      </c>
      <c r="N197" t="n">
        <v>0</v>
      </c>
      <c r="O197" t="n">
        <v>0</v>
      </c>
      <c r="P197" t="n">
        <v>0</v>
      </c>
      <c r="Q197" t="n">
        <v>0</v>
      </c>
      <c r="R197" s="2" t="inlineStr"/>
    </row>
    <row r="198" ht="15" customHeight="1">
      <c r="A198" t="inlineStr">
        <is>
          <t>A 53575-2020</t>
        </is>
      </c>
      <c r="B198" s="1" t="n">
        <v>44124</v>
      </c>
      <c r="C198" s="1" t="n">
        <v>45352</v>
      </c>
      <c r="D198" t="inlineStr">
        <is>
          <t>DALARNAS LÄN</t>
        </is>
      </c>
      <c r="E198" t="inlineStr">
        <is>
          <t>SMEDJEBACKEN</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53572-2020</t>
        </is>
      </c>
      <c r="B199" s="1" t="n">
        <v>44124</v>
      </c>
      <c r="C199" s="1" t="n">
        <v>45352</v>
      </c>
      <c r="D199" t="inlineStr">
        <is>
          <t>DALARNAS LÄN</t>
        </is>
      </c>
      <c r="E199" t="inlineStr">
        <is>
          <t>SMEDJEBACKEN</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53577-2020</t>
        </is>
      </c>
      <c r="B200" s="1" t="n">
        <v>44124</v>
      </c>
      <c r="C200" s="1" t="n">
        <v>45352</v>
      </c>
      <c r="D200" t="inlineStr">
        <is>
          <t>DALARNAS LÄN</t>
        </is>
      </c>
      <c r="E200" t="inlineStr">
        <is>
          <t>SMEDJEBACKEN</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53570-2020</t>
        </is>
      </c>
      <c r="B201" s="1" t="n">
        <v>44124</v>
      </c>
      <c r="C201" s="1" t="n">
        <v>45352</v>
      </c>
      <c r="D201" t="inlineStr">
        <is>
          <t>DALARNAS LÄN</t>
        </is>
      </c>
      <c r="E201" t="inlineStr">
        <is>
          <t>SMEDJEBACKEN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53576-2020</t>
        </is>
      </c>
      <c r="B202" s="1" t="n">
        <v>44124</v>
      </c>
      <c r="C202" s="1" t="n">
        <v>45352</v>
      </c>
      <c r="D202" t="inlineStr">
        <is>
          <t>DALARNAS LÄN</t>
        </is>
      </c>
      <c r="E202" t="inlineStr">
        <is>
          <t>SMEDJEBACKEN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53919-2020</t>
        </is>
      </c>
      <c r="B203" s="1" t="n">
        <v>44125</v>
      </c>
      <c r="C203" s="1" t="n">
        <v>45352</v>
      </c>
      <c r="D203" t="inlineStr">
        <is>
          <t>DALARNAS LÄN</t>
        </is>
      </c>
      <c r="E203" t="inlineStr">
        <is>
          <t>SMEDJEBACKEN</t>
        </is>
      </c>
      <c r="G203" t="n">
        <v>4</v>
      </c>
      <c r="H203" t="n">
        <v>0</v>
      </c>
      <c r="I203" t="n">
        <v>0</v>
      </c>
      <c r="J203" t="n">
        <v>0</v>
      </c>
      <c r="K203" t="n">
        <v>0</v>
      </c>
      <c r="L203" t="n">
        <v>0</v>
      </c>
      <c r="M203" t="n">
        <v>0</v>
      </c>
      <c r="N203" t="n">
        <v>0</v>
      </c>
      <c r="O203" t="n">
        <v>0</v>
      </c>
      <c r="P203" t="n">
        <v>0</v>
      </c>
      <c r="Q203" t="n">
        <v>0</v>
      </c>
      <c r="R203" s="2" t="inlineStr"/>
    </row>
    <row r="204" ht="15" customHeight="1">
      <c r="A204" t="inlineStr">
        <is>
          <t>A 54889-2020</t>
        </is>
      </c>
      <c r="B204" s="1" t="n">
        <v>44126</v>
      </c>
      <c r="C204" s="1" t="n">
        <v>45352</v>
      </c>
      <c r="D204" t="inlineStr">
        <is>
          <t>DALARNAS LÄN</t>
        </is>
      </c>
      <c r="E204" t="inlineStr">
        <is>
          <t>SMEDJEBACKEN</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54868-2020</t>
        </is>
      </c>
      <c r="B205" s="1" t="n">
        <v>44126</v>
      </c>
      <c r="C205" s="1" t="n">
        <v>45352</v>
      </c>
      <c r="D205" t="inlineStr">
        <is>
          <t>DALARNAS LÄN</t>
        </is>
      </c>
      <c r="E205" t="inlineStr">
        <is>
          <t>SMEDJEBACKEN</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54886-2020</t>
        </is>
      </c>
      <c r="B206" s="1" t="n">
        <v>44126</v>
      </c>
      <c r="C206" s="1" t="n">
        <v>45352</v>
      </c>
      <c r="D206" t="inlineStr">
        <is>
          <t>DALARNAS LÄN</t>
        </is>
      </c>
      <c r="E206" t="inlineStr">
        <is>
          <t>SMEDJEBACKEN</t>
        </is>
      </c>
      <c r="F206" t="inlineStr">
        <is>
          <t>Bergvik skog väst AB</t>
        </is>
      </c>
      <c r="G206" t="n">
        <v>8</v>
      </c>
      <c r="H206" t="n">
        <v>0</v>
      </c>
      <c r="I206" t="n">
        <v>0</v>
      </c>
      <c r="J206" t="n">
        <v>0</v>
      </c>
      <c r="K206" t="n">
        <v>0</v>
      </c>
      <c r="L206" t="n">
        <v>0</v>
      </c>
      <c r="M206" t="n">
        <v>0</v>
      </c>
      <c r="N206" t="n">
        <v>0</v>
      </c>
      <c r="O206" t="n">
        <v>0</v>
      </c>
      <c r="P206" t="n">
        <v>0</v>
      </c>
      <c r="Q206" t="n">
        <v>0</v>
      </c>
      <c r="R206" s="2" t="inlineStr"/>
    </row>
    <row r="207" ht="15" customHeight="1">
      <c r="A207" t="inlineStr">
        <is>
          <t>A 54867-2020</t>
        </is>
      </c>
      <c r="B207" s="1" t="n">
        <v>44126</v>
      </c>
      <c r="C207" s="1" t="n">
        <v>45352</v>
      </c>
      <c r="D207" t="inlineStr">
        <is>
          <t>DALARNAS LÄN</t>
        </is>
      </c>
      <c r="E207" t="inlineStr">
        <is>
          <t>SMEDJEBACKEN</t>
        </is>
      </c>
      <c r="F207" t="inlineStr">
        <is>
          <t>Bergvik skog väst AB</t>
        </is>
      </c>
      <c r="G207" t="n">
        <v>3.6</v>
      </c>
      <c r="H207" t="n">
        <v>0</v>
      </c>
      <c r="I207" t="n">
        <v>0</v>
      </c>
      <c r="J207" t="n">
        <v>0</v>
      </c>
      <c r="K207" t="n">
        <v>0</v>
      </c>
      <c r="L207" t="n">
        <v>0</v>
      </c>
      <c r="M207" t="n">
        <v>0</v>
      </c>
      <c r="N207" t="n">
        <v>0</v>
      </c>
      <c r="O207" t="n">
        <v>0</v>
      </c>
      <c r="P207" t="n">
        <v>0</v>
      </c>
      <c r="Q207" t="n">
        <v>0</v>
      </c>
      <c r="R207" s="2" t="inlineStr"/>
    </row>
    <row r="208" ht="15" customHeight="1">
      <c r="A208" t="inlineStr">
        <is>
          <t>A 54894-2020</t>
        </is>
      </c>
      <c r="B208" s="1" t="n">
        <v>44126</v>
      </c>
      <c r="C208" s="1" t="n">
        <v>45352</v>
      </c>
      <c r="D208" t="inlineStr">
        <is>
          <t>DALARNAS LÄN</t>
        </is>
      </c>
      <c r="E208" t="inlineStr">
        <is>
          <t>SMEDJEBACKEN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56372-2020</t>
        </is>
      </c>
      <c r="B209" s="1" t="n">
        <v>44136</v>
      </c>
      <c r="C209" s="1" t="n">
        <v>45352</v>
      </c>
      <c r="D209" t="inlineStr">
        <is>
          <t>DALARNAS LÄN</t>
        </is>
      </c>
      <c r="E209" t="inlineStr">
        <is>
          <t>SMEDJEBACKEN</t>
        </is>
      </c>
      <c r="F209" t="inlineStr">
        <is>
          <t>Kyrkan</t>
        </is>
      </c>
      <c r="G209" t="n">
        <v>1.5</v>
      </c>
      <c r="H209" t="n">
        <v>0</v>
      </c>
      <c r="I209" t="n">
        <v>0</v>
      </c>
      <c r="J209" t="n">
        <v>0</v>
      </c>
      <c r="K209" t="n">
        <v>0</v>
      </c>
      <c r="L209" t="n">
        <v>0</v>
      </c>
      <c r="M209" t="n">
        <v>0</v>
      </c>
      <c r="N209" t="n">
        <v>0</v>
      </c>
      <c r="O209" t="n">
        <v>0</v>
      </c>
      <c r="P209" t="n">
        <v>0</v>
      </c>
      <c r="Q209" t="n">
        <v>0</v>
      </c>
      <c r="R209" s="2" t="inlineStr"/>
    </row>
    <row r="210" ht="15" customHeight="1">
      <c r="A210" t="inlineStr">
        <is>
          <t>A 57904-2020</t>
        </is>
      </c>
      <c r="B210" s="1" t="n">
        <v>44141</v>
      </c>
      <c r="C210" s="1" t="n">
        <v>45352</v>
      </c>
      <c r="D210" t="inlineStr">
        <is>
          <t>DALARNAS LÄN</t>
        </is>
      </c>
      <c r="E210" t="inlineStr">
        <is>
          <t>SMEDJEBACKEN</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59324-2020</t>
        </is>
      </c>
      <c r="B211" s="1" t="n">
        <v>44147</v>
      </c>
      <c r="C211" s="1" t="n">
        <v>45352</v>
      </c>
      <c r="D211" t="inlineStr">
        <is>
          <t>DALARNAS LÄN</t>
        </is>
      </c>
      <c r="E211" t="inlineStr">
        <is>
          <t>SMEDJEBACKEN</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59381-2020</t>
        </is>
      </c>
      <c r="B212" s="1" t="n">
        <v>44148</v>
      </c>
      <c r="C212" s="1" t="n">
        <v>45352</v>
      </c>
      <c r="D212" t="inlineStr">
        <is>
          <t>DALARNAS LÄN</t>
        </is>
      </c>
      <c r="E212" t="inlineStr">
        <is>
          <t>SMEDJEBACKEN</t>
        </is>
      </c>
      <c r="F212" t="inlineStr">
        <is>
          <t>Sveaskog</t>
        </is>
      </c>
      <c r="G212" t="n">
        <v>6.2</v>
      </c>
      <c r="H212" t="n">
        <v>0</v>
      </c>
      <c r="I212" t="n">
        <v>0</v>
      </c>
      <c r="J212" t="n">
        <v>0</v>
      </c>
      <c r="K212" t="n">
        <v>0</v>
      </c>
      <c r="L212" t="n">
        <v>0</v>
      </c>
      <c r="M212" t="n">
        <v>0</v>
      </c>
      <c r="N212" t="n">
        <v>0</v>
      </c>
      <c r="O212" t="n">
        <v>0</v>
      </c>
      <c r="P212" t="n">
        <v>0</v>
      </c>
      <c r="Q212" t="n">
        <v>0</v>
      </c>
      <c r="R212" s="2" t="inlineStr"/>
    </row>
    <row r="213" ht="15" customHeight="1">
      <c r="A213" t="inlineStr">
        <is>
          <t>A 59536-2020</t>
        </is>
      </c>
      <c r="B213" s="1" t="n">
        <v>44148</v>
      </c>
      <c r="C213" s="1" t="n">
        <v>45352</v>
      </c>
      <c r="D213" t="inlineStr">
        <is>
          <t>DALARNAS LÄN</t>
        </is>
      </c>
      <c r="E213" t="inlineStr">
        <is>
          <t>SMEDJEBACKEN</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62215-2020</t>
        </is>
      </c>
      <c r="B214" s="1" t="n">
        <v>44159</v>
      </c>
      <c r="C214" s="1" t="n">
        <v>45352</v>
      </c>
      <c r="D214" t="inlineStr">
        <is>
          <t>DALARNAS LÄN</t>
        </is>
      </c>
      <c r="E214" t="inlineStr">
        <is>
          <t>SMEDJEBACKEN</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62690-2020</t>
        </is>
      </c>
      <c r="B215" s="1" t="n">
        <v>44161</v>
      </c>
      <c r="C215" s="1" t="n">
        <v>45352</v>
      </c>
      <c r="D215" t="inlineStr">
        <is>
          <t>DALARNAS LÄN</t>
        </is>
      </c>
      <c r="E215" t="inlineStr">
        <is>
          <t>SMEDJEBACKEN</t>
        </is>
      </c>
      <c r="G215" t="n">
        <v>4.5</v>
      </c>
      <c r="H215" t="n">
        <v>0</v>
      </c>
      <c r="I215" t="n">
        <v>0</v>
      </c>
      <c r="J215" t="n">
        <v>0</v>
      </c>
      <c r="K215" t="n">
        <v>0</v>
      </c>
      <c r="L215" t="n">
        <v>0</v>
      </c>
      <c r="M215" t="n">
        <v>0</v>
      </c>
      <c r="N215" t="n">
        <v>0</v>
      </c>
      <c r="O215" t="n">
        <v>0</v>
      </c>
      <c r="P215" t="n">
        <v>0</v>
      </c>
      <c r="Q215" t="n">
        <v>0</v>
      </c>
      <c r="R215" s="2" t="inlineStr"/>
    </row>
    <row r="216" ht="15" customHeight="1">
      <c r="A216" t="inlineStr">
        <is>
          <t>A 63255-2020</t>
        </is>
      </c>
      <c r="B216" s="1" t="n">
        <v>44164</v>
      </c>
      <c r="C216" s="1" t="n">
        <v>45352</v>
      </c>
      <c r="D216" t="inlineStr">
        <is>
          <t>DALARNAS LÄN</t>
        </is>
      </c>
      <c r="E216" t="inlineStr">
        <is>
          <t>SMEDJEBACKEN</t>
        </is>
      </c>
      <c r="G216" t="n">
        <v>0.6</v>
      </c>
      <c r="H216" t="n">
        <v>0</v>
      </c>
      <c r="I216" t="n">
        <v>0</v>
      </c>
      <c r="J216" t="n">
        <v>0</v>
      </c>
      <c r="K216" t="n">
        <v>0</v>
      </c>
      <c r="L216" t="n">
        <v>0</v>
      </c>
      <c r="M216" t="n">
        <v>0</v>
      </c>
      <c r="N216" t="n">
        <v>0</v>
      </c>
      <c r="O216" t="n">
        <v>0</v>
      </c>
      <c r="P216" t="n">
        <v>0</v>
      </c>
      <c r="Q216" t="n">
        <v>0</v>
      </c>
      <c r="R216" s="2" t="inlineStr"/>
    </row>
    <row r="217" ht="15" customHeight="1">
      <c r="A217" t="inlineStr">
        <is>
          <t>A 63249-2020</t>
        </is>
      </c>
      <c r="B217" s="1" t="n">
        <v>44164</v>
      </c>
      <c r="C217" s="1" t="n">
        <v>45352</v>
      </c>
      <c r="D217" t="inlineStr">
        <is>
          <t>DALARNAS LÄN</t>
        </is>
      </c>
      <c r="E217" t="inlineStr">
        <is>
          <t>SMEDJEBACKEN</t>
        </is>
      </c>
      <c r="G217" t="n">
        <v>1.3</v>
      </c>
      <c r="H217" t="n">
        <v>0</v>
      </c>
      <c r="I217" t="n">
        <v>0</v>
      </c>
      <c r="J217" t="n">
        <v>0</v>
      </c>
      <c r="K217" t="n">
        <v>0</v>
      </c>
      <c r="L217" t="n">
        <v>0</v>
      </c>
      <c r="M217" t="n">
        <v>0</v>
      </c>
      <c r="N217" t="n">
        <v>0</v>
      </c>
      <c r="O217" t="n">
        <v>0</v>
      </c>
      <c r="P217" t="n">
        <v>0</v>
      </c>
      <c r="Q217" t="n">
        <v>0</v>
      </c>
      <c r="R217" s="2" t="inlineStr"/>
    </row>
    <row r="218" ht="15" customHeight="1">
      <c r="A218" t="inlineStr">
        <is>
          <t>A 63248-2020</t>
        </is>
      </c>
      <c r="B218" s="1" t="n">
        <v>44164</v>
      </c>
      <c r="C218" s="1" t="n">
        <v>45352</v>
      </c>
      <c r="D218" t="inlineStr">
        <is>
          <t>DALARNAS LÄN</t>
        </is>
      </c>
      <c r="E218" t="inlineStr">
        <is>
          <t>SMEDJEBACKEN</t>
        </is>
      </c>
      <c r="G218" t="n">
        <v>0.3</v>
      </c>
      <c r="H218" t="n">
        <v>0</v>
      </c>
      <c r="I218" t="n">
        <v>0</v>
      </c>
      <c r="J218" t="n">
        <v>0</v>
      </c>
      <c r="K218" t="n">
        <v>0</v>
      </c>
      <c r="L218" t="n">
        <v>0</v>
      </c>
      <c r="M218" t="n">
        <v>0</v>
      </c>
      <c r="N218" t="n">
        <v>0</v>
      </c>
      <c r="O218" t="n">
        <v>0</v>
      </c>
      <c r="P218" t="n">
        <v>0</v>
      </c>
      <c r="Q218" t="n">
        <v>0</v>
      </c>
      <c r="R218" s="2" t="inlineStr"/>
    </row>
    <row r="219" ht="15" customHeight="1">
      <c r="A219" t="inlineStr">
        <is>
          <t>A 63854-2020</t>
        </is>
      </c>
      <c r="B219" s="1" t="n">
        <v>44165</v>
      </c>
      <c r="C219" s="1" t="n">
        <v>45352</v>
      </c>
      <c r="D219" t="inlineStr">
        <is>
          <t>DALARNAS LÄN</t>
        </is>
      </c>
      <c r="E219" t="inlineStr">
        <is>
          <t>SMEDJEBACKEN</t>
        </is>
      </c>
      <c r="G219" t="n">
        <v>22.4</v>
      </c>
      <c r="H219" t="n">
        <v>0</v>
      </c>
      <c r="I219" t="n">
        <v>0</v>
      </c>
      <c r="J219" t="n">
        <v>0</v>
      </c>
      <c r="K219" t="n">
        <v>0</v>
      </c>
      <c r="L219" t="n">
        <v>0</v>
      </c>
      <c r="M219" t="n">
        <v>0</v>
      </c>
      <c r="N219" t="n">
        <v>0</v>
      </c>
      <c r="O219" t="n">
        <v>0</v>
      </c>
      <c r="P219" t="n">
        <v>0</v>
      </c>
      <c r="Q219" t="n">
        <v>0</v>
      </c>
      <c r="R219" s="2" t="inlineStr"/>
    </row>
    <row r="220" ht="15" customHeight="1">
      <c r="A220" t="inlineStr">
        <is>
          <t>A 63684-2020</t>
        </is>
      </c>
      <c r="B220" s="1" t="n">
        <v>44166</v>
      </c>
      <c r="C220" s="1" t="n">
        <v>45352</v>
      </c>
      <c r="D220" t="inlineStr">
        <is>
          <t>DALARNAS LÄN</t>
        </is>
      </c>
      <c r="E220" t="inlineStr">
        <is>
          <t>SMEDJEBACKEN</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45352</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45352</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45352</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45352</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45352</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45352</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45352</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45352</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45352</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45352</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45352</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45352</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45352</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45352</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45352</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45352</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45352</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45352</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45352</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45352</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45352</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45352</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45352</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45352</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45352</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45352</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45352</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45352</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45352</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45352</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45352</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45352</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45352</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45352</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45352</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45352</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45352</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45352</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45352</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45352</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45352</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45352</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45352</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45352</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45352</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45352</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45352</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45352</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45352</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45352</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45352</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45352</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45352</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45352</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45352</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45352</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45352</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45352</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45352</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45352</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45352</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45352</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45352</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45352</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45352</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45352</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45352</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45352</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45352</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45352</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45352</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45352</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45352</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45352</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45352</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45352</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45352</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45352</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45352</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45352</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45352</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45352</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45352</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45352</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45352</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45352</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45352</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45352</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45352</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45352</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45352</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45352</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45352</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45352</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45352</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45352</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45352</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45352</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45352</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45352</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45352</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45352</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45352</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45352</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45352</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45352</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45352</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45352</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45352</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45352</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45352</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45352</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45352</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45352</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45352</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45352</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45352</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45352</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45352</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45352</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45352</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45352</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45352</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45352</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45352</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45352</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45352</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45352</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45352</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45352</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45352</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45352</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45352</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45352</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45352</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45352</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45352</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45352</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57246-2021</t>
        </is>
      </c>
      <c r="B359" s="1" t="n">
        <v>44482</v>
      </c>
      <c r="C359" s="1" t="n">
        <v>45352</v>
      </c>
      <c r="D359" t="inlineStr">
        <is>
          <t>DALARNAS LÄN</t>
        </is>
      </c>
      <c r="E359" t="inlineStr">
        <is>
          <t>SMEDJEBACKEN</t>
        </is>
      </c>
      <c r="F359" t="inlineStr">
        <is>
          <t>Bergvik skog väst AB</t>
        </is>
      </c>
      <c r="G359" t="n">
        <v>10.2</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45352</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45352</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45352</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45352</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45352</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45352</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45352</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45352</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45352</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45352</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45352</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45352</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45352</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45352</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45352</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45352</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45352</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45352</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45352</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45352</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45352</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45352</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45352</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45352</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45352</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45352</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45352</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45352</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45352</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45352</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45352</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45352</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45352</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45352</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45352</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45352</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45352</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45352</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45352</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45352</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45352</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45352</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45352</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45352</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45352</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45352</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45352</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45352</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45352</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45352</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45352</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45352</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45352</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45352</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45352</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45352</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45352</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45352</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45352</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45352</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45352</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45352</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45352</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45352</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45352</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45352</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45352</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45352</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45352</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45352</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45352</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45352</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45352</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45352</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45352</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24549-2022</t>
        </is>
      </c>
      <c r="B435" s="1" t="n">
        <v>44727</v>
      </c>
      <c r="C435" s="1" t="n">
        <v>45352</v>
      </c>
      <c r="D435" t="inlineStr">
        <is>
          <t>DALARNAS LÄN</t>
        </is>
      </c>
      <c r="E435" t="inlineStr">
        <is>
          <t>SMEDJEBACKEN</t>
        </is>
      </c>
      <c r="F435" t="inlineStr">
        <is>
          <t>Bergvik skog väst AB</t>
        </is>
      </c>
      <c r="G435" t="n">
        <v>3.3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45352</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45352</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45352</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45352</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45352</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45352</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45352</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45352</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45352</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45352</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45352</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45352</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45352</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45352</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45352</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45352</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45352</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45352</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45352</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45352</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45352</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45352</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45352</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45352</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45352</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45352</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45352</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45352</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45352</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45352</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45352</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45352</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45352</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45352</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45352</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45352</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45352</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45352</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45352</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45352</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45352</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45352</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45352</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45352</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45352</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45352</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45352</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45352</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45352</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45352</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45352</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45352</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45352</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45352</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45352</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45352</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45352</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45352</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45352</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45352</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45352</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45352</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45352</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45352</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45352</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45352</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41870-2022</t>
        </is>
      </c>
      <c r="B502" s="1" t="n">
        <v>44829</v>
      </c>
      <c r="C502" s="1" t="n">
        <v>45352</v>
      </c>
      <c r="D502" t="inlineStr">
        <is>
          <t>DALARNAS LÄN</t>
        </is>
      </c>
      <c r="E502" t="inlineStr">
        <is>
          <t>SMEDJEBACKEN</t>
        </is>
      </c>
      <c r="G502" t="n">
        <v>0.7</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45352</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45352</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45352</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45352</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45352</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45352</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45352</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45352</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45352</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45352</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45352</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45352</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45352</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45352</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45352</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45352</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45352</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45352</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45352</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45352</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45352</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45352</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45352</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45352</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45352</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45352</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45352</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45352</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45352</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45352</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45352</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45352</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45352</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45352</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45352</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45352</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45352</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45352</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45352</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45352</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45352</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45352</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45352</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45352</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45352</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45352</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45352</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45352</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45352</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45352</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45352</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45352</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45352</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45352</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45352</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45352</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45352</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45352</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45352</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45352</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45352</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45352</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45352</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45352</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45352</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45352</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45352</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45352</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45352</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45352</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45352</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45352</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45352</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45352</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45352</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45352</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45352</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45352</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45352</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45352</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13269-2023</t>
        </is>
      </c>
      <c r="B583" s="1" t="n">
        <v>45003</v>
      </c>
      <c r="C583" s="1" t="n">
        <v>45352</v>
      </c>
      <c r="D583" t="inlineStr">
        <is>
          <t>DALARNAS LÄN</t>
        </is>
      </c>
      <c r="E583" t="inlineStr">
        <is>
          <t>SMEDJEBACKEN</t>
        </is>
      </c>
      <c r="G583" t="n">
        <v>4.4</v>
      </c>
      <c r="H583" t="n">
        <v>0</v>
      </c>
      <c r="I583" t="n">
        <v>0</v>
      </c>
      <c r="J583" t="n">
        <v>0</v>
      </c>
      <c r="K583" t="n">
        <v>0</v>
      </c>
      <c r="L583" t="n">
        <v>0</v>
      </c>
      <c r="M583" t="n">
        <v>0</v>
      </c>
      <c r="N583" t="n">
        <v>0</v>
      </c>
      <c r="O583" t="n">
        <v>0</v>
      </c>
      <c r="P583" t="n">
        <v>0</v>
      </c>
      <c r="Q583" t="n">
        <v>0</v>
      </c>
      <c r="R583" s="2" t="inlineStr"/>
    </row>
    <row r="584" ht="15" customHeight="1">
      <c r="A584" t="inlineStr">
        <is>
          <t>A 13367-2023</t>
        </is>
      </c>
      <c r="B584" s="1" t="n">
        <v>45005</v>
      </c>
      <c r="C584" s="1" t="n">
        <v>45352</v>
      </c>
      <c r="D584" t="inlineStr">
        <is>
          <t>DALARNAS LÄN</t>
        </is>
      </c>
      <c r="E584" t="inlineStr">
        <is>
          <t>SMEDJEBACKEN</t>
        </is>
      </c>
      <c r="G584" t="n">
        <v>13.5</v>
      </c>
      <c r="H584" t="n">
        <v>0</v>
      </c>
      <c r="I584" t="n">
        <v>0</v>
      </c>
      <c r="J584" t="n">
        <v>0</v>
      </c>
      <c r="K584" t="n">
        <v>0</v>
      </c>
      <c r="L584" t="n">
        <v>0</v>
      </c>
      <c r="M584" t="n">
        <v>0</v>
      </c>
      <c r="N584" t="n">
        <v>0</v>
      </c>
      <c r="O584" t="n">
        <v>0</v>
      </c>
      <c r="P584" t="n">
        <v>0</v>
      </c>
      <c r="Q584" t="n">
        <v>0</v>
      </c>
      <c r="R584" s="2" t="inlineStr"/>
    </row>
    <row r="585" ht="15" customHeight="1">
      <c r="A585" t="inlineStr">
        <is>
          <t>A 13633-2023</t>
        </is>
      </c>
      <c r="B585" s="1" t="n">
        <v>45006</v>
      </c>
      <c r="C585" s="1" t="n">
        <v>45352</v>
      </c>
      <c r="D585" t="inlineStr">
        <is>
          <t>DALARNAS LÄN</t>
        </is>
      </c>
      <c r="E585" t="inlineStr">
        <is>
          <t>SMEDJEBACKEN</t>
        </is>
      </c>
      <c r="G585" t="n">
        <v>1.9</v>
      </c>
      <c r="H585" t="n">
        <v>0</v>
      </c>
      <c r="I585" t="n">
        <v>0</v>
      </c>
      <c r="J585" t="n">
        <v>0</v>
      </c>
      <c r="K585" t="n">
        <v>0</v>
      </c>
      <c r="L585" t="n">
        <v>0</v>
      </c>
      <c r="M585" t="n">
        <v>0</v>
      </c>
      <c r="N585" t="n">
        <v>0</v>
      </c>
      <c r="O585" t="n">
        <v>0</v>
      </c>
      <c r="P585" t="n">
        <v>0</v>
      </c>
      <c r="Q585" t="n">
        <v>0</v>
      </c>
      <c r="R585" s="2" t="inlineStr"/>
    </row>
    <row r="586" ht="15" customHeight="1">
      <c r="A586" t="inlineStr">
        <is>
          <t>A 14119-2023</t>
        </is>
      </c>
      <c r="B586" s="1" t="n">
        <v>45009</v>
      </c>
      <c r="C586" s="1" t="n">
        <v>45352</v>
      </c>
      <c r="D586" t="inlineStr">
        <is>
          <t>DALARNAS LÄN</t>
        </is>
      </c>
      <c r="E586" t="inlineStr">
        <is>
          <t>SMEDJEBACKEN</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14462-2023</t>
        </is>
      </c>
      <c r="B587" s="1" t="n">
        <v>45012</v>
      </c>
      <c r="C587" s="1" t="n">
        <v>45352</v>
      </c>
      <c r="D587" t="inlineStr">
        <is>
          <t>DALARNAS LÄN</t>
        </is>
      </c>
      <c r="E587" t="inlineStr">
        <is>
          <t>SMEDJEBACKEN</t>
        </is>
      </c>
      <c r="G587" t="n">
        <v>1.4</v>
      </c>
      <c r="H587" t="n">
        <v>0</v>
      </c>
      <c r="I587" t="n">
        <v>0</v>
      </c>
      <c r="J587" t="n">
        <v>0</v>
      </c>
      <c r="K587" t="n">
        <v>0</v>
      </c>
      <c r="L587" t="n">
        <v>0</v>
      </c>
      <c r="M587" t="n">
        <v>0</v>
      </c>
      <c r="N587" t="n">
        <v>0</v>
      </c>
      <c r="O587" t="n">
        <v>0</v>
      </c>
      <c r="P587" t="n">
        <v>0</v>
      </c>
      <c r="Q587" t="n">
        <v>0</v>
      </c>
      <c r="R587" s="2" t="inlineStr"/>
    </row>
    <row r="588" ht="15" customHeight="1">
      <c r="A588" t="inlineStr">
        <is>
          <t>A 14453-2023</t>
        </is>
      </c>
      <c r="B588" s="1" t="n">
        <v>45012</v>
      </c>
      <c r="C588" s="1" t="n">
        <v>45352</v>
      </c>
      <c r="D588" t="inlineStr">
        <is>
          <t>DALARNAS LÄN</t>
        </is>
      </c>
      <c r="E588" t="inlineStr">
        <is>
          <t>SMEDJEBACKEN</t>
        </is>
      </c>
      <c r="G588" t="n">
        <v>2</v>
      </c>
      <c r="H588" t="n">
        <v>0</v>
      </c>
      <c r="I588" t="n">
        <v>0</v>
      </c>
      <c r="J588" t="n">
        <v>0</v>
      </c>
      <c r="K588" t="n">
        <v>0</v>
      </c>
      <c r="L588" t="n">
        <v>0</v>
      </c>
      <c r="M588" t="n">
        <v>0</v>
      </c>
      <c r="N588" t="n">
        <v>0</v>
      </c>
      <c r="O588" t="n">
        <v>0</v>
      </c>
      <c r="P588" t="n">
        <v>0</v>
      </c>
      <c r="Q588" t="n">
        <v>0</v>
      </c>
      <c r="R588" s="2" t="inlineStr"/>
    </row>
    <row r="589" ht="15" customHeight="1">
      <c r="A589" t="inlineStr">
        <is>
          <t>A 14843-2023</t>
        </is>
      </c>
      <c r="B589" s="1" t="n">
        <v>45014</v>
      </c>
      <c r="C589" s="1" t="n">
        <v>45352</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15211-2023</t>
        </is>
      </c>
      <c r="B590" s="1" t="n">
        <v>45018</v>
      </c>
      <c r="C590" s="1" t="n">
        <v>45352</v>
      </c>
      <c r="D590" t="inlineStr">
        <is>
          <t>DALARNAS LÄN</t>
        </is>
      </c>
      <c r="E590" t="inlineStr">
        <is>
          <t>SMEDJEBACKEN</t>
        </is>
      </c>
      <c r="G590" t="n">
        <v>1.6</v>
      </c>
      <c r="H590" t="n">
        <v>0</v>
      </c>
      <c r="I590" t="n">
        <v>0</v>
      </c>
      <c r="J590" t="n">
        <v>0</v>
      </c>
      <c r="K590" t="n">
        <v>0</v>
      </c>
      <c r="L590" t="n">
        <v>0</v>
      </c>
      <c r="M590" t="n">
        <v>0</v>
      </c>
      <c r="N590" t="n">
        <v>0</v>
      </c>
      <c r="O590" t="n">
        <v>0</v>
      </c>
      <c r="P590" t="n">
        <v>0</v>
      </c>
      <c r="Q590" t="n">
        <v>0</v>
      </c>
      <c r="R590" s="2" t="inlineStr"/>
    </row>
    <row r="591" ht="15" customHeight="1">
      <c r="A591" t="inlineStr">
        <is>
          <t>A 15360-2023</t>
        </is>
      </c>
      <c r="B591" s="1" t="n">
        <v>45019</v>
      </c>
      <c r="C591" s="1" t="n">
        <v>45352</v>
      </c>
      <c r="D591" t="inlineStr">
        <is>
          <t>DALARNAS LÄN</t>
        </is>
      </c>
      <c r="E591" t="inlineStr">
        <is>
          <t>SMEDJEBACKEN</t>
        </is>
      </c>
      <c r="G591" t="n">
        <v>1.3</v>
      </c>
      <c r="H591" t="n">
        <v>0</v>
      </c>
      <c r="I591" t="n">
        <v>0</v>
      </c>
      <c r="J591" t="n">
        <v>0</v>
      </c>
      <c r="K591" t="n">
        <v>0</v>
      </c>
      <c r="L591" t="n">
        <v>0</v>
      </c>
      <c r="M591" t="n">
        <v>0</v>
      </c>
      <c r="N591" t="n">
        <v>0</v>
      </c>
      <c r="O591" t="n">
        <v>0</v>
      </c>
      <c r="P591" t="n">
        <v>0</v>
      </c>
      <c r="Q591" t="n">
        <v>0</v>
      </c>
      <c r="R591" s="2" t="inlineStr"/>
    </row>
    <row r="592" ht="15" customHeight="1">
      <c r="A592" t="inlineStr">
        <is>
          <t>A 15786-2023</t>
        </is>
      </c>
      <c r="B592" s="1" t="n">
        <v>45021</v>
      </c>
      <c r="C592" s="1" t="n">
        <v>45352</v>
      </c>
      <c r="D592" t="inlineStr">
        <is>
          <t>DALARNAS LÄN</t>
        </is>
      </c>
      <c r="E592" t="inlineStr">
        <is>
          <t>SMEDJEBACKEN</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16048-2023</t>
        </is>
      </c>
      <c r="B593" s="1" t="n">
        <v>45027</v>
      </c>
      <c r="C593" s="1" t="n">
        <v>45352</v>
      </c>
      <c r="D593" t="inlineStr">
        <is>
          <t>DALARNAS LÄN</t>
        </is>
      </c>
      <c r="E593" t="inlineStr">
        <is>
          <t>SMEDJEBACKEN</t>
        </is>
      </c>
      <c r="G593" t="n">
        <v>13.1</v>
      </c>
      <c r="H593" t="n">
        <v>0</v>
      </c>
      <c r="I593" t="n">
        <v>0</v>
      </c>
      <c r="J593" t="n">
        <v>0</v>
      </c>
      <c r="K593" t="n">
        <v>0</v>
      </c>
      <c r="L593" t="n">
        <v>0</v>
      </c>
      <c r="M593" t="n">
        <v>0</v>
      </c>
      <c r="N593" t="n">
        <v>0</v>
      </c>
      <c r="O593" t="n">
        <v>0</v>
      </c>
      <c r="P593" t="n">
        <v>0</v>
      </c>
      <c r="Q593" t="n">
        <v>0</v>
      </c>
      <c r="R593" s="2" t="inlineStr"/>
    </row>
    <row r="594" ht="15" customHeight="1">
      <c r="A594" t="inlineStr">
        <is>
          <t>A 16687-2023</t>
        </is>
      </c>
      <c r="B594" s="1" t="n">
        <v>45030</v>
      </c>
      <c r="C594" s="1" t="n">
        <v>45352</v>
      </c>
      <c r="D594" t="inlineStr">
        <is>
          <t>DALARNAS LÄN</t>
        </is>
      </c>
      <c r="E594" t="inlineStr">
        <is>
          <t>SMEDJEBACKEN</t>
        </is>
      </c>
      <c r="G594" t="n">
        <v>17.8</v>
      </c>
      <c r="H594" t="n">
        <v>0</v>
      </c>
      <c r="I594" t="n">
        <v>0</v>
      </c>
      <c r="J594" t="n">
        <v>0</v>
      </c>
      <c r="K594" t="n">
        <v>0</v>
      </c>
      <c r="L594" t="n">
        <v>0</v>
      </c>
      <c r="M594" t="n">
        <v>0</v>
      </c>
      <c r="N594" t="n">
        <v>0</v>
      </c>
      <c r="O594" t="n">
        <v>0</v>
      </c>
      <c r="P594" t="n">
        <v>0</v>
      </c>
      <c r="Q594" t="n">
        <v>0</v>
      </c>
      <c r="R594" s="2" t="inlineStr"/>
    </row>
    <row r="595" ht="15" customHeight="1">
      <c r="A595" t="inlineStr">
        <is>
          <t>A 16713-2023</t>
        </is>
      </c>
      <c r="B595" s="1" t="n">
        <v>45030</v>
      </c>
      <c r="C595" s="1" t="n">
        <v>45352</v>
      </c>
      <c r="D595" t="inlineStr">
        <is>
          <t>DALARNAS LÄN</t>
        </is>
      </c>
      <c r="E595" t="inlineStr">
        <is>
          <t>SMEDJEBACKEN</t>
        </is>
      </c>
      <c r="G595" t="n">
        <v>18.8</v>
      </c>
      <c r="H595" t="n">
        <v>0</v>
      </c>
      <c r="I595" t="n">
        <v>0</v>
      </c>
      <c r="J595" t="n">
        <v>0</v>
      </c>
      <c r="K595" t="n">
        <v>0</v>
      </c>
      <c r="L595" t="n">
        <v>0</v>
      </c>
      <c r="M595" t="n">
        <v>0</v>
      </c>
      <c r="N595" t="n">
        <v>0</v>
      </c>
      <c r="O595" t="n">
        <v>0</v>
      </c>
      <c r="P595" t="n">
        <v>0</v>
      </c>
      <c r="Q595" t="n">
        <v>0</v>
      </c>
      <c r="R595" s="2" t="inlineStr"/>
    </row>
    <row r="596" ht="15" customHeight="1">
      <c r="A596" t="inlineStr">
        <is>
          <t>A 16870-2023</t>
        </is>
      </c>
      <c r="B596" s="1" t="n">
        <v>45033</v>
      </c>
      <c r="C596" s="1" t="n">
        <v>45352</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16886-2023</t>
        </is>
      </c>
      <c r="B597" s="1" t="n">
        <v>45033</v>
      </c>
      <c r="C597" s="1" t="n">
        <v>45352</v>
      </c>
      <c r="D597" t="inlineStr">
        <is>
          <t>DALARNAS LÄN</t>
        </is>
      </c>
      <c r="E597" t="inlineStr">
        <is>
          <t>SMEDJEBACKEN</t>
        </is>
      </c>
      <c r="G597" t="n">
        <v>2.7</v>
      </c>
      <c r="H597" t="n">
        <v>0</v>
      </c>
      <c r="I597" t="n">
        <v>0</v>
      </c>
      <c r="J597" t="n">
        <v>0</v>
      </c>
      <c r="K597" t="n">
        <v>0</v>
      </c>
      <c r="L597" t="n">
        <v>0</v>
      </c>
      <c r="M597" t="n">
        <v>0</v>
      </c>
      <c r="N597" t="n">
        <v>0</v>
      </c>
      <c r="O597" t="n">
        <v>0</v>
      </c>
      <c r="P597" t="n">
        <v>0</v>
      </c>
      <c r="Q597" t="n">
        <v>0</v>
      </c>
      <c r="R597" s="2" t="inlineStr"/>
    </row>
    <row r="598" ht="15" customHeight="1">
      <c r="A598" t="inlineStr">
        <is>
          <t>A 17472-2023</t>
        </is>
      </c>
      <c r="B598" s="1" t="n">
        <v>45034</v>
      </c>
      <c r="C598" s="1" t="n">
        <v>45352</v>
      </c>
      <c r="D598" t="inlineStr">
        <is>
          <t>DALARNAS LÄN</t>
        </is>
      </c>
      <c r="E598" t="inlineStr">
        <is>
          <t>SMEDJEBACKEN</t>
        </is>
      </c>
      <c r="G598" t="n">
        <v>1.1</v>
      </c>
      <c r="H598" t="n">
        <v>0</v>
      </c>
      <c r="I598" t="n">
        <v>0</v>
      </c>
      <c r="J598" t="n">
        <v>0</v>
      </c>
      <c r="K598" t="n">
        <v>0</v>
      </c>
      <c r="L598" t="n">
        <v>0</v>
      </c>
      <c r="M598" t="n">
        <v>0</v>
      </c>
      <c r="N598" t="n">
        <v>0</v>
      </c>
      <c r="O598" t="n">
        <v>0</v>
      </c>
      <c r="P598" t="n">
        <v>0</v>
      </c>
      <c r="Q598" t="n">
        <v>0</v>
      </c>
      <c r="R598" s="2" t="inlineStr"/>
    </row>
    <row r="599" ht="15" customHeight="1">
      <c r="A599" t="inlineStr">
        <is>
          <t>A 17834-2023</t>
        </is>
      </c>
      <c r="B599" s="1" t="n">
        <v>45037</v>
      </c>
      <c r="C599" s="1" t="n">
        <v>45352</v>
      </c>
      <c r="D599" t="inlineStr">
        <is>
          <t>DALARNAS LÄN</t>
        </is>
      </c>
      <c r="E599" t="inlineStr">
        <is>
          <t>SMEDJEBACKEN</t>
        </is>
      </c>
      <c r="G599" t="n">
        <v>1</v>
      </c>
      <c r="H599" t="n">
        <v>0</v>
      </c>
      <c r="I599" t="n">
        <v>0</v>
      </c>
      <c r="J599" t="n">
        <v>0</v>
      </c>
      <c r="K599" t="n">
        <v>0</v>
      </c>
      <c r="L599" t="n">
        <v>0</v>
      </c>
      <c r="M599" t="n">
        <v>0</v>
      </c>
      <c r="N599" t="n">
        <v>0</v>
      </c>
      <c r="O599" t="n">
        <v>0</v>
      </c>
      <c r="P599" t="n">
        <v>0</v>
      </c>
      <c r="Q599" t="n">
        <v>0</v>
      </c>
      <c r="R599" s="2" t="inlineStr"/>
    </row>
    <row r="600" ht="15" customHeight="1">
      <c r="A600" t="inlineStr">
        <is>
          <t>A 18007-2023</t>
        </is>
      </c>
      <c r="B600" s="1" t="n">
        <v>45040</v>
      </c>
      <c r="C600" s="1" t="n">
        <v>45352</v>
      </c>
      <c r="D600" t="inlineStr">
        <is>
          <t>DALARNAS LÄN</t>
        </is>
      </c>
      <c r="E600" t="inlineStr">
        <is>
          <t>SMEDJEBACKEN</t>
        </is>
      </c>
      <c r="G600" t="n">
        <v>4.4</v>
      </c>
      <c r="H600" t="n">
        <v>0</v>
      </c>
      <c r="I600" t="n">
        <v>0</v>
      </c>
      <c r="J600" t="n">
        <v>0</v>
      </c>
      <c r="K600" t="n">
        <v>0</v>
      </c>
      <c r="L600" t="n">
        <v>0</v>
      </c>
      <c r="M600" t="n">
        <v>0</v>
      </c>
      <c r="N600" t="n">
        <v>0</v>
      </c>
      <c r="O600" t="n">
        <v>0</v>
      </c>
      <c r="P600" t="n">
        <v>0</v>
      </c>
      <c r="Q600" t="n">
        <v>0</v>
      </c>
      <c r="R600" s="2" t="inlineStr"/>
    </row>
    <row r="601" ht="15" customHeight="1">
      <c r="A601" t="inlineStr">
        <is>
          <t>A 18177-2023</t>
        </is>
      </c>
      <c r="B601" s="1" t="n">
        <v>45041</v>
      </c>
      <c r="C601" s="1" t="n">
        <v>45352</v>
      </c>
      <c r="D601" t="inlineStr">
        <is>
          <t>DALARNAS LÄN</t>
        </is>
      </c>
      <c r="E601" t="inlineStr">
        <is>
          <t>SMEDJEBACKEN</t>
        </is>
      </c>
      <c r="G601" t="n">
        <v>24.8</v>
      </c>
      <c r="H601" t="n">
        <v>0</v>
      </c>
      <c r="I601" t="n">
        <v>0</v>
      </c>
      <c r="J601" t="n">
        <v>0</v>
      </c>
      <c r="K601" t="n">
        <v>0</v>
      </c>
      <c r="L601" t="n">
        <v>0</v>
      </c>
      <c r="M601" t="n">
        <v>0</v>
      </c>
      <c r="N601" t="n">
        <v>0</v>
      </c>
      <c r="O601" t="n">
        <v>0</v>
      </c>
      <c r="P601" t="n">
        <v>0</v>
      </c>
      <c r="Q601" t="n">
        <v>0</v>
      </c>
      <c r="R601" s="2" t="inlineStr"/>
    </row>
    <row r="602" ht="15" customHeight="1">
      <c r="A602" t="inlineStr">
        <is>
          <t>A 18294-2023</t>
        </is>
      </c>
      <c r="B602" s="1" t="n">
        <v>45041</v>
      </c>
      <c r="C602" s="1" t="n">
        <v>45352</v>
      </c>
      <c r="D602" t="inlineStr">
        <is>
          <t>DALARNAS LÄN</t>
        </is>
      </c>
      <c r="E602" t="inlineStr">
        <is>
          <t>SMEDJEBACKEN</t>
        </is>
      </c>
      <c r="G602" t="n">
        <v>0.7</v>
      </c>
      <c r="H602" t="n">
        <v>0</v>
      </c>
      <c r="I602" t="n">
        <v>0</v>
      </c>
      <c r="J602" t="n">
        <v>0</v>
      </c>
      <c r="K602" t="n">
        <v>0</v>
      </c>
      <c r="L602" t="n">
        <v>0</v>
      </c>
      <c r="M602" t="n">
        <v>0</v>
      </c>
      <c r="N602" t="n">
        <v>0</v>
      </c>
      <c r="O602" t="n">
        <v>0</v>
      </c>
      <c r="P602" t="n">
        <v>0</v>
      </c>
      <c r="Q602" t="n">
        <v>0</v>
      </c>
      <c r="R602" s="2" t="inlineStr"/>
    </row>
    <row r="603" ht="15" customHeight="1">
      <c r="A603" t="inlineStr">
        <is>
          <t>A 19410-2023</t>
        </is>
      </c>
      <c r="B603" s="1" t="n">
        <v>45049</v>
      </c>
      <c r="C603" s="1" t="n">
        <v>45352</v>
      </c>
      <c r="D603" t="inlineStr">
        <is>
          <t>DALARNAS LÄN</t>
        </is>
      </c>
      <c r="E603" t="inlineStr">
        <is>
          <t>SMEDJEBACKEN</t>
        </is>
      </c>
      <c r="F603" t="inlineStr">
        <is>
          <t>Övriga Aktiebolag</t>
        </is>
      </c>
      <c r="G603" t="n">
        <v>12.2</v>
      </c>
      <c r="H603" t="n">
        <v>0</v>
      </c>
      <c r="I603" t="n">
        <v>0</v>
      </c>
      <c r="J603" t="n">
        <v>0</v>
      </c>
      <c r="K603" t="n">
        <v>0</v>
      </c>
      <c r="L603" t="n">
        <v>0</v>
      </c>
      <c r="M603" t="n">
        <v>0</v>
      </c>
      <c r="N603" t="n">
        <v>0</v>
      </c>
      <c r="O603" t="n">
        <v>0</v>
      </c>
      <c r="P603" t="n">
        <v>0</v>
      </c>
      <c r="Q603" t="n">
        <v>0</v>
      </c>
      <c r="R603" s="2" t="inlineStr"/>
    </row>
    <row r="604" ht="15" customHeight="1">
      <c r="A604" t="inlineStr">
        <is>
          <t>A 19712-2023</t>
        </is>
      </c>
      <c r="B604" s="1" t="n">
        <v>45051</v>
      </c>
      <c r="C604" s="1" t="n">
        <v>45352</v>
      </c>
      <c r="D604" t="inlineStr">
        <is>
          <t>DALARNAS LÄN</t>
        </is>
      </c>
      <c r="E604" t="inlineStr">
        <is>
          <t>SMEDJEBACKEN</t>
        </is>
      </c>
      <c r="F604" t="inlineStr">
        <is>
          <t>Kyrkan</t>
        </is>
      </c>
      <c r="G604" t="n">
        <v>0.9</v>
      </c>
      <c r="H604" t="n">
        <v>0</v>
      </c>
      <c r="I604" t="n">
        <v>0</v>
      </c>
      <c r="J604" t="n">
        <v>0</v>
      </c>
      <c r="K604" t="n">
        <v>0</v>
      </c>
      <c r="L604" t="n">
        <v>0</v>
      </c>
      <c r="M604" t="n">
        <v>0</v>
      </c>
      <c r="N604" t="n">
        <v>0</v>
      </c>
      <c r="O604" t="n">
        <v>0</v>
      </c>
      <c r="P604" t="n">
        <v>0</v>
      </c>
      <c r="Q604" t="n">
        <v>0</v>
      </c>
      <c r="R604" s="2" t="inlineStr"/>
    </row>
    <row r="605" ht="15" customHeight="1">
      <c r="A605" t="inlineStr">
        <is>
          <t>A 20654-2023</t>
        </is>
      </c>
      <c r="B605" s="1" t="n">
        <v>45058</v>
      </c>
      <c r="C605" s="1" t="n">
        <v>45352</v>
      </c>
      <c r="D605" t="inlineStr">
        <is>
          <t>DALARNAS LÄN</t>
        </is>
      </c>
      <c r="E605" t="inlineStr">
        <is>
          <t>SMEDJEBACKEN</t>
        </is>
      </c>
      <c r="G605" t="n">
        <v>1.3</v>
      </c>
      <c r="H605" t="n">
        <v>0</v>
      </c>
      <c r="I605" t="n">
        <v>0</v>
      </c>
      <c r="J605" t="n">
        <v>0</v>
      </c>
      <c r="K605" t="n">
        <v>0</v>
      </c>
      <c r="L605" t="n">
        <v>0</v>
      </c>
      <c r="M605" t="n">
        <v>0</v>
      </c>
      <c r="N605" t="n">
        <v>0</v>
      </c>
      <c r="O605" t="n">
        <v>0</v>
      </c>
      <c r="P605" t="n">
        <v>0</v>
      </c>
      <c r="Q605" t="n">
        <v>0</v>
      </c>
      <c r="R605" s="2" t="inlineStr"/>
    </row>
    <row r="606" ht="15" customHeight="1">
      <c r="A606" t="inlineStr">
        <is>
          <t>A 21224-2023</t>
        </is>
      </c>
      <c r="B606" s="1" t="n">
        <v>45062</v>
      </c>
      <c r="C606" s="1" t="n">
        <v>45352</v>
      </c>
      <c r="D606" t="inlineStr">
        <is>
          <t>DALARNAS LÄN</t>
        </is>
      </c>
      <c r="E606" t="inlineStr">
        <is>
          <t>SMEDJEBACKEN</t>
        </is>
      </c>
      <c r="G606" t="n">
        <v>14</v>
      </c>
      <c r="H606" t="n">
        <v>0</v>
      </c>
      <c r="I606" t="n">
        <v>0</v>
      </c>
      <c r="J606" t="n">
        <v>0</v>
      </c>
      <c r="K606" t="n">
        <v>0</v>
      </c>
      <c r="L606" t="n">
        <v>0</v>
      </c>
      <c r="M606" t="n">
        <v>0</v>
      </c>
      <c r="N606" t="n">
        <v>0</v>
      </c>
      <c r="O606" t="n">
        <v>0</v>
      </c>
      <c r="P606" t="n">
        <v>0</v>
      </c>
      <c r="Q606" t="n">
        <v>0</v>
      </c>
      <c r="R606" s="2" t="inlineStr"/>
    </row>
    <row r="607" ht="15" customHeight="1">
      <c r="A607" t="inlineStr">
        <is>
          <t>A 21166-2023</t>
        </is>
      </c>
      <c r="B607" s="1" t="n">
        <v>45062</v>
      </c>
      <c r="C607" s="1" t="n">
        <v>45352</v>
      </c>
      <c r="D607" t="inlineStr">
        <is>
          <t>DALARNAS LÄN</t>
        </is>
      </c>
      <c r="E607" t="inlineStr">
        <is>
          <t>SMEDJEBACKEN</t>
        </is>
      </c>
      <c r="G607" t="n">
        <v>3.1</v>
      </c>
      <c r="H607" t="n">
        <v>0</v>
      </c>
      <c r="I607" t="n">
        <v>0</v>
      </c>
      <c r="J607" t="n">
        <v>0</v>
      </c>
      <c r="K607" t="n">
        <v>0</v>
      </c>
      <c r="L607" t="n">
        <v>0</v>
      </c>
      <c r="M607" t="n">
        <v>0</v>
      </c>
      <c r="N607" t="n">
        <v>0</v>
      </c>
      <c r="O607" t="n">
        <v>0</v>
      </c>
      <c r="P607" t="n">
        <v>0</v>
      </c>
      <c r="Q607" t="n">
        <v>0</v>
      </c>
      <c r="R607" s="2" t="inlineStr"/>
    </row>
    <row r="608" ht="15" customHeight="1">
      <c r="A608" t="inlineStr">
        <is>
          <t>A 21263-2023</t>
        </is>
      </c>
      <c r="B608" s="1" t="n">
        <v>45062</v>
      </c>
      <c r="C608" s="1" t="n">
        <v>45352</v>
      </c>
      <c r="D608" t="inlineStr">
        <is>
          <t>DALARNAS LÄN</t>
        </is>
      </c>
      <c r="E608" t="inlineStr">
        <is>
          <t>SMEDJEBACKEN</t>
        </is>
      </c>
      <c r="F608" t="inlineStr">
        <is>
          <t>Bergvik skog väst AB</t>
        </is>
      </c>
      <c r="G608" t="n">
        <v>5</v>
      </c>
      <c r="H608" t="n">
        <v>0</v>
      </c>
      <c r="I608" t="n">
        <v>0</v>
      </c>
      <c r="J608" t="n">
        <v>0</v>
      </c>
      <c r="K608" t="n">
        <v>0</v>
      </c>
      <c r="L608" t="n">
        <v>0</v>
      </c>
      <c r="M608" t="n">
        <v>0</v>
      </c>
      <c r="N608" t="n">
        <v>0</v>
      </c>
      <c r="O608" t="n">
        <v>0</v>
      </c>
      <c r="P608" t="n">
        <v>0</v>
      </c>
      <c r="Q608" t="n">
        <v>0</v>
      </c>
      <c r="R608" s="2" t="inlineStr"/>
    </row>
    <row r="609" ht="15" customHeight="1">
      <c r="A609" t="inlineStr">
        <is>
          <t>A 21423-2023</t>
        </is>
      </c>
      <c r="B609" s="1" t="n">
        <v>45063</v>
      </c>
      <c r="C609" s="1" t="n">
        <v>45352</v>
      </c>
      <c r="D609" t="inlineStr">
        <is>
          <t>DALARNAS LÄN</t>
        </is>
      </c>
      <c r="E609" t="inlineStr">
        <is>
          <t>SMEDJEBACKEN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21443-2023</t>
        </is>
      </c>
      <c r="B610" s="1" t="n">
        <v>45063</v>
      </c>
      <c r="C610" s="1" t="n">
        <v>45352</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21375-2023</t>
        </is>
      </c>
      <c r="B611" s="1" t="n">
        <v>45063</v>
      </c>
      <c r="C611" s="1" t="n">
        <v>45352</v>
      </c>
      <c r="D611" t="inlineStr">
        <is>
          <t>DALARNAS LÄN</t>
        </is>
      </c>
      <c r="E611" t="inlineStr">
        <is>
          <t>SMEDJEBACKEN</t>
        </is>
      </c>
      <c r="F611" t="inlineStr">
        <is>
          <t>Bergvik skog väst AB</t>
        </is>
      </c>
      <c r="G611" t="n">
        <v>5.2</v>
      </c>
      <c r="H611" t="n">
        <v>0</v>
      </c>
      <c r="I611" t="n">
        <v>0</v>
      </c>
      <c r="J611" t="n">
        <v>0</v>
      </c>
      <c r="K611" t="n">
        <v>0</v>
      </c>
      <c r="L611" t="n">
        <v>0</v>
      </c>
      <c r="M611" t="n">
        <v>0</v>
      </c>
      <c r="N611" t="n">
        <v>0</v>
      </c>
      <c r="O611" t="n">
        <v>0</v>
      </c>
      <c r="P611" t="n">
        <v>0</v>
      </c>
      <c r="Q611" t="n">
        <v>0</v>
      </c>
      <c r="R611" s="2" t="inlineStr"/>
    </row>
    <row r="612" ht="15" customHeight="1">
      <c r="A612" t="inlineStr">
        <is>
          <t>A 21427-2023</t>
        </is>
      </c>
      <c r="B612" s="1" t="n">
        <v>45063</v>
      </c>
      <c r="C612" s="1" t="n">
        <v>45352</v>
      </c>
      <c r="D612" t="inlineStr">
        <is>
          <t>DALARNAS LÄN</t>
        </is>
      </c>
      <c r="E612" t="inlineStr">
        <is>
          <t>SMEDJEBACKEN</t>
        </is>
      </c>
      <c r="F612" t="inlineStr">
        <is>
          <t>Bergvik skog väst AB</t>
        </is>
      </c>
      <c r="G612" t="n">
        <v>3.5</v>
      </c>
      <c r="H612" t="n">
        <v>0</v>
      </c>
      <c r="I612" t="n">
        <v>0</v>
      </c>
      <c r="J612" t="n">
        <v>0</v>
      </c>
      <c r="K612" t="n">
        <v>0</v>
      </c>
      <c r="L612" t="n">
        <v>0</v>
      </c>
      <c r="M612" t="n">
        <v>0</v>
      </c>
      <c r="N612" t="n">
        <v>0</v>
      </c>
      <c r="O612" t="n">
        <v>0</v>
      </c>
      <c r="P612" t="n">
        <v>0</v>
      </c>
      <c r="Q612" t="n">
        <v>0</v>
      </c>
      <c r="R612" s="2" t="inlineStr"/>
    </row>
    <row r="613" ht="15" customHeight="1">
      <c r="A613" t="inlineStr">
        <is>
          <t>A 21400-2023</t>
        </is>
      </c>
      <c r="B613" s="1" t="n">
        <v>45063</v>
      </c>
      <c r="C613" s="1" t="n">
        <v>45352</v>
      </c>
      <c r="D613" t="inlineStr">
        <is>
          <t>DALARNAS LÄN</t>
        </is>
      </c>
      <c r="E613" t="inlineStr">
        <is>
          <t>SMEDJEBACKEN</t>
        </is>
      </c>
      <c r="F613" t="inlineStr">
        <is>
          <t>Bergvik skog väst AB</t>
        </is>
      </c>
      <c r="G613" t="n">
        <v>3.3</v>
      </c>
      <c r="H613" t="n">
        <v>0</v>
      </c>
      <c r="I613" t="n">
        <v>0</v>
      </c>
      <c r="J613" t="n">
        <v>0</v>
      </c>
      <c r="K613" t="n">
        <v>0</v>
      </c>
      <c r="L613" t="n">
        <v>0</v>
      </c>
      <c r="M613" t="n">
        <v>0</v>
      </c>
      <c r="N613" t="n">
        <v>0</v>
      </c>
      <c r="O613" t="n">
        <v>0</v>
      </c>
      <c r="P613" t="n">
        <v>0</v>
      </c>
      <c r="Q613" t="n">
        <v>0</v>
      </c>
      <c r="R613" s="2" t="inlineStr"/>
    </row>
    <row r="614" ht="15" customHeight="1">
      <c r="A614" t="inlineStr">
        <is>
          <t>A 21421-2023</t>
        </is>
      </c>
      <c r="B614" s="1" t="n">
        <v>45063</v>
      </c>
      <c r="C614" s="1" t="n">
        <v>45352</v>
      </c>
      <c r="D614" t="inlineStr">
        <is>
          <t>DALARNAS LÄN</t>
        </is>
      </c>
      <c r="E614" t="inlineStr">
        <is>
          <t>SMEDJEBACKEN</t>
        </is>
      </c>
      <c r="F614" t="inlineStr">
        <is>
          <t>Bergvik skog väst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21426-2023</t>
        </is>
      </c>
      <c r="B615" s="1" t="n">
        <v>45063</v>
      </c>
      <c r="C615" s="1" t="n">
        <v>45352</v>
      </c>
      <c r="D615" t="inlineStr">
        <is>
          <t>DALARNAS LÄN</t>
        </is>
      </c>
      <c r="E615" t="inlineStr">
        <is>
          <t>SMEDJEBACKEN</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21504-2023</t>
        </is>
      </c>
      <c r="B616" s="1" t="n">
        <v>45063</v>
      </c>
      <c r="C616" s="1" t="n">
        <v>45352</v>
      </c>
      <c r="D616" t="inlineStr">
        <is>
          <t>DALARNAS LÄN</t>
        </is>
      </c>
      <c r="E616" t="inlineStr">
        <is>
          <t>SMEDJEBACKEN</t>
        </is>
      </c>
      <c r="G616" t="n">
        <v>2.5</v>
      </c>
      <c r="H616" t="n">
        <v>0</v>
      </c>
      <c r="I616" t="n">
        <v>0</v>
      </c>
      <c r="J616" t="n">
        <v>0</v>
      </c>
      <c r="K616" t="n">
        <v>0</v>
      </c>
      <c r="L616" t="n">
        <v>0</v>
      </c>
      <c r="M616" t="n">
        <v>0</v>
      </c>
      <c r="N616" t="n">
        <v>0</v>
      </c>
      <c r="O616" t="n">
        <v>0</v>
      </c>
      <c r="P616" t="n">
        <v>0</v>
      </c>
      <c r="Q616" t="n">
        <v>0</v>
      </c>
      <c r="R616" s="2" t="inlineStr"/>
    </row>
    <row r="617" ht="15" customHeight="1">
      <c r="A617" t="inlineStr">
        <is>
          <t>A 21469-2023</t>
        </is>
      </c>
      <c r="B617" s="1" t="n">
        <v>45063</v>
      </c>
      <c r="C617" s="1" t="n">
        <v>45352</v>
      </c>
      <c r="D617" t="inlineStr">
        <is>
          <t>DALARNAS LÄN</t>
        </is>
      </c>
      <c r="E617" t="inlineStr">
        <is>
          <t>SMEDJEBACKEN</t>
        </is>
      </c>
      <c r="G617" t="n">
        <v>5.9</v>
      </c>
      <c r="H617" t="n">
        <v>0</v>
      </c>
      <c r="I617" t="n">
        <v>0</v>
      </c>
      <c r="J617" t="n">
        <v>0</v>
      </c>
      <c r="K617" t="n">
        <v>0</v>
      </c>
      <c r="L617" t="n">
        <v>0</v>
      </c>
      <c r="M617" t="n">
        <v>0</v>
      </c>
      <c r="N617" t="n">
        <v>0</v>
      </c>
      <c r="O617" t="n">
        <v>0</v>
      </c>
      <c r="P617" t="n">
        <v>0</v>
      </c>
      <c r="Q617" t="n">
        <v>0</v>
      </c>
      <c r="R617" s="2" t="inlineStr"/>
    </row>
    <row r="618" ht="15" customHeight="1">
      <c r="A618" t="inlineStr">
        <is>
          <t>A 21626-2023</t>
        </is>
      </c>
      <c r="B618" s="1" t="n">
        <v>45063</v>
      </c>
      <c r="C618" s="1" t="n">
        <v>45352</v>
      </c>
      <c r="D618" t="inlineStr">
        <is>
          <t>DALARNAS LÄN</t>
        </is>
      </c>
      <c r="E618" t="inlineStr">
        <is>
          <t>SMEDJEBACKEN</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21707-2023</t>
        </is>
      </c>
      <c r="B619" s="1" t="n">
        <v>45064</v>
      </c>
      <c r="C619" s="1" t="n">
        <v>45352</v>
      </c>
      <c r="D619" t="inlineStr">
        <is>
          <t>DALARNAS LÄN</t>
        </is>
      </c>
      <c r="E619" t="inlineStr">
        <is>
          <t>SMEDJEBACKEN</t>
        </is>
      </c>
      <c r="F619" t="inlineStr">
        <is>
          <t>Övriga Aktiebolag</t>
        </is>
      </c>
      <c r="G619" t="n">
        <v>5.7</v>
      </c>
      <c r="H619" t="n">
        <v>0</v>
      </c>
      <c r="I619" t="n">
        <v>0</v>
      </c>
      <c r="J619" t="n">
        <v>0</v>
      </c>
      <c r="K619" t="n">
        <v>0</v>
      </c>
      <c r="L619" t="n">
        <v>0</v>
      </c>
      <c r="M619" t="n">
        <v>0</v>
      </c>
      <c r="N619" t="n">
        <v>0</v>
      </c>
      <c r="O619" t="n">
        <v>0</v>
      </c>
      <c r="P619" t="n">
        <v>0</v>
      </c>
      <c r="Q619" t="n">
        <v>0</v>
      </c>
      <c r="R619" s="2" t="inlineStr"/>
    </row>
    <row r="620" ht="15" customHeight="1">
      <c r="A620" t="inlineStr">
        <is>
          <t>A 21703-2023</t>
        </is>
      </c>
      <c r="B620" s="1" t="n">
        <v>45064</v>
      </c>
      <c r="C620" s="1" t="n">
        <v>45352</v>
      </c>
      <c r="D620" t="inlineStr">
        <is>
          <t>DALARNAS LÄN</t>
        </is>
      </c>
      <c r="E620" t="inlineStr">
        <is>
          <t>SMEDJEBACKEN</t>
        </is>
      </c>
      <c r="F620" t="inlineStr">
        <is>
          <t>Övriga Aktiebolag</t>
        </is>
      </c>
      <c r="G620" t="n">
        <v>4.1</v>
      </c>
      <c r="H620" t="n">
        <v>0</v>
      </c>
      <c r="I620" t="n">
        <v>0</v>
      </c>
      <c r="J620" t="n">
        <v>0</v>
      </c>
      <c r="K620" t="n">
        <v>0</v>
      </c>
      <c r="L620" t="n">
        <v>0</v>
      </c>
      <c r="M620" t="n">
        <v>0</v>
      </c>
      <c r="N620" t="n">
        <v>0</v>
      </c>
      <c r="O620" t="n">
        <v>0</v>
      </c>
      <c r="P620" t="n">
        <v>0</v>
      </c>
      <c r="Q620" t="n">
        <v>0</v>
      </c>
      <c r="R620" s="2" t="inlineStr"/>
    </row>
    <row r="621" ht="15" customHeight="1">
      <c r="A621" t="inlineStr">
        <is>
          <t>A 21705-2023</t>
        </is>
      </c>
      <c r="B621" s="1" t="n">
        <v>45064</v>
      </c>
      <c r="C621" s="1" t="n">
        <v>45352</v>
      </c>
      <c r="D621" t="inlineStr">
        <is>
          <t>DALARNAS LÄN</t>
        </is>
      </c>
      <c r="E621" t="inlineStr">
        <is>
          <t>SMEDJEBACKEN</t>
        </is>
      </c>
      <c r="F621" t="inlineStr">
        <is>
          <t>Övriga Aktiebolag</t>
        </is>
      </c>
      <c r="G621" t="n">
        <v>11.3</v>
      </c>
      <c r="H621" t="n">
        <v>0</v>
      </c>
      <c r="I621" t="n">
        <v>0</v>
      </c>
      <c r="J621" t="n">
        <v>0</v>
      </c>
      <c r="K621" t="n">
        <v>0</v>
      </c>
      <c r="L621" t="n">
        <v>0</v>
      </c>
      <c r="M621" t="n">
        <v>0</v>
      </c>
      <c r="N621" t="n">
        <v>0</v>
      </c>
      <c r="O621" t="n">
        <v>0</v>
      </c>
      <c r="P621" t="n">
        <v>0</v>
      </c>
      <c r="Q621" t="n">
        <v>0</v>
      </c>
      <c r="R621" s="2" t="inlineStr"/>
    </row>
    <row r="622" ht="15" customHeight="1">
      <c r="A622" t="inlineStr">
        <is>
          <t>A 21755-2023</t>
        </is>
      </c>
      <c r="B622" s="1" t="n">
        <v>45065</v>
      </c>
      <c r="C622" s="1" t="n">
        <v>45352</v>
      </c>
      <c r="D622" t="inlineStr">
        <is>
          <t>DALARNAS LÄN</t>
        </is>
      </c>
      <c r="E622" t="inlineStr">
        <is>
          <t>SMEDJEBACKEN</t>
        </is>
      </c>
      <c r="F622" t="inlineStr">
        <is>
          <t>Kyrkan</t>
        </is>
      </c>
      <c r="G622" t="n">
        <v>3.1</v>
      </c>
      <c r="H622" t="n">
        <v>0</v>
      </c>
      <c r="I622" t="n">
        <v>0</v>
      </c>
      <c r="J622" t="n">
        <v>0</v>
      </c>
      <c r="K622" t="n">
        <v>0</v>
      </c>
      <c r="L622" t="n">
        <v>0</v>
      </c>
      <c r="M622" t="n">
        <v>0</v>
      </c>
      <c r="N622" t="n">
        <v>0</v>
      </c>
      <c r="O622" t="n">
        <v>0</v>
      </c>
      <c r="P622" t="n">
        <v>0</v>
      </c>
      <c r="Q622" t="n">
        <v>0</v>
      </c>
      <c r="R622" s="2" t="inlineStr"/>
    </row>
    <row r="623" ht="15" customHeight="1">
      <c r="A623" t="inlineStr">
        <is>
          <t>A 22235-2023</t>
        </is>
      </c>
      <c r="B623" s="1" t="n">
        <v>45070</v>
      </c>
      <c r="C623" s="1" t="n">
        <v>45352</v>
      </c>
      <c r="D623" t="inlineStr">
        <is>
          <t>DALARNAS LÄN</t>
        </is>
      </c>
      <c r="E623" t="inlineStr">
        <is>
          <t>SMEDJEBACKEN</t>
        </is>
      </c>
      <c r="F623" t="inlineStr">
        <is>
          <t>Övriga Aktiebolag</t>
        </is>
      </c>
      <c r="G623" t="n">
        <v>3.7</v>
      </c>
      <c r="H623" t="n">
        <v>0</v>
      </c>
      <c r="I623" t="n">
        <v>0</v>
      </c>
      <c r="J623" t="n">
        <v>0</v>
      </c>
      <c r="K623" t="n">
        <v>0</v>
      </c>
      <c r="L623" t="n">
        <v>0</v>
      </c>
      <c r="M623" t="n">
        <v>0</v>
      </c>
      <c r="N623" t="n">
        <v>0</v>
      </c>
      <c r="O623" t="n">
        <v>0</v>
      </c>
      <c r="P623" t="n">
        <v>0</v>
      </c>
      <c r="Q623" t="n">
        <v>0</v>
      </c>
      <c r="R623" s="2" t="inlineStr"/>
    </row>
    <row r="624" ht="15" customHeight="1">
      <c r="A624" t="inlineStr">
        <is>
          <t>A 22582-2023</t>
        </is>
      </c>
      <c r="B624" s="1" t="n">
        <v>45071</v>
      </c>
      <c r="C624" s="1" t="n">
        <v>45352</v>
      </c>
      <c r="D624" t="inlineStr">
        <is>
          <t>DALARNAS LÄN</t>
        </is>
      </c>
      <c r="E624" t="inlineStr">
        <is>
          <t>SMEDJEBACKEN</t>
        </is>
      </c>
      <c r="G624" t="n">
        <v>3.8</v>
      </c>
      <c r="H624" t="n">
        <v>0</v>
      </c>
      <c r="I624" t="n">
        <v>0</v>
      </c>
      <c r="J624" t="n">
        <v>0</v>
      </c>
      <c r="K624" t="n">
        <v>0</v>
      </c>
      <c r="L624" t="n">
        <v>0</v>
      </c>
      <c r="M624" t="n">
        <v>0</v>
      </c>
      <c r="N624" t="n">
        <v>0</v>
      </c>
      <c r="O624" t="n">
        <v>0</v>
      </c>
      <c r="P624" t="n">
        <v>0</v>
      </c>
      <c r="Q624" t="n">
        <v>0</v>
      </c>
      <c r="R624" s="2" t="inlineStr"/>
    </row>
    <row r="625" ht="15" customHeight="1">
      <c r="A625" t="inlineStr">
        <is>
          <t>A 22872-2023</t>
        </is>
      </c>
      <c r="B625" s="1" t="n">
        <v>45072</v>
      </c>
      <c r="C625" s="1" t="n">
        <v>45352</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22849-2023</t>
        </is>
      </c>
      <c r="B626" s="1" t="n">
        <v>45072</v>
      </c>
      <c r="C626" s="1" t="n">
        <v>45352</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22859-2023</t>
        </is>
      </c>
      <c r="B627" s="1" t="n">
        <v>45072</v>
      </c>
      <c r="C627" s="1" t="n">
        <v>45352</v>
      </c>
      <c r="D627" t="inlineStr">
        <is>
          <t>DALARNAS LÄN</t>
        </is>
      </c>
      <c r="E627" t="inlineStr">
        <is>
          <t>SMEDJEBACKEN</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22865-2023</t>
        </is>
      </c>
      <c r="B628" s="1" t="n">
        <v>45072</v>
      </c>
      <c r="C628" s="1" t="n">
        <v>45352</v>
      </c>
      <c r="D628" t="inlineStr">
        <is>
          <t>DALARNAS LÄN</t>
        </is>
      </c>
      <c r="E628" t="inlineStr">
        <is>
          <t>SMEDJEBACKEN</t>
        </is>
      </c>
      <c r="F628" t="inlineStr">
        <is>
          <t>Sveaskog</t>
        </is>
      </c>
      <c r="G628" t="n">
        <v>5.1</v>
      </c>
      <c r="H628" t="n">
        <v>0</v>
      </c>
      <c r="I628" t="n">
        <v>0</v>
      </c>
      <c r="J628" t="n">
        <v>0</v>
      </c>
      <c r="K628" t="n">
        <v>0</v>
      </c>
      <c r="L628" t="n">
        <v>0</v>
      </c>
      <c r="M628" t="n">
        <v>0</v>
      </c>
      <c r="N628" t="n">
        <v>0</v>
      </c>
      <c r="O628" t="n">
        <v>0</v>
      </c>
      <c r="P628" t="n">
        <v>0</v>
      </c>
      <c r="Q628" t="n">
        <v>0</v>
      </c>
      <c r="R628" s="2" t="inlineStr"/>
    </row>
    <row r="629" ht="15" customHeight="1">
      <c r="A629" t="inlineStr">
        <is>
          <t>A 22869-2023</t>
        </is>
      </c>
      <c r="B629" s="1" t="n">
        <v>45072</v>
      </c>
      <c r="C629" s="1" t="n">
        <v>45352</v>
      </c>
      <c r="D629" t="inlineStr">
        <is>
          <t>DALARNAS LÄN</t>
        </is>
      </c>
      <c r="E629" t="inlineStr">
        <is>
          <t>SMEDJEBACKEN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23419-2023</t>
        </is>
      </c>
      <c r="B630" s="1" t="n">
        <v>45076</v>
      </c>
      <c r="C630" s="1" t="n">
        <v>45352</v>
      </c>
      <c r="D630" t="inlineStr">
        <is>
          <t>DALARNAS LÄN</t>
        </is>
      </c>
      <c r="E630" t="inlineStr">
        <is>
          <t>SMEDJEBACKEN</t>
        </is>
      </c>
      <c r="G630" t="n">
        <v>2.4</v>
      </c>
      <c r="H630" t="n">
        <v>0</v>
      </c>
      <c r="I630" t="n">
        <v>0</v>
      </c>
      <c r="J630" t="n">
        <v>0</v>
      </c>
      <c r="K630" t="n">
        <v>0</v>
      </c>
      <c r="L630" t="n">
        <v>0</v>
      </c>
      <c r="M630" t="n">
        <v>0</v>
      </c>
      <c r="N630" t="n">
        <v>0</v>
      </c>
      <c r="O630" t="n">
        <v>0</v>
      </c>
      <c r="P630" t="n">
        <v>0</v>
      </c>
      <c r="Q630" t="n">
        <v>0</v>
      </c>
      <c r="R630" s="2" t="inlineStr"/>
    </row>
    <row r="631" ht="15" customHeight="1">
      <c r="A631" t="inlineStr">
        <is>
          <t>A 23687-2023</t>
        </is>
      </c>
      <c r="B631" s="1" t="n">
        <v>45077</v>
      </c>
      <c r="C631" s="1" t="n">
        <v>45352</v>
      </c>
      <c r="D631" t="inlineStr">
        <is>
          <t>DALARNAS LÄN</t>
        </is>
      </c>
      <c r="E631" t="inlineStr">
        <is>
          <t>SMEDJEBACKEN</t>
        </is>
      </c>
      <c r="G631" t="n">
        <v>0.7</v>
      </c>
      <c r="H631" t="n">
        <v>0</v>
      </c>
      <c r="I631" t="n">
        <v>0</v>
      </c>
      <c r="J631" t="n">
        <v>0</v>
      </c>
      <c r="K631" t="n">
        <v>0</v>
      </c>
      <c r="L631" t="n">
        <v>0</v>
      </c>
      <c r="M631" t="n">
        <v>0</v>
      </c>
      <c r="N631" t="n">
        <v>0</v>
      </c>
      <c r="O631" t="n">
        <v>0</v>
      </c>
      <c r="P631" t="n">
        <v>0</v>
      </c>
      <c r="Q631" t="n">
        <v>0</v>
      </c>
      <c r="R631" s="2" t="inlineStr"/>
    </row>
    <row r="632" ht="15" customHeight="1">
      <c r="A632" t="inlineStr">
        <is>
          <t>A 24261-2023</t>
        </is>
      </c>
      <c r="B632" s="1" t="n">
        <v>45079</v>
      </c>
      <c r="C632" s="1" t="n">
        <v>45352</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24426-2023</t>
        </is>
      </c>
      <c r="B633" s="1" t="n">
        <v>45082</v>
      </c>
      <c r="C633" s="1" t="n">
        <v>45352</v>
      </c>
      <c r="D633" t="inlineStr">
        <is>
          <t>DALARNAS LÄN</t>
        </is>
      </c>
      <c r="E633" t="inlineStr">
        <is>
          <t>SMEDJEBACKEN</t>
        </is>
      </c>
      <c r="G633" t="n">
        <v>2.7</v>
      </c>
      <c r="H633" t="n">
        <v>0</v>
      </c>
      <c r="I633" t="n">
        <v>0</v>
      </c>
      <c r="J633" t="n">
        <v>0</v>
      </c>
      <c r="K633" t="n">
        <v>0</v>
      </c>
      <c r="L633" t="n">
        <v>0</v>
      </c>
      <c r="M633" t="n">
        <v>0</v>
      </c>
      <c r="N633" t="n">
        <v>0</v>
      </c>
      <c r="O633" t="n">
        <v>0</v>
      </c>
      <c r="P633" t="n">
        <v>0</v>
      </c>
      <c r="Q633" t="n">
        <v>0</v>
      </c>
      <c r="R633" s="2" t="inlineStr"/>
    </row>
    <row r="634" ht="15" customHeight="1">
      <c r="A634" t="inlineStr">
        <is>
          <t>A 25360-2023</t>
        </is>
      </c>
      <c r="B634" s="1" t="n">
        <v>45088</v>
      </c>
      <c r="C634" s="1" t="n">
        <v>45352</v>
      </c>
      <c r="D634" t="inlineStr">
        <is>
          <t>DALARNAS LÄN</t>
        </is>
      </c>
      <c r="E634" t="inlineStr">
        <is>
          <t>SMEDJEBACKEN</t>
        </is>
      </c>
      <c r="F634" t="inlineStr">
        <is>
          <t>Sveaskog</t>
        </is>
      </c>
      <c r="G634" t="n">
        <v>6.5</v>
      </c>
      <c r="H634" t="n">
        <v>0</v>
      </c>
      <c r="I634" t="n">
        <v>0</v>
      </c>
      <c r="J634" t="n">
        <v>0</v>
      </c>
      <c r="K634" t="n">
        <v>0</v>
      </c>
      <c r="L634" t="n">
        <v>0</v>
      </c>
      <c r="M634" t="n">
        <v>0</v>
      </c>
      <c r="N634" t="n">
        <v>0</v>
      </c>
      <c r="O634" t="n">
        <v>0</v>
      </c>
      <c r="P634" t="n">
        <v>0</v>
      </c>
      <c r="Q634" t="n">
        <v>0</v>
      </c>
      <c r="R634" s="2" t="inlineStr"/>
    </row>
    <row r="635" ht="15" customHeight="1">
      <c r="A635" t="inlineStr">
        <is>
          <t>A 25361-2023</t>
        </is>
      </c>
      <c r="B635" s="1" t="n">
        <v>45088</v>
      </c>
      <c r="C635" s="1" t="n">
        <v>45352</v>
      </c>
      <c r="D635" t="inlineStr">
        <is>
          <t>DALARNAS LÄN</t>
        </is>
      </c>
      <c r="E635" t="inlineStr">
        <is>
          <t>SMEDJEBACKEN</t>
        </is>
      </c>
      <c r="F635" t="inlineStr">
        <is>
          <t>Sveaskog</t>
        </is>
      </c>
      <c r="G635" t="n">
        <v>6</v>
      </c>
      <c r="H635" t="n">
        <v>0</v>
      </c>
      <c r="I635" t="n">
        <v>0</v>
      </c>
      <c r="J635" t="n">
        <v>0</v>
      </c>
      <c r="K635" t="n">
        <v>0</v>
      </c>
      <c r="L635" t="n">
        <v>0</v>
      </c>
      <c r="M635" t="n">
        <v>0</v>
      </c>
      <c r="N635" t="n">
        <v>0</v>
      </c>
      <c r="O635" t="n">
        <v>0</v>
      </c>
      <c r="P635" t="n">
        <v>0</v>
      </c>
      <c r="Q635" t="n">
        <v>0</v>
      </c>
      <c r="R635" s="2" t="inlineStr"/>
    </row>
    <row r="636" ht="15" customHeight="1">
      <c r="A636" t="inlineStr">
        <is>
          <t>A 25573-2023</t>
        </is>
      </c>
      <c r="B636" s="1" t="n">
        <v>45089</v>
      </c>
      <c r="C636" s="1" t="n">
        <v>45352</v>
      </c>
      <c r="D636" t="inlineStr">
        <is>
          <t>DALARNAS LÄN</t>
        </is>
      </c>
      <c r="E636" t="inlineStr">
        <is>
          <t>SMEDJEBACKEN</t>
        </is>
      </c>
      <c r="G636" t="n">
        <v>10.5</v>
      </c>
      <c r="H636" t="n">
        <v>0</v>
      </c>
      <c r="I636" t="n">
        <v>0</v>
      </c>
      <c r="J636" t="n">
        <v>0</v>
      </c>
      <c r="K636" t="n">
        <v>0</v>
      </c>
      <c r="L636" t="n">
        <v>0</v>
      </c>
      <c r="M636" t="n">
        <v>0</v>
      </c>
      <c r="N636" t="n">
        <v>0</v>
      </c>
      <c r="O636" t="n">
        <v>0</v>
      </c>
      <c r="P636" t="n">
        <v>0</v>
      </c>
      <c r="Q636" t="n">
        <v>0</v>
      </c>
      <c r="R636" s="2" t="inlineStr"/>
    </row>
    <row r="637" ht="15" customHeight="1">
      <c r="A637" t="inlineStr">
        <is>
          <t>A 25575-2023</t>
        </is>
      </c>
      <c r="B637" s="1" t="n">
        <v>45089</v>
      </c>
      <c r="C637" s="1" t="n">
        <v>45352</v>
      </c>
      <c r="D637" t="inlineStr">
        <is>
          <t>DALARNAS LÄN</t>
        </is>
      </c>
      <c r="E637" t="inlineStr">
        <is>
          <t>SMEDJEBACKEN</t>
        </is>
      </c>
      <c r="G637" t="n">
        <v>4.2</v>
      </c>
      <c r="H637" t="n">
        <v>0</v>
      </c>
      <c r="I637" t="n">
        <v>0</v>
      </c>
      <c r="J637" t="n">
        <v>0</v>
      </c>
      <c r="K637" t="n">
        <v>0</v>
      </c>
      <c r="L637" t="n">
        <v>0</v>
      </c>
      <c r="M637" t="n">
        <v>0</v>
      </c>
      <c r="N637" t="n">
        <v>0</v>
      </c>
      <c r="O637" t="n">
        <v>0</v>
      </c>
      <c r="P637" t="n">
        <v>0</v>
      </c>
      <c r="Q637" t="n">
        <v>0</v>
      </c>
      <c r="R637" s="2" t="inlineStr"/>
    </row>
    <row r="638" ht="15" customHeight="1">
      <c r="A638" t="inlineStr">
        <is>
          <t>A 26480-2023</t>
        </is>
      </c>
      <c r="B638" s="1" t="n">
        <v>45092</v>
      </c>
      <c r="C638" s="1" t="n">
        <v>45352</v>
      </c>
      <c r="D638" t="inlineStr">
        <is>
          <t>DALARNAS LÄN</t>
        </is>
      </c>
      <c r="E638" t="inlineStr">
        <is>
          <t>SMEDJEBACKEN</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27403-2023</t>
        </is>
      </c>
      <c r="B639" s="1" t="n">
        <v>45097</v>
      </c>
      <c r="C639" s="1" t="n">
        <v>45352</v>
      </c>
      <c r="D639" t="inlineStr">
        <is>
          <t>DALARNAS LÄN</t>
        </is>
      </c>
      <c r="E639" t="inlineStr">
        <is>
          <t>SMEDJEBACKEN</t>
        </is>
      </c>
      <c r="F639" t="inlineStr">
        <is>
          <t>Sveaskog</t>
        </is>
      </c>
      <c r="G639" t="n">
        <v>4.3</v>
      </c>
      <c r="H639" t="n">
        <v>0</v>
      </c>
      <c r="I639" t="n">
        <v>0</v>
      </c>
      <c r="J639" t="n">
        <v>0</v>
      </c>
      <c r="K639" t="n">
        <v>0</v>
      </c>
      <c r="L639" t="n">
        <v>0</v>
      </c>
      <c r="M639" t="n">
        <v>0</v>
      </c>
      <c r="N639" t="n">
        <v>0</v>
      </c>
      <c r="O639" t="n">
        <v>0</v>
      </c>
      <c r="P639" t="n">
        <v>0</v>
      </c>
      <c r="Q639" t="n">
        <v>0</v>
      </c>
      <c r="R639" s="2" t="inlineStr"/>
    </row>
    <row r="640" ht="15" customHeight="1">
      <c r="A640" t="inlineStr">
        <is>
          <t>A 27405-2023</t>
        </is>
      </c>
      <c r="B640" s="1" t="n">
        <v>45097</v>
      </c>
      <c r="C640" s="1" t="n">
        <v>45352</v>
      </c>
      <c r="D640" t="inlineStr">
        <is>
          <t>DALARNAS LÄN</t>
        </is>
      </c>
      <c r="E640" t="inlineStr">
        <is>
          <t>SMEDJEBACKEN</t>
        </is>
      </c>
      <c r="F640" t="inlineStr">
        <is>
          <t>Sveaskog</t>
        </is>
      </c>
      <c r="G640" t="n">
        <v>6.9</v>
      </c>
      <c r="H640" t="n">
        <v>0</v>
      </c>
      <c r="I640" t="n">
        <v>0</v>
      </c>
      <c r="J640" t="n">
        <v>0</v>
      </c>
      <c r="K640" t="n">
        <v>0</v>
      </c>
      <c r="L640" t="n">
        <v>0</v>
      </c>
      <c r="M640" t="n">
        <v>0</v>
      </c>
      <c r="N640" t="n">
        <v>0</v>
      </c>
      <c r="O640" t="n">
        <v>0</v>
      </c>
      <c r="P640" t="n">
        <v>0</v>
      </c>
      <c r="Q640" t="n">
        <v>0</v>
      </c>
      <c r="R640" s="2" t="inlineStr"/>
    </row>
    <row r="641" ht="15" customHeight="1">
      <c r="A641" t="inlineStr">
        <is>
          <t>A 27402-2023</t>
        </is>
      </c>
      <c r="B641" s="1" t="n">
        <v>45097</v>
      </c>
      <c r="C641" s="1" t="n">
        <v>45352</v>
      </c>
      <c r="D641" t="inlineStr">
        <is>
          <t>DALARNAS LÄN</t>
        </is>
      </c>
      <c r="E641" t="inlineStr">
        <is>
          <t>SMEDJEBACKEN</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28438-2023</t>
        </is>
      </c>
      <c r="B642" s="1" t="n">
        <v>45102</v>
      </c>
      <c r="C642" s="1" t="n">
        <v>45352</v>
      </c>
      <c r="D642" t="inlineStr">
        <is>
          <t>DALARNAS LÄN</t>
        </is>
      </c>
      <c r="E642" t="inlineStr">
        <is>
          <t>SMEDJEBACKEN</t>
        </is>
      </c>
      <c r="G642" t="n">
        <v>2.7</v>
      </c>
      <c r="H642" t="n">
        <v>0</v>
      </c>
      <c r="I642" t="n">
        <v>0</v>
      </c>
      <c r="J642" t="n">
        <v>0</v>
      </c>
      <c r="K642" t="n">
        <v>0</v>
      </c>
      <c r="L642" t="n">
        <v>0</v>
      </c>
      <c r="M642" t="n">
        <v>0</v>
      </c>
      <c r="N642" t="n">
        <v>0</v>
      </c>
      <c r="O642" t="n">
        <v>0</v>
      </c>
      <c r="P642" t="n">
        <v>0</v>
      </c>
      <c r="Q642" t="n">
        <v>0</v>
      </c>
      <c r="R642" s="2" t="inlineStr"/>
    </row>
    <row r="643" ht="15" customHeight="1">
      <c r="A643" t="inlineStr">
        <is>
          <t>A 28711-2023</t>
        </is>
      </c>
      <c r="B643" s="1" t="n">
        <v>45103</v>
      </c>
      <c r="C643" s="1" t="n">
        <v>45352</v>
      </c>
      <c r="D643" t="inlineStr">
        <is>
          <t>DALARNAS LÄN</t>
        </is>
      </c>
      <c r="E643" t="inlineStr">
        <is>
          <t>SMEDJEBACKEN</t>
        </is>
      </c>
      <c r="G643" t="n">
        <v>3.6</v>
      </c>
      <c r="H643" t="n">
        <v>0</v>
      </c>
      <c r="I643" t="n">
        <v>0</v>
      </c>
      <c r="J643" t="n">
        <v>0</v>
      </c>
      <c r="K643" t="n">
        <v>0</v>
      </c>
      <c r="L643" t="n">
        <v>0</v>
      </c>
      <c r="M643" t="n">
        <v>0</v>
      </c>
      <c r="N643" t="n">
        <v>0</v>
      </c>
      <c r="O643" t="n">
        <v>0</v>
      </c>
      <c r="P643" t="n">
        <v>0</v>
      </c>
      <c r="Q643" t="n">
        <v>0</v>
      </c>
      <c r="R643" s="2" t="inlineStr"/>
    </row>
    <row r="644" ht="15" customHeight="1">
      <c r="A644" t="inlineStr">
        <is>
          <t>A 31151-2023</t>
        </is>
      </c>
      <c r="B644" s="1" t="n">
        <v>45103</v>
      </c>
      <c r="C644" s="1" t="n">
        <v>45352</v>
      </c>
      <c r="D644" t="inlineStr">
        <is>
          <t>DALARNAS LÄN</t>
        </is>
      </c>
      <c r="E644" t="inlineStr">
        <is>
          <t>SMEDJEBACKEN</t>
        </is>
      </c>
      <c r="F644" t="inlineStr">
        <is>
          <t>Bergvik skog väst AB</t>
        </is>
      </c>
      <c r="G644" t="n">
        <v>4.2</v>
      </c>
      <c r="H644" t="n">
        <v>0</v>
      </c>
      <c r="I644" t="n">
        <v>0</v>
      </c>
      <c r="J644" t="n">
        <v>0</v>
      </c>
      <c r="K644" t="n">
        <v>0</v>
      </c>
      <c r="L644" t="n">
        <v>0</v>
      </c>
      <c r="M644" t="n">
        <v>0</v>
      </c>
      <c r="N644" t="n">
        <v>0</v>
      </c>
      <c r="O644" t="n">
        <v>0</v>
      </c>
      <c r="P644" t="n">
        <v>0</v>
      </c>
      <c r="Q644" t="n">
        <v>0</v>
      </c>
      <c r="R644" s="2" t="inlineStr"/>
    </row>
    <row r="645" ht="15" customHeight="1">
      <c r="A645" t="inlineStr">
        <is>
          <t>A 29123-2023</t>
        </is>
      </c>
      <c r="B645" s="1" t="n">
        <v>45105</v>
      </c>
      <c r="C645" s="1" t="n">
        <v>45352</v>
      </c>
      <c r="D645" t="inlineStr">
        <is>
          <t>DALARNAS LÄN</t>
        </is>
      </c>
      <c r="E645" t="inlineStr">
        <is>
          <t>SMEDJEBACKEN</t>
        </is>
      </c>
      <c r="G645" t="n">
        <v>1.3</v>
      </c>
      <c r="H645" t="n">
        <v>0</v>
      </c>
      <c r="I645" t="n">
        <v>0</v>
      </c>
      <c r="J645" t="n">
        <v>0</v>
      </c>
      <c r="K645" t="n">
        <v>0</v>
      </c>
      <c r="L645" t="n">
        <v>0</v>
      </c>
      <c r="M645" t="n">
        <v>0</v>
      </c>
      <c r="N645" t="n">
        <v>0</v>
      </c>
      <c r="O645" t="n">
        <v>0</v>
      </c>
      <c r="P645" t="n">
        <v>0</v>
      </c>
      <c r="Q645" t="n">
        <v>0</v>
      </c>
      <c r="R645" s="2" t="inlineStr"/>
    </row>
    <row r="646" ht="15" customHeight="1">
      <c r="A646" t="inlineStr">
        <is>
          <t>A 29420-2023</t>
        </is>
      </c>
      <c r="B646" s="1" t="n">
        <v>45106</v>
      </c>
      <c r="C646" s="1" t="n">
        <v>45352</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29450-2023</t>
        </is>
      </c>
      <c r="B647" s="1" t="n">
        <v>45106</v>
      </c>
      <c r="C647" s="1" t="n">
        <v>45352</v>
      </c>
      <c r="D647" t="inlineStr">
        <is>
          <t>DALARNAS LÄN</t>
        </is>
      </c>
      <c r="E647" t="inlineStr">
        <is>
          <t>SMEDJEBACKEN</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29449-2023</t>
        </is>
      </c>
      <c r="B648" s="1" t="n">
        <v>45106</v>
      </c>
      <c r="C648" s="1" t="n">
        <v>45352</v>
      </c>
      <c r="D648" t="inlineStr">
        <is>
          <t>DALARNAS LÄN</t>
        </is>
      </c>
      <c r="E648" t="inlineStr">
        <is>
          <t>SMEDJEBACKEN</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29472-2023</t>
        </is>
      </c>
      <c r="B649" s="1" t="n">
        <v>45106</v>
      </c>
      <c r="C649" s="1" t="n">
        <v>45352</v>
      </c>
      <c r="D649" t="inlineStr">
        <is>
          <t>DALARNAS LÄN</t>
        </is>
      </c>
      <c r="E649" t="inlineStr">
        <is>
          <t>SMEDJEBACKEN</t>
        </is>
      </c>
      <c r="G649" t="n">
        <v>1.2</v>
      </c>
      <c r="H649" t="n">
        <v>0</v>
      </c>
      <c r="I649" t="n">
        <v>0</v>
      </c>
      <c r="J649" t="n">
        <v>0</v>
      </c>
      <c r="K649" t="n">
        <v>0</v>
      </c>
      <c r="L649" t="n">
        <v>0</v>
      </c>
      <c r="M649" t="n">
        <v>0</v>
      </c>
      <c r="N649" t="n">
        <v>0</v>
      </c>
      <c r="O649" t="n">
        <v>0</v>
      </c>
      <c r="P649" t="n">
        <v>0</v>
      </c>
      <c r="Q649" t="n">
        <v>0</v>
      </c>
      <c r="R649" s="2" t="inlineStr"/>
    </row>
    <row r="650" ht="15" customHeight="1">
      <c r="A650" t="inlineStr">
        <is>
          <t>A 29435-2023</t>
        </is>
      </c>
      <c r="B650" s="1" t="n">
        <v>45106</v>
      </c>
      <c r="C650" s="1" t="n">
        <v>45352</v>
      </c>
      <c r="D650" t="inlineStr">
        <is>
          <t>DALARNAS LÄN</t>
        </is>
      </c>
      <c r="E650" t="inlineStr">
        <is>
          <t>SMEDJEBACKEN</t>
        </is>
      </c>
      <c r="F650" t="inlineStr">
        <is>
          <t>Sveaskog</t>
        </is>
      </c>
      <c r="G650" t="n">
        <v>5.5</v>
      </c>
      <c r="H650" t="n">
        <v>0</v>
      </c>
      <c r="I650" t="n">
        <v>0</v>
      </c>
      <c r="J650" t="n">
        <v>0</v>
      </c>
      <c r="K650" t="n">
        <v>0</v>
      </c>
      <c r="L650" t="n">
        <v>0</v>
      </c>
      <c r="M650" t="n">
        <v>0</v>
      </c>
      <c r="N650" t="n">
        <v>0</v>
      </c>
      <c r="O650" t="n">
        <v>0</v>
      </c>
      <c r="P650" t="n">
        <v>0</v>
      </c>
      <c r="Q650" t="n">
        <v>0</v>
      </c>
      <c r="R650" s="2" t="inlineStr"/>
    </row>
    <row r="651" ht="15" customHeight="1">
      <c r="A651" t="inlineStr">
        <is>
          <t>A 29452-2023</t>
        </is>
      </c>
      <c r="B651" s="1" t="n">
        <v>45106</v>
      </c>
      <c r="C651" s="1" t="n">
        <v>45352</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29438-2023</t>
        </is>
      </c>
      <c r="B652" s="1" t="n">
        <v>45106</v>
      </c>
      <c r="C652" s="1" t="n">
        <v>45352</v>
      </c>
      <c r="D652" t="inlineStr">
        <is>
          <t>DALARNAS LÄN</t>
        </is>
      </c>
      <c r="E652" t="inlineStr">
        <is>
          <t>SMEDJEBACKEN</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29442-2023</t>
        </is>
      </c>
      <c r="B653" s="1" t="n">
        <v>45106</v>
      </c>
      <c r="C653" s="1" t="n">
        <v>45352</v>
      </c>
      <c r="D653" t="inlineStr">
        <is>
          <t>DALARNAS LÄN</t>
        </is>
      </c>
      <c r="E653" t="inlineStr">
        <is>
          <t>SMEDJEBACKEN</t>
        </is>
      </c>
      <c r="F653" t="inlineStr">
        <is>
          <t>Sveaskog</t>
        </is>
      </c>
      <c r="G653" t="n">
        <v>5.4</v>
      </c>
      <c r="H653" t="n">
        <v>0</v>
      </c>
      <c r="I653" t="n">
        <v>0</v>
      </c>
      <c r="J653" t="n">
        <v>0</v>
      </c>
      <c r="K653" t="n">
        <v>0</v>
      </c>
      <c r="L653" t="n">
        <v>0</v>
      </c>
      <c r="M653" t="n">
        <v>0</v>
      </c>
      <c r="N653" t="n">
        <v>0</v>
      </c>
      <c r="O653" t="n">
        <v>0</v>
      </c>
      <c r="P653" t="n">
        <v>0</v>
      </c>
      <c r="Q653" t="n">
        <v>0</v>
      </c>
      <c r="R653" s="2" t="inlineStr"/>
    </row>
    <row r="654" ht="15" customHeight="1">
      <c r="A654" t="inlineStr">
        <is>
          <t>A 29817-2023</t>
        </is>
      </c>
      <c r="B654" s="1" t="n">
        <v>45107</v>
      </c>
      <c r="C654" s="1" t="n">
        <v>45352</v>
      </c>
      <c r="D654" t="inlineStr">
        <is>
          <t>DALARNAS LÄN</t>
        </is>
      </c>
      <c r="E654" t="inlineStr">
        <is>
          <t>SMEDJEBACKEN</t>
        </is>
      </c>
      <c r="G654" t="n">
        <v>7.2</v>
      </c>
      <c r="H654" t="n">
        <v>0</v>
      </c>
      <c r="I654" t="n">
        <v>0</v>
      </c>
      <c r="J654" t="n">
        <v>0</v>
      </c>
      <c r="K654" t="n">
        <v>0</v>
      </c>
      <c r="L654" t="n">
        <v>0</v>
      </c>
      <c r="M654" t="n">
        <v>0</v>
      </c>
      <c r="N654" t="n">
        <v>0</v>
      </c>
      <c r="O654" t="n">
        <v>0</v>
      </c>
      <c r="P654" t="n">
        <v>0</v>
      </c>
      <c r="Q654" t="n">
        <v>0</v>
      </c>
      <c r="R654" s="2" t="inlineStr"/>
    </row>
    <row r="655" ht="15" customHeight="1">
      <c r="A655" t="inlineStr">
        <is>
          <t>A 29823-2023</t>
        </is>
      </c>
      <c r="B655" s="1" t="n">
        <v>45107</v>
      </c>
      <c r="C655" s="1" t="n">
        <v>45352</v>
      </c>
      <c r="D655" t="inlineStr">
        <is>
          <t>DALARNAS LÄN</t>
        </is>
      </c>
      <c r="E655" t="inlineStr">
        <is>
          <t>SMEDJEBACKEN</t>
        </is>
      </c>
      <c r="G655" t="n">
        <v>2.2</v>
      </c>
      <c r="H655" t="n">
        <v>0</v>
      </c>
      <c r="I655" t="n">
        <v>0</v>
      </c>
      <c r="J655" t="n">
        <v>0</v>
      </c>
      <c r="K655" t="n">
        <v>0</v>
      </c>
      <c r="L655" t="n">
        <v>0</v>
      </c>
      <c r="M655" t="n">
        <v>0</v>
      </c>
      <c r="N655" t="n">
        <v>0</v>
      </c>
      <c r="O655" t="n">
        <v>0</v>
      </c>
      <c r="P655" t="n">
        <v>0</v>
      </c>
      <c r="Q655" t="n">
        <v>0</v>
      </c>
      <c r="R655" s="2" t="inlineStr"/>
    </row>
    <row r="656" ht="15" customHeight="1">
      <c r="A656" t="inlineStr">
        <is>
          <t>A 29743-2023</t>
        </is>
      </c>
      <c r="B656" s="1" t="n">
        <v>45107</v>
      </c>
      <c r="C656" s="1" t="n">
        <v>45352</v>
      </c>
      <c r="D656" t="inlineStr">
        <is>
          <t>DALARNAS LÄN</t>
        </is>
      </c>
      <c r="E656" t="inlineStr">
        <is>
          <t>SMEDJEBACKEN</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29860-2023</t>
        </is>
      </c>
      <c r="B657" s="1" t="n">
        <v>45107</v>
      </c>
      <c r="C657" s="1" t="n">
        <v>45352</v>
      </c>
      <c r="D657" t="inlineStr">
        <is>
          <t>DALARNAS LÄN</t>
        </is>
      </c>
      <c r="E657" t="inlineStr">
        <is>
          <t>SMEDJEBACKEN</t>
        </is>
      </c>
      <c r="F657" t="inlineStr">
        <is>
          <t>Övriga Aktiebolag</t>
        </is>
      </c>
      <c r="G657" t="n">
        <v>10.7</v>
      </c>
      <c r="H657" t="n">
        <v>0</v>
      </c>
      <c r="I657" t="n">
        <v>0</v>
      </c>
      <c r="J657" t="n">
        <v>0</v>
      </c>
      <c r="K657" t="n">
        <v>0</v>
      </c>
      <c r="L657" t="n">
        <v>0</v>
      </c>
      <c r="M657" t="n">
        <v>0</v>
      </c>
      <c r="N657" t="n">
        <v>0</v>
      </c>
      <c r="O657" t="n">
        <v>0</v>
      </c>
      <c r="P657" t="n">
        <v>0</v>
      </c>
      <c r="Q657" t="n">
        <v>0</v>
      </c>
      <c r="R657" s="2" t="inlineStr"/>
    </row>
    <row r="658" ht="15" customHeight="1">
      <c r="A658" t="inlineStr">
        <is>
          <t>A 29820-2023</t>
        </is>
      </c>
      <c r="B658" s="1" t="n">
        <v>45107</v>
      </c>
      <c r="C658" s="1" t="n">
        <v>45352</v>
      </c>
      <c r="D658" t="inlineStr">
        <is>
          <t>DALARNAS LÄN</t>
        </is>
      </c>
      <c r="E658" t="inlineStr">
        <is>
          <t>SMEDJEBACKEN</t>
        </is>
      </c>
      <c r="G658" t="n">
        <v>0.8</v>
      </c>
      <c r="H658" t="n">
        <v>0</v>
      </c>
      <c r="I658" t="n">
        <v>0</v>
      </c>
      <c r="J658" t="n">
        <v>0</v>
      </c>
      <c r="K658" t="n">
        <v>0</v>
      </c>
      <c r="L658" t="n">
        <v>0</v>
      </c>
      <c r="M658" t="n">
        <v>0</v>
      </c>
      <c r="N658" t="n">
        <v>0</v>
      </c>
      <c r="O658" t="n">
        <v>0</v>
      </c>
      <c r="P658" t="n">
        <v>0</v>
      </c>
      <c r="Q658" t="n">
        <v>0</v>
      </c>
      <c r="R658" s="2" t="inlineStr"/>
    </row>
    <row r="659" ht="15" customHeight="1">
      <c r="A659" t="inlineStr">
        <is>
          <t>A 30005-2023</t>
        </is>
      </c>
      <c r="B659" s="1" t="n">
        <v>45109</v>
      </c>
      <c r="C659" s="1" t="n">
        <v>45352</v>
      </c>
      <c r="D659" t="inlineStr">
        <is>
          <t>DALARNAS LÄN</t>
        </is>
      </c>
      <c r="E659" t="inlineStr">
        <is>
          <t>SMEDJEBACKEN</t>
        </is>
      </c>
      <c r="G659" t="n">
        <v>1.6</v>
      </c>
      <c r="H659" t="n">
        <v>0</v>
      </c>
      <c r="I659" t="n">
        <v>0</v>
      </c>
      <c r="J659" t="n">
        <v>0</v>
      </c>
      <c r="K659" t="n">
        <v>0</v>
      </c>
      <c r="L659" t="n">
        <v>0</v>
      </c>
      <c r="M659" t="n">
        <v>0</v>
      </c>
      <c r="N659" t="n">
        <v>0</v>
      </c>
      <c r="O659" t="n">
        <v>0</v>
      </c>
      <c r="P659" t="n">
        <v>0</v>
      </c>
      <c r="Q659" t="n">
        <v>0</v>
      </c>
      <c r="R659" s="2" t="inlineStr"/>
    </row>
    <row r="660" ht="15" customHeight="1">
      <c r="A660" t="inlineStr">
        <is>
          <t>A 29991-2023</t>
        </is>
      </c>
      <c r="B660" s="1" t="n">
        <v>45109</v>
      </c>
      <c r="C660" s="1" t="n">
        <v>45352</v>
      </c>
      <c r="D660" t="inlineStr">
        <is>
          <t>DALARNAS LÄN</t>
        </is>
      </c>
      <c r="E660" t="inlineStr">
        <is>
          <t>SMEDJEBACKEN</t>
        </is>
      </c>
      <c r="G660" t="n">
        <v>3.3</v>
      </c>
      <c r="H660" t="n">
        <v>0</v>
      </c>
      <c r="I660" t="n">
        <v>0</v>
      </c>
      <c r="J660" t="n">
        <v>0</v>
      </c>
      <c r="K660" t="n">
        <v>0</v>
      </c>
      <c r="L660" t="n">
        <v>0</v>
      </c>
      <c r="M660" t="n">
        <v>0</v>
      </c>
      <c r="N660" t="n">
        <v>0</v>
      </c>
      <c r="O660" t="n">
        <v>0</v>
      </c>
      <c r="P660" t="n">
        <v>0</v>
      </c>
      <c r="Q660" t="n">
        <v>0</v>
      </c>
      <c r="R660" s="2" t="inlineStr"/>
    </row>
    <row r="661" ht="15" customHeight="1">
      <c r="A661" t="inlineStr">
        <is>
          <t>A 30003-2023</t>
        </is>
      </c>
      <c r="B661" s="1" t="n">
        <v>45109</v>
      </c>
      <c r="C661" s="1" t="n">
        <v>45352</v>
      </c>
      <c r="D661" t="inlineStr">
        <is>
          <t>DALARNAS LÄN</t>
        </is>
      </c>
      <c r="E661" t="inlineStr">
        <is>
          <t>SMEDJEBACKEN</t>
        </is>
      </c>
      <c r="G661" t="n">
        <v>1.6</v>
      </c>
      <c r="H661" t="n">
        <v>0</v>
      </c>
      <c r="I661" t="n">
        <v>0</v>
      </c>
      <c r="J661" t="n">
        <v>0</v>
      </c>
      <c r="K661" t="n">
        <v>0</v>
      </c>
      <c r="L661" t="n">
        <v>0</v>
      </c>
      <c r="M661" t="n">
        <v>0</v>
      </c>
      <c r="N661" t="n">
        <v>0</v>
      </c>
      <c r="O661" t="n">
        <v>0</v>
      </c>
      <c r="P661" t="n">
        <v>0</v>
      </c>
      <c r="Q661" t="n">
        <v>0</v>
      </c>
      <c r="R661" s="2" t="inlineStr"/>
    </row>
    <row r="662" ht="15" customHeight="1">
      <c r="A662" t="inlineStr">
        <is>
          <t>A 30130-2023</t>
        </is>
      </c>
      <c r="B662" s="1" t="n">
        <v>45110</v>
      </c>
      <c r="C662" s="1" t="n">
        <v>45352</v>
      </c>
      <c r="D662" t="inlineStr">
        <is>
          <t>DALARNAS LÄN</t>
        </is>
      </c>
      <c r="E662" t="inlineStr">
        <is>
          <t>SMEDJEBACKEN</t>
        </is>
      </c>
      <c r="F662" t="inlineStr">
        <is>
          <t>Bergvik skog väst AB</t>
        </is>
      </c>
      <c r="G662" t="n">
        <v>2</v>
      </c>
      <c r="H662" t="n">
        <v>0</v>
      </c>
      <c r="I662" t="n">
        <v>0</v>
      </c>
      <c r="J662" t="n">
        <v>0</v>
      </c>
      <c r="K662" t="n">
        <v>0</v>
      </c>
      <c r="L662" t="n">
        <v>0</v>
      </c>
      <c r="M662" t="n">
        <v>0</v>
      </c>
      <c r="N662" t="n">
        <v>0</v>
      </c>
      <c r="O662" t="n">
        <v>0</v>
      </c>
      <c r="P662" t="n">
        <v>0</v>
      </c>
      <c r="Q662" t="n">
        <v>0</v>
      </c>
      <c r="R662" s="2" t="inlineStr"/>
    </row>
    <row r="663" ht="15" customHeight="1">
      <c r="A663" t="inlineStr">
        <is>
          <t>A 30136-2023</t>
        </is>
      </c>
      <c r="B663" s="1" t="n">
        <v>45110</v>
      </c>
      <c r="C663" s="1" t="n">
        <v>45352</v>
      </c>
      <c r="D663" t="inlineStr">
        <is>
          <t>DALARNAS LÄN</t>
        </is>
      </c>
      <c r="E663" t="inlineStr">
        <is>
          <t>SMEDJEBACKEN</t>
        </is>
      </c>
      <c r="F663" t="inlineStr">
        <is>
          <t>Bergvik skog väst AB</t>
        </is>
      </c>
      <c r="G663" t="n">
        <v>4.5</v>
      </c>
      <c r="H663" t="n">
        <v>0</v>
      </c>
      <c r="I663" t="n">
        <v>0</v>
      </c>
      <c r="J663" t="n">
        <v>0</v>
      </c>
      <c r="K663" t="n">
        <v>0</v>
      </c>
      <c r="L663" t="n">
        <v>0</v>
      </c>
      <c r="M663" t="n">
        <v>0</v>
      </c>
      <c r="N663" t="n">
        <v>0</v>
      </c>
      <c r="O663" t="n">
        <v>0</v>
      </c>
      <c r="P663" t="n">
        <v>0</v>
      </c>
      <c r="Q663" t="n">
        <v>0</v>
      </c>
      <c r="R663" s="2" t="inlineStr"/>
    </row>
    <row r="664" ht="15" customHeight="1">
      <c r="A664" t="inlineStr">
        <is>
          <t>A 30239-2023</t>
        </is>
      </c>
      <c r="B664" s="1" t="n">
        <v>45110</v>
      </c>
      <c r="C664" s="1" t="n">
        <v>45352</v>
      </c>
      <c r="D664" t="inlineStr">
        <is>
          <t>DALARNAS LÄN</t>
        </is>
      </c>
      <c r="E664" t="inlineStr">
        <is>
          <t>SMEDJEBACKEN</t>
        </is>
      </c>
      <c r="F664" t="inlineStr">
        <is>
          <t>Sveaskog</t>
        </is>
      </c>
      <c r="G664" t="n">
        <v>4.5</v>
      </c>
      <c r="H664" t="n">
        <v>0</v>
      </c>
      <c r="I664" t="n">
        <v>0</v>
      </c>
      <c r="J664" t="n">
        <v>0</v>
      </c>
      <c r="K664" t="n">
        <v>0</v>
      </c>
      <c r="L664" t="n">
        <v>0</v>
      </c>
      <c r="M664" t="n">
        <v>0</v>
      </c>
      <c r="N664" t="n">
        <v>0</v>
      </c>
      <c r="O664" t="n">
        <v>0</v>
      </c>
      <c r="P664" t="n">
        <v>0</v>
      </c>
      <c r="Q664" t="n">
        <v>0</v>
      </c>
      <c r="R664" s="2" t="inlineStr"/>
    </row>
    <row r="665" ht="15" customHeight="1">
      <c r="A665" t="inlineStr">
        <is>
          <t>A 30231-2023</t>
        </is>
      </c>
      <c r="B665" s="1" t="n">
        <v>45110</v>
      </c>
      <c r="C665" s="1" t="n">
        <v>45352</v>
      </c>
      <c r="D665" t="inlineStr">
        <is>
          <t>DALARNAS LÄN</t>
        </is>
      </c>
      <c r="E665" t="inlineStr">
        <is>
          <t>SMEDJEBACKEN</t>
        </is>
      </c>
      <c r="F665" t="inlineStr">
        <is>
          <t>Sveaskog</t>
        </is>
      </c>
      <c r="G665" t="n">
        <v>7.2</v>
      </c>
      <c r="H665" t="n">
        <v>0</v>
      </c>
      <c r="I665" t="n">
        <v>0</v>
      </c>
      <c r="J665" t="n">
        <v>0</v>
      </c>
      <c r="K665" t="n">
        <v>0</v>
      </c>
      <c r="L665" t="n">
        <v>0</v>
      </c>
      <c r="M665" t="n">
        <v>0</v>
      </c>
      <c r="N665" t="n">
        <v>0</v>
      </c>
      <c r="O665" t="n">
        <v>0</v>
      </c>
      <c r="P665" t="n">
        <v>0</v>
      </c>
      <c r="Q665" t="n">
        <v>0</v>
      </c>
      <c r="R665" s="2" t="inlineStr"/>
    </row>
    <row r="666" ht="15" customHeight="1">
      <c r="A666" t="inlineStr">
        <is>
          <t>A 30235-2023</t>
        </is>
      </c>
      <c r="B666" s="1" t="n">
        <v>45110</v>
      </c>
      <c r="C666" s="1" t="n">
        <v>45352</v>
      </c>
      <c r="D666" t="inlineStr">
        <is>
          <t>DALARNAS LÄN</t>
        </is>
      </c>
      <c r="E666" t="inlineStr">
        <is>
          <t>SMEDJEBACKEN</t>
        </is>
      </c>
      <c r="F666" t="inlineStr">
        <is>
          <t>Sveaskog</t>
        </is>
      </c>
      <c r="G666" t="n">
        <v>11.8</v>
      </c>
      <c r="H666" t="n">
        <v>0</v>
      </c>
      <c r="I666" t="n">
        <v>0</v>
      </c>
      <c r="J666" t="n">
        <v>0</v>
      </c>
      <c r="K666" t="n">
        <v>0</v>
      </c>
      <c r="L666" t="n">
        <v>0</v>
      </c>
      <c r="M666" t="n">
        <v>0</v>
      </c>
      <c r="N666" t="n">
        <v>0</v>
      </c>
      <c r="O666" t="n">
        <v>0</v>
      </c>
      <c r="P666" t="n">
        <v>0</v>
      </c>
      <c r="Q666" t="n">
        <v>0</v>
      </c>
      <c r="R666" s="2" t="inlineStr"/>
    </row>
    <row r="667" ht="15" customHeight="1">
      <c r="A667" t="inlineStr">
        <is>
          <t>A 30420-2023</t>
        </is>
      </c>
      <c r="B667" s="1" t="n">
        <v>45111</v>
      </c>
      <c r="C667" s="1" t="n">
        <v>45352</v>
      </c>
      <c r="D667" t="inlineStr">
        <is>
          <t>DALARNAS LÄN</t>
        </is>
      </c>
      <c r="E667" t="inlineStr">
        <is>
          <t>SMEDJEBACKEN</t>
        </is>
      </c>
      <c r="G667" t="n">
        <v>2.3</v>
      </c>
      <c r="H667" t="n">
        <v>0</v>
      </c>
      <c r="I667" t="n">
        <v>0</v>
      </c>
      <c r="J667" t="n">
        <v>0</v>
      </c>
      <c r="K667" t="n">
        <v>0</v>
      </c>
      <c r="L667" t="n">
        <v>0</v>
      </c>
      <c r="M667" t="n">
        <v>0</v>
      </c>
      <c r="N667" t="n">
        <v>0</v>
      </c>
      <c r="O667" t="n">
        <v>0</v>
      </c>
      <c r="P667" t="n">
        <v>0</v>
      </c>
      <c r="Q667" t="n">
        <v>0</v>
      </c>
      <c r="R667" s="2" t="inlineStr"/>
    </row>
    <row r="668" ht="15" customHeight="1">
      <c r="A668" t="inlineStr">
        <is>
          <t>A 30938-2023</t>
        </is>
      </c>
      <c r="B668" s="1" t="n">
        <v>45113</v>
      </c>
      <c r="C668" s="1" t="n">
        <v>45352</v>
      </c>
      <c r="D668" t="inlineStr">
        <is>
          <t>DALARNAS LÄN</t>
        </is>
      </c>
      <c r="E668" t="inlineStr">
        <is>
          <t>SMEDJEBACKEN</t>
        </is>
      </c>
      <c r="G668" t="n">
        <v>5.8</v>
      </c>
      <c r="H668" t="n">
        <v>0</v>
      </c>
      <c r="I668" t="n">
        <v>0</v>
      </c>
      <c r="J668" t="n">
        <v>0</v>
      </c>
      <c r="K668" t="n">
        <v>0</v>
      </c>
      <c r="L668" t="n">
        <v>0</v>
      </c>
      <c r="M668" t="n">
        <v>0</v>
      </c>
      <c r="N668" t="n">
        <v>0</v>
      </c>
      <c r="O668" t="n">
        <v>0</v>
      </c>
      <c r="P668" t="n">
        <v>0</v>
      </c>
      <c r="Q668" t="n">
        <v>0</v>
      </c>
      <c r="R668" s="2" t="inlineStr"/>
    </row>
    <row r="669" ht="15" customHeight="1">
      <c r="A669" t="inlineStr">
        <is>
          <t>A 31030-2023</t>
        </is>
      </c>
      <c r="B669" s="1" t="n">
        <v>45113</v>
      </c>
      <c r="C669" s="1" t="n">
        <v>45352</v>
      </c>
      <c r="D669" t="inlineStr">
        <is>
          <t>DALARNAS LÄN</t>
        </is>
      </c>
      <c r="E669" t="inlineStr">
        <is>
          <t>SMEDJEBACKEN</t>
        </is>
      </c>
      <c r="G669" t="n">
        <v>3.6</v>
      </c>
      <c r="H669" t="n">
        <v>0</v>
      </c>
      <c r="I669" t="n">
        <v>0</v>
      </c>
      <c r="J669" t="n">
        <v>0</v>
      </c>
      <c r="K669" t="n">
        <v>0</v>
      </c>
      <c r="L669" t="n">
        <v>0</v>
      </c>
      <c r="M669" t="n">
        <v>0</v>
      </c>
      <c r="N669" t="n">
        <v>0</v>
      </c>
      <c r="O669" t="n">
        <v>0</v>
      </c>
      <c r="P669" t="n">
        <v>0</v>
      </c>
      <c r="Q669" t="n">
        <v>0</v>
      </c>
      <c r="R669" s="2" t="inlineStr"/>
    </row>
    <row r="670" ht="15" customHeight="1">
      <c r="A670" t="inlineStr">
        <is>
          <t>A 31271-2023</t>
        </is>
      </c>
      <c r="B670" s="1" t="n">
        <v>45114</v>
      </c>
      <c r="C670" s="1" t="n">
        <v>45352</v>
      </c>
      <c r="D670" t="inlineStr">
        <is>
          <t>DALARNAS LÄN</t>
        </is>
      </c>
      <c r="E670" t="inlineStr">
        <is>
          <t>SMEDJEBACKEN</t>
        </is>
      </c>
      <c r="G670" t="n">
        <v>1.6</v>
      </c>
      <c r="H670" t="n">
        <v>0</v>
      </c>
      <c r="I670" t="n">
        <v>0</v>
      </c>
      <c r="J670" t="n">
        <v>0</v>
      </c>
      <c r="K670" t="n">
        <v>0</v>
      </c>
      <c r="L670" t="n">
        <v>0</v>
      </c>
      <c r="M670" t="n">
        <v>0</v>
      </c>
      <c r="N670" t="n">
        <v>0</v>
      </c>
      <c r="O670" t="n">
        <v>0</v>
      </c>
      <c r="P670" t="n">
        <v>0</v>
      </c>
      <c r="Q670" t="n">
        <v>0</v>
      </c>
      <c r="R670" s="2" t="inlineStr"/>
    </row>
    <row r="671" ht="15" customHeight="1">
      <c r="A671" t="inlineStr">
        <is>
          <t>A 31283-2023</t>
        </is>
      </c>
      <c r="B671" s="1" t="n">
        <v>45114</v>
      </c>
      <c r="C671" s="1" t="n">
        <v>45352</v>
      </c>
      <c r="D671" t="inlineStr">
        <is>
          <t>DALARNAS LÄN</t>
        </is>
      </c>
      <c r="E671" t="inlineStr">
        <is>
          <t>SMEDJEBACKEN</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31277-2023</t>
        </is>
      </c>
      <c r="B672" s="1" t="n">
        <v>45114</v>
      </c>
      <c r="C672" s="1" t="n">
        <v>45352</v>
      </c>
      <c r="D672" t="inlineStr">
        <is>
          <t>DALARNAS LÄN</t>
        </is>
      </c>
      <c r="E672" t="inlineStr">
        <is>
          <t>SMEDJEBACKEN</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31280-2023</t>
        </is>
      </c>
      <c r="B673" s="1" t="n">
        <v>45114</v>
      </c>
      <c r="C673" s="1" t="n">
        <v>45352</v>
      </c>
      <c r="D673" t="inlineStr">
        <is>
          <t>DALARNAS LÄN</t>
        </is>
      </c>
      <c r="E673" t="inlineStr">
        <is>
          <t>SMEDJEBACKEN</t>
        </is>
      </c>
      <c r="F673" t="inlineStr">
        <is>
          <t>Sveaskog</t>
        </is>
      </c>
      <c r="G673" t="n">
        <v>6.2</v>
      </c>
      <c r="H673" t="n">
        <v>0</v>
      </c>
      <c r="I673" t="n">
        <v>0</v>
      </c>
      <c r="J673" t="n">
        <v>0</v>
      </c>
      <c r="K673" t="n">
        <v>0</v>
      </c>
      <c r="L673" t="n">
        <v>0</v>
      </c>
      <c r="M673" t="n">
        <v>0</v>
      </c>
      <c r="N673" t="n">
        <v>0</v>
      </c>
      <c r="O673" t="n">
        <v>0</v>
      </c>
      <c r="P673" t="n">
        <v>0</v>
      </c>
      <c r="Q673" t="n">
        <v>0</v>
      </c>
      <c r="R673" s="2" t="inlineStr"/>
    </row>
    <row r="674" ht="15" customHeight="1">
      <c r="A674" t="inlineStr">
        <is>
          <t>A 31284-2023</t>
        </is>
      </c>
      <c r="B674" s="1" t="n">
        <v>45114</v>
      </c>
      <c r="C674" s="1" t="n">
        <v>45352</v>
      </c>
      <c r="D674" t="inlineStr">
        <is>
          <t>DALARNAS LÄN</t>
        </is>
      </c>
      <c r="E674" t="inlineStr">
        <is>
          <t>SMEDJEBACKEN</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32029-2023</t>
        </is>
      </c>
      <c r="B675" s="1" t="n">
        <v>45119</v>
      </c>
      <c r="C675" s="1" t="n">
        <v>45352</v>
      </c>
      <c r="D675" t="inlineStr">
        <is>
          <t>DALARNAS LÄN</t>
        </is>
      </c>
      <c r="E675" t="inlineStr">
        <is>
          <t>SMEDJEBACKEN</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32600-2023</t>
        </is>
      </c>
      <c r="B676" s="1" t="n">
        <v>45121</v>
      </c>
      <c r="C676" s="1" t="n">
        <v>45352</v>
      </c>
      <c r="D676" t="inlineStr">
        <is>
          <t>DALARNAS LÄN</t>
        </is>
      </c>
      <c r="E676" t="inlineStr">
        <is>
          <t>SMEDJEBACKEN</t>
        </is>
      </c>
      <c r="F676" t="inlineStr">
        <is>
          <t>Bergvik skog väst AB</t>
        </is>
      </c>
      <c r="G676" t="n">
        <v>1.9</v>
      </c>
      <c r="H676" t="n">
        <v>0</v>
      </c>
      <c r="I676" t="n">
        <v>0</v>
      </c>
      <c r="J676" t="n">
        <v>0</v>
      </c>
      <c r="K676" t="n">
        <v>0</v>
      </c>
      <c r="L676" t="n">
        <v>0</v>
      </c>
      <c r="M676" t="n">
        <v>0</v>
      </c>
      <c r="N676" t="n">
        <v>0</v>
      </c>
      <c r="O676" t="n">
        <v>0</v>
      </c>
      <c r="P676" t="n">
        <v>0</v>
      </c>
      <c r="Q676" t="n">
        <v>0</v>
      </c>
      <c r="R676" s="2" t="inlineStr"/>
    </row>
    <row r="677" ht="15" customHeight="1">
      <c r="A677" t="inlineStr">
        <is>
          <t>A 33913-2023</t>
        </is>
      </c>
      <c r="B677" s="1" t="n">
        <v>45123</v>
      </c>
      <c r="C677" s="1" t="n">
        <v>45352</v>
      </c>
      <c r="D677" t="inlineStr">
        <is>
          <t>DALARNAS LÄN</t>
        </is>
      </c>
      <c r="E677" t="inlineStr">
        <is>
          <t>SMEDJEBACKEN</t>
        </is>
      </c>
      <c r="G677" t="n">
        <v>1.8</v>
      </c>
      <c r="H677" t="n">
        <v>0</v>
      </c>
      <c r="I677" t="n">
        <v>0</v>
      </c>
      <c r="J677" t="n">
        <v>0</v>
      </c>
      <c r="K677" t="n">
        <v>0</v>
      </c>
      <c r="L677" t="n">
        <v>0</v>
      </c>
      <c r="M677" t="n">
        <v>0</v>
      </c>
      <c r="N677" t="n">
        <v>0</v>
      </c>
      <c r="O677" t="n">
        <v>0</v>
      </c>
      <c r="P677" t="n">
        <v>0</v>
      </c>
      <c r="Q677" t="n">
        <v>0</v>
      </c>
      <c r="R677" s="2" t="inlineStr"/>
    </row>
    <row r="678" ht="15" customHeight="1">
      <c r="A678" t="inlineStr">
        <is>
          <t>A 33960-2023</t>
        </is>
      </c>
      <c r="B678" s="1" t="n">
        <v>45124</v>
      </c>
      <c r="C678" s="1" t="n">
        <v>45352</v>
      </c>
      <c r="D678" t="inlineStr">
        <is>
          <t>DALARNAS LÄN</t>
        </is>
      </c>
      <c r="E678" t="inlineStr">
        <is>
          <t>SMEDJEBACKEN</t>
        </is>
      </c>
      <c r="G678" t="n">
        <v>2.6</v>
      </c>
      <c r="H678" t="n">
        <v>0</v>
      </c>
      <c r="I678" t="n">
        <v>0</v>
      </c>
      <c r="J678" t="n">
        <v>0</v>
      </c>
      <c r="K678" t="n">
        <v>0</v>
      </c>
      <c r="L678" t="n">
        <v>0</v>
      </c>
      <c r="M678" t="n">
        <v>0</v>
      </c>
      <c r="N678" t="n">
        <v>0</v>
      </c>
      <c r="O678" t="n">
        <v>0</v>
      </c>
      <c r="P678" t="n">
        <v>0</v>
      </c>
      <c r="Q678" t="n">
        <v>0</v>
      </c>
      <c r="R678" s="2" t="inlineStr"/>
    </row>
    <row r="679" ht="15" customHeight="1">
      <c r="A679" t="inlineStr">
        <is>
          <t>A 32926-2023</t>
        </is>
      </c>
      <c r="B679" s="1" t="n">
        <v>45125</v>
      </c>
      <c r="C679" s="1" t="n">
        <v>45352</v>
      </c>
      <c r="D679" t="inlineStr">
        <is>
          <t>DALARNAS LÄN</t>
        </is>
      </c>
      <c r="E679" t="inlineStr">
        <is>
          <t>SMEDJEBACKEN</t>
        </is>
      </c>
      <c r="F679" t="inlineStr">
        <is>
          <t>Övriga Aktiebolag</t>
        </is>
      </c>
      <c r="G679" t="n">
        <v>16.1</v>
      </c>
      <c r="H679" t="n">
        <v>0</v>
      </c>
      <c r="I679" t="n">
        <v>0</v>
      </c>
      <c r="J679" t="n">
        <v>0</v>
      </c>
      <c r="K679" t="n">
        <v>0</v>
      </c>
      <c r="L679" t="n">
        <v>0</v>
      </c>
      <c r="M679" t="n">
        <v>0</v>
      </c>
      <c r="N679" t="n">
        <v>0</v>
      </c>
      <c r="O679" t="n">
        <v>0</v>
      </c>
      <c r="P679" t="n">
        <v>0</v>
      </c>
      <c r="Q679" t="n">
        <v>0</v>
      </c>
      <c r="R679" s="2" t="inlineStr"/>
    </row>
    <row r="680" ht="15" customHeight="1">
      <c r="A680" t="inlineStr">
        <is>
          <t>A 34039-2023</t>
        </is>
      </c>
      <c r="B680" s="1" t="n">
        <v>45125</v>
      </c>
      <c r="C680" s="1" t="n">
        <v>45352</v>
      </c>
      <c r="D680" t="inlineStr">
        <is>
          <t>DALARNAS LÄN</t>
        </is>
      </c>
      <c r="E680" t="inlineStr">
        <is>
          <t>SMEDJEBACKEN</t>
        </is>
      </c>
      <c r="G680" t="n">
        <v>2</v>
      </c>
      <c r="H680" t="n">
        <v>0</v>
      </c>
      <c r="I680" t="n">
        <v>0</v>
      </c>
      <c r="J680" t="n">
        <v>0</v>
      </c>
      <c r="K680" t="n">
        <v>0</v>
      </c>
      <c r="L680" t="n">
        <v>0</v>
      </c>
      <c r="M680" t="n">
        <v>0</v>
      </c>
      <c r="N680" t="n">
        <v>0</v>
      </c>
      <c r="O680" t="n">
        <v>0</v>
      </c>
      <c r="P680" t="n">
        <v>0</v>
      </c>
      <c r="Q680" t="n">
        <v>0</v>
      </c>
      <c r="R680" s="2" t="inlineStr"/>
    </row>
    <row r="681" ht="15" customHeight="1">
      <c r="A681" t="inlineStr">
        <is>
          <t>A 33487-2023</t>
        </is>
      </c>
      <c r="B681" s="1" t="n">
        <v>45131</v>
      </c>
      <c r="C681" s="1" t="n">
        <v>45352</v>
      </c>
      <c r="D681" t="inlineStr">
        <is>
          <t>DALARNAS LÄN</t>
        </is>
      </c>
      <c r="E681" t="inlineStr">
        <is>
          <t>SMEDJEBACKEN</t>
        </is>
      </c>
      <c r="G681" t="n">
        <v>1.3</v>
      </c>
      <c r="H681" t="n">
        <v>0</v>
      </c>
      <c r="I681" t="n">
        <v>0</v>
      </c>
      <c r="J681" t="n">
        <v>0</v>
      </c>
      <c r="K681" t="n">
        <v>0</v>
      </c>
      <c r="L681" t="n">
        <v>0</v>
      </c>
      <c r="M681" t="n">
        <v>0</v>
      </c>
      <c r="N681" t="n">
        <v>0</v>
      </c>
      <c r="O681" t="n">
        <v>0</v>
      </c>
      <c r="P681" t="n">
        <v>0</v>
      </c>
      <c r="Q681" t="n">
        <v>0</v>
      </c>
      <c r="R681" s="2" t="inlineStr"/>
    </row>
    <row r="682" ht="15" customHeight="1">
      <c r="A682" t="inlineStr">
        <is>
          <t>A 33486-2023</t>
        </is>
      </c>
      <c r="B682" s="1" t="n">
        <v>45131</v>
      </c>
      <c r="C682" s="1" t="n">
        <v>45352</v>
      </c>
      <c r="D682" t="inlineStr">
        <is>
          <t>DALARNAS LÄN</t>
        </is>
      </c>
      <c r="E682" t="inlineStr">
        <is>
          <t>SMEDJEBACKEN</t>
        </is>
      </c>
      <c r="G682" t="n">
        <v>0.8</v>
      </c>
      <c r="H682" t="n">
        <v>0</v>
      </c>
      <c r="I682" t="n">
        <v>0</v>
      </c>
      <c r="J682" t="n">
        <v>0</v>
      </c>
      <c r="K682" t="n">
        <v>0</v>
      </c>
      <c r="L682" t="n">
        <v>0</v>
      </c>
      <c r="M682" t="n">
        <v>0</v>
      </c>
      <c r="N682" t="n">
        <v>0</v>
      </c>
      <c r="O682" t="n">
        <v>0</v>
      </c>
      <c r="P682" t="n">
        <v>0</v>
      </c>
      <c r="Q682" t="n">
        <v>0</v>
      </c>
      <c r="R682" s="2" t="inlineStr"/>
    </row>
    <row r="683" ht="15" customHeight="1">
      <c r="A683" t="inlineStr">
        <is>
          <t>A 34568-2023</t>
        </is>
      </c>
      <c r="B683" s="1" t="n">
        <v>45140</v>
      </c>
      <c r="C683" s="1" t="n">
        <v>45352</v>
      </c>
      <c r="D683" t="inlineStr">
        <is>
          <t>DALARNAS LÄN</t>
        </is>
      </c>
      <c r="E683" t="inlineStr">
        <is>
          <t>SMEDJEBACKEN</t>
        </is>
      </c>
      <c r="G683" t="n">
        <v>10.6</v>
      </c>
      <c r="H683" t="n">
        <v>0</v>
      </c>
      <c r="I683" t="n">
        <v>0</v>
      </c>
      <c r="J683" t="n">
        <v>0</v>
      </c>
      <c r="K683" t="n">
        <v>0</v>
      </c>
      <c r="L683" t="n">
        <v>0</v>
      </c>
      <c r="M683" t="n">
        <v>0</v>
      </c>
      <c r="N683" t="n">
        <v>0</v>
      </c>
      <c r="O683" t="n">
        <v>0</v>
      </c>
      <c r="P683" t="n">
        <v>0</v>
      </c>
      <c r="Q683" t="n">
        <v>0</v>
      </c>
      <c r="R683" s="2" t="inlineStr"/>
    </row>
    <row r="684" ht="15" customHeight="1">
      <c r="A684" t="inlineStr">
        <is>
          <t>A 34673-2023</t>
        </is>
      </c>
      <c r="B684" s="1" t="n">
        <v>45140</v>
      </c>
      <c r="C684" s="1" t="n">
        <v>45352</v>
      </c>
      <c r="D684" t="inlineStr">
        <is>
          <t>DALARNAS LÄN</t>
        </is>
      </c>
      <c r="E684" t="inlineStr">
        <is>
          <t>SMEDJEBACKEN</t>
        </is>
      </c>
      <c r="G684" t="n">
        <v>10</v>
      </c>
      <c r="H684" t="n">
        <v>0</v>
      </c>
      <c r="I684" t="n">
        <v>0</v>
      </c>
      <c r="J684" t="n">
        <v>0</v>
      </c>
      <c r="K684" t="n">
        <v>0</v>
      </c>
      <c r="L684" t="n">
        <v>0</v>
      </c>
      <c r="M684" t="n">
        <v>0</v>
      </c>
      <c r="N684" t="n">
        <v>0</v>
      </c>
      <c r="O684" t="n">
        <v>0</v>
      </c>
      <c r="P684" t="n">
        <v>0</v>
      </c>
      <c r="Q684" t="n">
        <v>0</v>
      </c>
      <c r="R684" s="2" t="inlineStr"/>
    </row>
    <row r="685" ht="15" customHeight="1">
      <c r="A685" t="inlineStr">
        <is>
          <t>A 34671-2023</t>
        </is>
      </c>
      <c r="B685" s="1" t="n">
        <v>45140</v>
      </c>
      <c r="C685" s="1" t="n">
        <v>45352</v>
      </c>
      <c r="D685" t="inlineStr">
        <is>
          <t>DALARNAS LÄN</t>
        </is>
      </c>
      <c r="E685" t="inlineStr">
        <is>
          <t>SMEDJEBACKEN</t>
        </is>
      </c>
      <c r="G685" t="n">
        <v>5.5</v>
      </c>
      <c r="H685" t="n">
        <v>0</v>
      </c>
      <c r="I685" t="n">
        <v>0</v>
      </c>
      <c r="J685" t="n">
        <v>0</v>
      </c>
      <c r="K685" t="n">
        <v>0</v>
      </c>
      <c r="L685" t="n">
        <v>0</v>
      </c>
      <c r="M685" t="n">
        <v>0</v>
      </c>
      <c r="N685" t="n">
        <v>0</v>
      </c>
      <c r="O685" t="n">
        <v>0</v>
      </c>
      <c r="P685" t="n">
        <v>0</v>
      </c>
      <c r="Q685" t="n">
        <v>0</v>
      </c>
      <c r="R685" s="2" t="inlineStr"/>
    </row>
    <row r="686" ht="15" customHeight="1">
      <c r="A686" t="inlineStr">
        <is>
          <t>A 35247-2023</t>
        </is>
      </c>
      <c r="B686" s="1" t="n">
        <v>45145</v>
      </c>
      <c r="C686" s="1" t="n">
        <v>45352</v>
      </c>
      <c r="D686" t="inlineStr">
        <is>
          <t>DALARNAS LÄN</t>
        </is>
      </c>
      <c r="E686" t="inlineStr">
        <is>
          <t>SMEDJEBACKEN</t>
        </is>
      </c>
      <c r="G686" t="n">
        <v>2.4</v>
      </c>
      <c r="H686" t="n">
        <v>0</v>
      </c>
      <c r="I686" t="n">
        <v>0</v>
      </c>
      <c r="J686" t="n">
        <v>0</v>
      </c>
      <c r="K686" t="n">
        <v>0</v>
      </c>
      <c r="L686" t="n">
        <v>0</v>
      </c>
      <c r="M686" t="n">
        <v>0</v>
      </c>
      <c r="N686" t="n">
        <v>0</v>
      </c>
      <c r="O686" t="n">
        <v>0</v>
      </c>
      <c r="P686" t="n">
        <v>0</v>
      </c>
      <c r="Q686" t="n">
        <v>0</v>
      </c>
      <c r="R686" s="2" t="inlineStr"/>
    </row>
    <row r="687" ht="15" customHeight="1">
      <c r="A687" t="inlineStr">
        <is>
          <t>A 35720-2023</t>
        </is>
      </c>
      <c r="B687" s="1" t="n">
        <v>45147</v>
      </c>
      <c r="C687" s="1" t="n">
        <v>45352</v>
      </c>
      <c r="D687" t="inlineStr">
        <is>
          <t>DALARNAS LÄN</t>
        </is>
      </c>
      <c r="E687" t="inlineStr">
        <is>
          <t>SMEDJEBACKEN</t>
        </is>
      </c>
      <c r="G687" t="n">
        <v>2.1</v>
      </c>
      <c r="H687" t="n">
        <v>0</v>
      </c>
      <c r="I687" t="n">
        <v>0</v>
      </c>
      <c r="J687" t="n">
        <v>0</v>
      </c>
      <c r="K687" t="n">
        <v>0</v>
      </c>
      <c r="L687" t="n">
        <v>0</v>
      </c>
      <c r="M687" t="n">
        <v>0</v>
      </c>
      <c r="N687" t="n">
        <v>0</v>
      </c>
      <c r="O687" t="n">
        <v>0</v>
      </c>
      <c r="P687" t="n">
        <v>0</v>
      </c>
      <c r="Q687" t="n">
        <v>0</v>
      </c>
      <c r="R687" s="2" t="inlineStr"/>
    </row>
    <row r="688" ht="15" customHeight="1">
      <c r="A688" t="inlineStr">
        <is>
          <t>A 36063-2023</t>
        </is>
      </c>
      <c r="B688" s="1" t="n">
        <v>45149</v>
      </c>
      <c r="C688" s="1" t="n">
        <v>45352</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36661-2023</t>
        </is>
      </c>
      <c r="B689" s="1" t="n">
        <v>45153</v>
      </c>
      <c r="C689" s="1" t="n">
        <v>45352</v>
      </c>
      <c r="D689" t="inlineStr">
        <is>
          <t>DALARNAS LÄN</t>
        </is>
      </c>
      <c r="E689" t="inlineStr">
        <is>
          <t>SMEDJEBACKEN</t>
        </is>
      </c>
      <c r="F689" t="inlineStr">
        <is>
          <t>Sveaskog</t>
        </is>
      </c>
      <c r="G689" t="n">
        <v>3.6</v>
      </c>
      <c r="H689" t="n">
        <v>0</v>
      </c>
      <c r="I689" t="n">
        <v>0</v>
      </c>
      <c r="J689" t="n">
        <v>0</v>
      </c>
      <c r="K689" t="n">
        <v>0</v>
      </c>
      <c r="L689" t="n">
        <v>0</v>
      </c>
      <c r="M689" t="n">
        <v>0</v>
      </c>
      <c r="N689" t="n">
        <v>0</v>
      </c>
      <c r="O689" t="n">
        <v>0</v>
      </c>
      <c r="P689" t="n">
        <v>0</v>
      </c>
      <c r="Q689" t="n">
        <v>0</v>
      </c>
      <c r="R689" s="2" t="inlineStr"/>
    </row>
    <row r="690" ht="15" customHeight="1">
      <c r="A690" t="inlineStr">
        <is>
          <t>A 36614-2023</t>
        </is>
      </c>
      <c r="B690" s="1" t="n">
        <v>45153</v>
      </c>
      <c r="C690" s="1" t="n">
        <v>45352</v>
      </c>
      <c r="D690" t="inlineStr">
        <is>
          <t>DALARNAS LÄN</t>
        </is>
      </c>
      <c r="E690" t="inlineStr">
        <is>
          <t>SMEDJEBACKEN</t>
        </is>
      </c>
      <c r="G690" t="n">
        <v>8</v>
      </c>
      <c r="H690" t="n">
        <v>0</v>
      </c>
      <c r="I690" t="n">
        <v>0</v>
      </c>
      <c r="J690" t="n">
        <v>0</v>
      </c>
      <c r="K690" t="n">
        <v>0</v>
      </c>
      <c r="L690" t="n">
        <v>0</v>
      </c>
      <c r="M690" t="n">
        <v>0</v>
      </c>
      <c r="N690" t="n">
        <v>0</v>
      </c>
      <c r="O690" t="n">
        <v>0</v>
      </c>
      <c r="P690" t="n">
        <v>0</v>
      </c>
      <c r="Q690" t="n">
        <v>0</v>
      </c>
      <c r="R690" s="2" t="inlineStr"/>
    </row>
    <row r="691" ht="15" customHeight="1">
      <c r="A691" t="inlineStr">
        <is>
          <t>A 36667-2023</t>
        </is>
      </c>
      <c r="B691" s="1" t="n">
        <v>45153</v>
      </c>
      <c r="C691" s="1" t="n">
        <v>45352</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37046-2023</t>
        </is>
      </c>
      <c r="B692" s="1" t="n">
        <v>45154</v>
      </c>
      <c r="C692" s="1" t="n">
        <v>45352</v>
      </c>
      <c r="D692" t="inlineStr">
        <is>
          <t>DALARNAS LÄN</t>
        </is>
      </c>
      <c r="E692" t="inlineStr">
        <is>
          <t>SMEDJEBACKEN</t>
        </is>
      </c>
      <c r="G692" t="n">
        <v>21.9</v>
      </c>
      <c r="H692" t="n">
        <v>0</v>
      </c>
      <c r="I692" t="n">
        <v>0</v>
      </c>
      <c r="J692" t="n">
        <v>0</v>
      </c>
      <c r="K692" t="n">
        <v>0</v>
      </c>
      <c r="L692" t="n">
        <v>0</v>
      </c>
      <c r="M692" t="n">
        <v>0</v>
      </c>
      <c r="N692" t="n">
        <v>0</v>
      </c>
      <c r="O692" t="n">
        <v>0</v>
      </c>
      <c r="P692" t="n">
        <v>0</v>
      </c>
      <c r="Q692" t="n">
        <v>0</v>
      </c>
      <c r="R692" s="2" t="inlineStr"/>
    </row>
    <row r="693" ht="15" customHeight="1">
      <c r="A693" t="inlineStr">
        <is>
          <t>A 37024-2023</t>
        </is>
      </c>
      <c r="B693" s="1" t="n">
        <v>45154</v>
      </c>
      <c r="C693" s="1" t="n">
        <v>45352</v>
      </c>
      <c r="D693" t="inlineStr">
        <is>
          <t>DALARNAS LÄN</t>
        </is>
      </c>
      <c r="E693" t="inlineStr">
        <is>
          <t>SMEDJEBACKEN</t>
        </is>
      </c>
      <c r="G693" t="n">
        <v>3.2</v>
      </c>
      <c r="H693" t="n">
        <v>0</v>
      </c>
      <c r="I693" t="n">
        <v>0</v>
      </c>
      <c r="J693" t="n">
        <v>0</v>
      </c>
      <c r="K693" t="n">
        <v>0</v>
      </c>
      <c r="L693" t="n">
        <v>0</v>
      </c>
      <c r="M693" t="n">
        <v>0</v>
      </c>
      <c r="N693" t="n">
        <v>0</v>
      </c>
      <c r="O693" t="n">
        <v>0</v>
      </c>
      <c r="P693" t="n">
        <v>0</v>
      </c>
      <c r="Q693" t="n">
        <v>0</v>
      </c>
      <c r="R693" s="2" t="inlineStr"/>
    </row>
    <row r="694" ht="15" customHeight="1">
      <c r="A694" t="inlineStr">
        <is>
          <t>A 37560-2023</t>
        </is>
      </c>
      <c r="B694" s="1" t="n">
        <v>45159</v>
      </c>
      <c r="C694" s="1" t="n">
        <v>45352</v>
      </c>
      <c r="D694" t="inlineStr">
        <is>
          <t>DALARNAS LÄN</t>
        </is>
      </c>
      <c r="E694" t="inlineStr">
        <is>
          <t>SMEDJEBACKEN</t>
        </is>
      </c>
      <c r="F694" t="inlineStr">
        <is>
          <t>Sveaskog</t>
        </is>
      </c>
      <c r="G694" t="n">
        <v>3</v>
      </c>
      <c r="H694" t="n">
        <v>0</v>
      </c>
      <c r="I694" t="n">
        <v>0</v>
      </c>
      <c r="J694" t="n">
        <v>0</v>
      </c>
      <c r="K694" t="n">
        <v>0</v>
      </c>
      <c r="L694" t="n">
        <v>0</v>
      </c>
      <c r="M694" t="n">
        <v>0</v>
      </c>
      <c r="N694" t="n">
        <v>0</v>
      </c>
      <c r="O694" t="n">
        <v>0</v>
      </c>
      <c r="P694" t="n">
        <v>0</v>
      </c>
      <c r="Q694" t="n">
        <v>0</v>
      </c>
      <c r="R694" s="2" t="inlineStr"/>
    </row>
    <row r="695" ht="15" customHeight="1">
      <c r="A695" t="inlineStr">
        <is>
          <t>A 37561-2023</t>
        </is>
      </c>
      <c r="B695" s="1" t="n">
        <v>45159</v>
      </c>
      <c r="C695" s="1" t="n">
        <v>45352</v>
      </c>
      <c r="D695" t="inlineStr">
        <is>
          <t>DALARNAS LÄN</t>
        </is>
      </c>
      <c r="E695" t="inlineStr">
        <is>
          <t>SMEDJEBACKEN</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38440-2023</t>
        </is>
      </c>
      <c r="B696" s="1" t="n">
        <v>45162</v>
      </c>
      <c r="C696" s="1" t="n">
        <v>45352</v>
      </c>
      <c r="D696" t="inlineStr">
        <is>
          <t>DALARNAS LÄN</t>
        </is>
      </c>
      <c r="E696" t="inlineStr">
        <is>
          <t>SMEDJEBACKEN</t>
        </is>
      </c>
      <c r="G696" t="n">
        <v>7.3</v>
      </c>
      <c r="H696" t="n">
        <v>0</v>
      </c>
      <c r="I696" t="n">
        <v>0</v>
      </c>
      <c r="J696" t="n">
        <v>0</v>
      </c>
      <c r="K696" t="n">
        <v>0</v>
      </c>
      <c r="L696" t="n">
        <v>0</v>
      </c>
      <c r="M696" t="n">
        <v>0</v>
      </c>
      <c r="N696" t="n">
        <v>0</v>
      </c>
      <c r="O696" t="n">
        <v>0</v>
      </c>
      <c r="P696" t="n">
        <v>0</v>
      </c>
      <c r="Q696" t="n">
        <v>0</v>
      </c>
      <c r="R696" s="2" t="inlineStr"/>
    </row>
    <row r="697" ht="15" customHeight="1">
      <c r="A697" t="inlineStr">
        <is>
          <t>A 38752-2023</t>
        </is>
      </c>
      <c r="B697" s="1" t="n">
        <v>45163</v>
      </c>
      <c r="C697" s="1" t="n">
        <v>45352</v>
      </c>
      <c r="D697" t="inlineStr">
        <is>
          <t>DALARNAS LÄN</t>
        </is>
      </c>
      <c r="E697" t="inlineStr">
        <is>
          <t>SMEDJEBACKEN</t>
        </is>
      </c>
      <c r="F697" t="inlineStr">
        <is>
          <t>Sveaskog</t>
        </is>
      </c>
      <c r="G697" t="n">
        <v>2.9</v>
      </c>
      <c r="H697" t="n">
        <v>0</v>
      </c>
      <c r="I697" t="n">
        <v>0</v>
      </c>
      <c r="J697" t="n">
        <v>0</v>
      </c>
      <c r="K697" t="n">
        <v>0</v>
      </c>
      <c r="L697" t="n">
        <v>0</v>
      </c>
      <c r="M697" t="n">
        <v>0</v>
      </c>
      <c r="N697" t="n">
        <v>0</v>
      </c>
      <c r="O697" t="n">
        <v>0</v>
      </c>
      <c r="P697" t="n">
        <v>0</v>
      </c>
      <c r="Q697" t="n">
        <v>0</v>
      </c>
      <c r="R697" s="2" t="inlineStr"/>
    </row>
    <row r="698" ht="15" customHeight="1">
      <c r="A698" t="inlineStr">
        <is>
          <t>A 38747-2023</t>
        </is>
      </c>
      <c r="B698" s="1" t="n">
        <v>45163</v>
      </c>
      <c r="C698" s="1" t="n">
        <v>45352</v>
      </c>
      <c r="D698" t="inlineStr">
        <is>
          <t>DALARNAS LÄN</t>
        </is>
      </c>
      <c r="E698" t="inlineStr">
        <is>
          <t>SMEDJEBACKEN</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38751-2023</t>
        </is>
      </c>
      <c r="B699" s="1" t="n">
        <v>45163</v>
      </c>
      <c r="C699" s="1" t="n">
        <v>45352</v>
      </c>
      <c r="D699" t="inlineStr">
        <is>
          <t>DALARNAS LÄN</t>
        </is>
      </c>
      <c r="E699" t="inlineStr">
        <is>
          <t>SMEDJEBACKEN</t>
        </is>
      </c>
      <c r="F699" t="inlineStr">
        <is>
          <t>Sveaskog</t>
        </is>
      </c>
      <c r="G699" t="n">
        <v>13.9</v>
      </c>
      <c r="H699" t="n">
        <v>0</v>
      </c>
      <c r="I699" t="n">
        <v>0</v>
      </c>
      <c r="J699" t="n">
        <v>0</v>
      </c>
      <c r="K699" t="n">
        <v>0</v>
      </c>
      <c r="L699" t="n">
        <v>0</v>
      </c>
      <c r="M699" t="n">
        <v>0</v>
      </c>
      <c r="N699" t="n">
        <v>0</v>
      </c>
      <c r="O699" t="n">
        <v>0</v>
      </c>
      <c r="P699" t="n">
        <v>0</v>
      </c>
      <c r="Q699" t="n">
        <v>0</v>
      </c>
      <c r="R699" s="2" t="inlineStr"/>
    </row>
    <row r="700" ht="15" customHeight="1">
      <c r="A700" t="inlineStr">
        <is>
          <t>A 38746-2023</t>
        </is>
      </c>
      <c r="B700" s="1" t="n">
        <v>45163</v>
      </c>
      <c r="C700" s="1" t="n">
        <v>45352</v>
      </c>
      <c r="D700" t="inlineStr">
        <is>
          <t>DALARNAS LÄN</t>
        </is>
      </c>
      <c r="E700" t="inlineStr">
        <is>
          <t>SMEDJEBACKEN</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38766-2023</t>
        </is>
      </c>
      <c r="B701" s="1" t="n">
        <v>45163</v>
      </c>
      <c r="C701" s="1" t="n">
        <v>45352</v>
      </c>
      <c r="D701" t="inlineStr">
        <is>
          <t>DALARNAS LÄN</t>
        </is>
      </c>
      <c r="E701" t="inlineStr">
        <is>
          <t>SMEDJEBACKEN</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38770-2023</t>
        </is>
      </c>
      <c r="B702" s="1" t="n">
        <v>45163</v>
      </c>
      <c r="C702" s="1" t="n">
        <v>45352</v>
      </c>
      <c r="D702" t="inlineStr">
        <is>
          <t>DALARNAS LÄN</t>
        </is>
      </c>
      <c r="E702" t="inlineStr">
        <is>
          <t>SMEDJEBACKEN</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38767-2023</t>
        </is>
      </c>
      <c r="B703" s="1" t="n">
        <v>45163</v>
      </c>
      <c r="C703" s="1" t="n">
        <v>45352</v>
      </c>
      <c r="D703" t="inlineStr">
        <is>
          <t>DALARNAS LÄN</t>
        </is>
      </c>
      <c r="E703" t="inlineStr">
        <is>
          <t>SMEDJEBACKEN</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38771-2023</t>
        </is>
      </c>
      <c r="B704" s="1" t="n">
        <v>45163</v>
      </c>
      <c r="C704" s="1" t="n">
        <v>45352</v>
      </c>
      <c r="D704" t="inlineStr">
        <is>
          <t>DALARNAS LÄN</t>
        </is>
      </c>
      <c r="E704" t="inlineStr">
        <is>
          <t>SMEDJEBACKEN</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38765-2023</t>
        </is>
      </c>
      <c r="B705" s="1" t="n">
        <v>45163</v>
      </c>
      <c r="C705" s="1" t="n">
        <v>45352</v>
      </c>
      <c r="D705" t="inlineStr">
        <is>
          <t>DALARNAS LÄN</t>
        </is>
      </c>
      <c r="E705" t="inlineStr">
        <is>
          <t>SMEDJEBACKEN</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39758-2023</t>
        </is>
      </c>
      <c r="B706" s="1" t="n">
        <v>45167</v>
      </c>
      <c r="C706" s="1" t="n">
        <v>45352</v>
      </c>
      <c r="D706" t="inlineStr">
        <is>
          <t>DALARNAS LÄN</t>
        </is>
      </c>
      <c r="E706" t="inlineStr">
        <is>
          <t>SMEDJEBACKEN</t>
        </is>
      </c>
      <c r="F706" t="inlineStr">
        <is>
          <t>Övriga Aktiebolag</t>
        </is>
      </c>
      <c r="G706" t="n">
        <v>6.6</v>
      </c>
      <c r="H706" t="n">
        <v>0</v>
      </c>
      <c r="I706" t="n">
        <v>0</v>
      </c>
      <c r="J706" t="n">
        <v>0</v>
      </c>
      <c r="K706" t="n">
        <v>0</v>
      </c>
      <c r="L706" t="n">
        <v>0</v>
      </c>
      <c r="M706" t="n">
        <v>0</v>
      </c>
      <c r="N706" t="n">
        <v>0</v>
      </c>
      <c r="O706" t="n">
        <v>0</v>
      </c>
      <c r="P706" t="n">
        <v>0</v>
      </c>
      <c r="Q706" t="n">
        <v>0</v>
      </c>
      <c r="R706" s="2" t="inlineStr"/>
    </row>
    <row r="707" ht="15" customHeight="1">
      <c r="A707" t="inlineStr">
        <is>
          <t>A 40576-2023</t>
        </is>
      </c>
      <c r="B707" s="1" t="n">
        <v>45170</v>
      </c>
      <c r="C707" s="1" t="n">
        <v>45352</v>
      </c>
      <c r="D707" t="inlineStr">
        <is>
          <t>DALARNAS LÄN</t>
        </is>
      </c>
      <c r="E707" t="inlineStr">
        <is>
          <t>SMEDJEBACKEN</t>
        </is>
      </c>
      <c r="F707" t="inlineStr">
        <is>
          <t>Sveaskog</t>
        </is>
      </c>
      <c r="G707" t="n">
        <v>3.9</v>
      </c>
      <c r="H707" t="n">
        <v>0</v>
      </c>
      <c r="I707" t="n">
        <v>0</v>
      </c>
      <c r="J707" t="n">
        <v>0</v>
      </c>
      <c r="K707" t="n">
        <v>0</v>
      </c>
      <c r="L707" t="n">
        <v>0</v>
      </c>
      <c r="M707" t="n">
        <v>0</v>
      </c>
      <c r="N707" t="n">
        <v>0</v>
      </c>
      <c r="O707" t="n">
        <v>0</v>
      </c>
      <c r="P707" t="n">
        <v>0</v>
      </c>
      <c r="Q707" t="n">
        <v>0</v>
      </c>
      <c r="R707" s="2" t="inlineStr"/>
    </row>
    <row r="708" ht="15" customHeight="1">
      <c r="A708" t="inlineStr">
        <is>
          <t>A 40591-2023</t>
        </is>
      </c>
      <c r="B708" s="1" t="n">
        <v>45170</v>
      </c>
      <c r="C708" s="1" t="n">
        <v>45352</v>
      </c>
      <c r="D708" t="inlineStr">
        <is>
          <t>DALARNAS LÄN</t>
        </is>
      </c>
      <c r="E708" t="inlineStr">
        <is>
          <t>SMEDJEBACKEN</t>
        </is>
      </c>
      <c r="F708" t="inlineStr">
        <is>
          <t>Sveaskog</t>
        </is>
      </c>
      <c r="G708" t="n">
        <v>6.8</v>
      </c>
      <c r="H708" t="n">
        <v>0</v>
      </c>
      <c r="I708" t="n">
        <v>0</v>
      </c>
      <c r="J708" t="n">
        <v>0</v>
      </c>
      <c r="K708" t="n">
        <v>0</v>
      </c>
      <c r="L708" t="n">
        <v>0</v>
      </c>
      <c r="M708" t="n">
        <v>0</v>
      </c>
      <c r="N708" t="n">
        <v>0</v>
      </c>
      <c r="O708" t="n">
        <v>0</v>
      </c>
      <c r="P708" t="n">
        <v>0</v>
      </c>
      <c r="Q708" t="n">
        <v>0</v>
      </c>
      <c r="R708" s="2" t="inlineStr"/>
    </row>
    <row r="709" ht="15" customHeight="1">
      <c r="A709" t="inlineStr">
        <is>
          <t>A 40571-2023</t>
        </is>
      </c>
      <c r="B709" s="1" t="n">
        <v>45170</v>
      </c>
      <c r="C709" s="1" t="n">
        <v>45352</v>
      </c>
      <c r="D709" t="inlineStr">
        <is>
          <t>DALARNAS LÄN</t>
        </is>
      </c>
      <c r="E709" t="inlineStr">
        <is>
          <t>SMEDJEBACKEN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40587-2023</t>
        </is>
      </c>
      <c r="B710" s="1" t="n">
        <v>45170</v>
      </c>
      <c r="C710" s="1" t="n">
        <v>45352</v>
      </c>
      <c r="D710" t="inlineStr">
        <is>
          <t>DALARNAS LÄN</t>
        </is>
      </c>
      <c r="E710" t="inlineStr">
        <is>
          <t>SMEDJEBACKEN</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41504-2023</t>
        </is>
      </c>
      <c r="B711" s="1" t="n">
        <v>45172</v>
      </c>
      <c r="C711" s="1" t="n">
        <v>45352</v>
      </c>
      <c r="D711" t="inlineStr">
        <is>
          <t>DALARNAS LÄN</t>
        </is>
      </c>
      <c r="E711" t="inlineStr">
        <is>
          <t>SMEDJEBACKEN</t>
        </is>
      </c>
      <c r="F711" t="inlineStr">
        <is>
          <t>Bergvik skog väst AB</t>
        </is>
      </c>
      <c r="G711" t="n">
        <v>11</v>
      </c>
      <c r="H711" t="n">
        <v>0</v>
      </c>
      <c r="I711" t="n">
        <v>0</v>
      </c>
      <c r="J711" t="n">
        <v>0</v>
      </c>
      <c r="K711" t="n">
        <v>0</v>
      </c>
      <c r="L711" t="n">
        <v>0</v>
      </c>
      <c r="M711" t="n">
        <v>0</v>
      </c>
      <c r="N711" t="n">
        <v>0</v>
      </c>
      <c r="O711" t="n">
        <v>0</v>
      </c>
      <c r="P711" t="n">
        <v>0</v>
      </c>
      <c r="Q711" t="n">
        <v>0</v>
      </c>
      <c r="R711" s="2" t="inlineStr"/>
    </row>
    <row r="712" ht="15" customHeight="1">
      <c r="A712" t="inlineStr">
        <is>
          <t>A 41517-2023</t>
        </is>
      </c>
      <c r="B712" s="1" t="n">
        <v>45172</v>
      </c>
      <c r="C712" s="1" t="n">
        <v>45352</v>
      </c>
      <c r="D712" t="inlineStr">
        <is>
          <t>DALARNAS LÄN</t>
        </is>
      </c>
      <c r="E712" t="inlineStr">
        <is>
          <t>SMEDJEBACKEN</t>
        </is>
      </c>
      <c r="F712" t="inlineStr">
        <is>
          <t>Bergvik skog väst AB</t>
        </is>
      </c>
      <c r="G712" t="n">
        <v>7.3</v>
      </c>
      <c r="H712" t="n">
        <v>0</v>
      </c>
      <c r="I712" t="n">
        <v>0</v>
      </c>
      <c r="J712" t="n">
        <v>0</v>
      </c>
      <c r="K712" t="n">
        <v>0</v>
      </c>
      <c r="L712" t="n">
        <v>0</v>
      </c>
      <c r="M712" t="n">
        <v>0</v>
      </c>
      <c r="N712" t="n">
        <v>0</v>
      </c>
      <c r="O712" t="n">
        <v>0</v>
      </c>
      <c r="P712" t="n">
        <v>0</v>
      </c>
      <c r="Q712" t="n">
        <v>0</v>
      </c>
      <c r="R712" s="2" t="inlineStr"/>
    </row>
    <row r="713" ht="15" customHeight="1">
      <c r="A713" t="inlineStr">
        <is>
          <t>A 41480-2023</t>
        </is>
      </c>
      <c r="B713" s="1" t="n">
        <v>45172</v>
      </c>
      <c r="C713" s="1" t="n">
        <v>45352</v>
      </c>
      <c r="D713" t="inlineStr">
        <is>
          <t>DALARNAS LÄN</t>
        </is>
      </c>
      <c r="E713" t="inlineStr">
        <is>
          <t>SMEDJEBACKEN</t>
        </is>
      </c>
      <c r="F713" t="inlineStr">
        <is>
          <t>Bergvik skog väst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41500-2023</t>
        </is>
      </c>
      <c r="B714" s="1" t="n">
        <v>45172</v>
      </c>
      <c r="C714" s="1" t="n">
        <v>45352</v>
      </c>
      <c r="D714" t="inlineStr">
        <is>
          <t>DALARNAS LÄN</t>
        </is>
      </c>
      <c r="E714" t="inlineStr">
        <is>
          <t>SMEDJEBACKEN</t>
        </is>
      </c>
      <c r="F714" t="inlineStr">
        <is>
          <t>Bergvik skog väst AB</t>
        </is>
      </c>
      <c r="G714" t="n">
        <v>9.6</v>
      </c>
      <c r="H714" t="n">
        <v>0</v>
      </c>
      <c r="I714" t="n">
        <v>0</v>
      </c>
      <c r="J714" t="n">
        <v>0</v>
      </c>
      <c r="K714" t="n">
        <v>0</v>
      </c>
      <c r="L714" t="n">
        <v>0</v>
      </c>
      <c r="M714" t="n">
        <v>0</v>
      </c>
      <c r="N714" t="n">
        <v>0</v>
      </c>
      <c r="O714" t="n">
        <v>0</v>
      </c>
      <c r="P714" t="n">
        <v>0</v>
      </c>
      <c r="Q714" t="n">
        <v>0</v>
      </c>
      <c r="R714" s="2" t="inlineStr"/>
    </row>
    <row r="715" ht="15" customHeight="1">
      <c r="A715" t="inlineStr">
        <is>
          <t>A 41509-2023</t>
        </is>
      </c>
      <c r="B715" s="1" t="n">
        <v>45172</v>
      </c>
      <c r="C715" s="1" t="n">
        <v>45352</v>
      </c>
      <c r="D715" t="inlineStr">
        <is>
          <t>DALARNAS LÄN</t>
        </is>
      </c>
      <c r="E715" t="inlineStr">
        <is>
          <t>SMEDJEBACKEN</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40870-2023</t>
        </is>
      </c>
      <c r="B716" s="1" t="n">
        <v>45173</v>
      </c>
      <c r="C716" s="1" t="n">
        <v>45352</v>
      </c>
      <c r="D716" t="inlineStr">
        <is>
          <t>DALARNAS LÄN</t>
        </is>
      </c>
      <c r="E716" t="inlineStr">
        <is>
          <t>SMEDJEBACKEN</t>
        </is>
      </c>
      <c r="G716" t="n">
        <v>1.5</v>
      </c>
      <c r="H716" t="n">
        <v>0</v>
      </c>
      <c r="I716" t="n">
        <v>0</v>
      </c>
      <c r="J716" t="n">
        <v>0</v>
      </c>
      <c r="K716" t="n">
        <v>0</v>
      </c>
      <c r="L716" t="n">
        <v>0</v>
      </c>
      <c r="M716" t="n">
        <v>0</v>
      </c>
      <c r="N716" t="n">
        <v>0</v>
      </c>
      <c r="O716" t="n">
        <v>0</v>
      </c>
      <c r="P716" t="n">
        <v>0</v>
      </c>
      <c r="Q716" t="n">
        <v>0</v>
      </c>
      <c r="R716" s="2" t="inlineStr"/>
    </row>
    <row r="717" ht="15" customHeight="1">
      <c r="A717" t="inlineStr">
        <is>
          <t>A 40861-2023</t>
        </is>
      </c>
      <c r="B717" s="1" t="n">
        <v>45173</v>
      </c>
      <c r="C717" s="1" t="n">
        <v>45352</v>
      </c>
      <c r="D717" t="inlineStr">
        <is>
          <t>DALARNAS LÄN</t>
        </is>
      </c>
      <c r="E717" t="inlineStr">
        <is>
          <t>SMEDJEBACKEN</t>
        </is>
      </c>
      <c r="G717" t="n">
        <v>1.8</v>
      </c>
      <c r="H717" t="n">
        <v>0</v>
      </c>
      <c r="I717" t="n">
        <v>0</v>
      </c>
      <c r="J717" t="n">
        <v>0</v>
      </c>
      <c r="K717" t="n">
        <v>0</v>
      </c>
      <c r="L717" t="n">
        <v>0</v>
      </c>
      <c r="M717" t="n">
        <v>0</v>
      </c>
      <c r="N717" t="n">
        <v>0</v>
      </c>
      <c r="O717" t="n">
        <v>0</v>
      </c>
      <c r="P717" t="n">
        <v>0</v>
      </c>
      <c r="Q717" t="n">
        <v>0</v>
      </c>
      <c r="R717" s="2" t="inlineStr"/>
    </row>
    <row r="718" ht="15" customHeight="1">
      <c r="A718" t="inlineStr">
        <is>
          <t>A 41569-2023</t>
        </is>
      </c>
      <c r="B718" s="1" t="n">
        <v>45175</v>
      </c>
      <c r="C718" s="1" t="n">
        <v>45352</v>
      </c>
      <c r="D718" t="inlineStr">
        <is>
          <t>DALARNAS LÄN</t>
        </is>
      </c>
      <c r="E718" t="inlineStr">
        <is>
          <t>SMEDJEBACKEN</t>
        </is>
      </c>
      <c r="G718" t="n">
        <v>2.5</v>
      </c>
      <c r="H718" t="n">
        <v>0</v>
      </c>
      <c r="I718" t="n">
        <v>0</v>
      </c>
      <c r="J718" t="n">
        <v>0</v>
      </c>
      <c r="K718" t="n">
        <v>0</v>
      </c>
      <c r="L718" t="n">
        <v>0</v>
      </c>
      <c r="M718" t="n">
        <v>0</v>
      </c>
      <c r="N718" t="n">
        <v>0</v>
      </c>
      <c r="O718" t="n">
        <v>0</v>
      </c>
      <c r="P718" t="n">
        <v>0</v>
      </c>
      <c r="Q718" t="n">
        <v>0</v>
      </c>
      <c r="R718" s="2" t="inlineStr"/>
    </row>
    <row r="719" ht="15" customHeight="1">
      <c r="A719" t="inlineStr">
        <is>
          <t>A 42121-2023</t>
        </is>
      </c>
      <c r="B719" s="1" t="n">
        <v>45177</v>
      </c>
      <c r="C719" s="1" t="n">
        <v>45352</v>
      </c>
      <c r="D719" t="inlineStr">
        <is>
          <t>DALARNAS LÄN</t>
        </is>
      </c>
      <c r="E719" t="inlineStr">
        <is>
          <t>SMEDJEBACKEN</t>
        </is>
      </c>
      <c r="F719" t="inlineStr">
        <is>
          <t>Övriga Aktiebolag</t>
        </is>
      </c>
      <c r="G719" t="n">
        <v>9</v>
      </c>
      <c r="H719" t="n">
        <v>0</v>
      </c>
      <c r="I719" t="n">
        <v>0</v>
      </c>
      <c r="J719" t="n">
        <v>0</v>
      </c>
      <c r="K719" t="n">
        <v>0</v>
      </c>
      <c r="L719" t="n">
        <v>0</v>
      </c>
      <c r="M719" t="n">
        <v>0</v>
      </c>
      <c r="N719" t="n">
        <v>0</v>
      </c>
      <c r="O719" t="n">
        <v>0</v>
      </c>
      <c r="P719" t="n">
        <v>0</v>
      </c>
      <c r="Q719" t="n">
        <v>0</v>
      </c>
      <c r="R719" s="2" t="inlineStr"/>
    </row>
    <row r="720" ht="15" customHeight="1">
      <c r="A720" t="inlineStr">
        <is>
          <t>A 42746-2023</t>
        </is>
      </c>
      <c r="B720" s="1" t="n">
        <v>45177</v>
      </c>
      <c r="C720" s="1" t="n">
        <v>45352</v>
      </c>
      <c r="D720" t="inlineStr">
        <is>
          <t>DALARNAS LÄN</t>
        </is>
      </c>
      <c r="E720" t="inlineStr">
        <is>
          <t>SMEDJEBACKEN</t>
        </is>
      </c>
      <c r="G720" t="n">
        <v>0.9</v>
      </c>
      <c r="H720" t="n">
        <v>0</v>
      </c>
      <c r="I720" t="n">
        <v>0</v>
      </c>
      <c r="J720" t="n">
        <v>0</v>
      </c>
      <c r="K720" t="n">
        <v>0</v>
      </c>
      <c r="L720" t="n">
        <v>0</v>
      </c>
      <c r="M720" t="n">
        <v>0</v>
      </c>
      <c r="N720" t="n">
        <v>0</v>
      </c>
      <c r="O720" t="n">
        <v>0</v>
      </c>
      <c r="P720" t="n">
        <v>0</v>
      </c>
      <c r="Q720" t="n">
        <v>0</v>
      </c>
      <c r="R720" s="2" t="inlineStr"/>
    </row>
    <row r="721" ht="15" customHeight="1">
      <c r="A721" t="inlineStr">
        <is>
          <t>A 42225-2023</t>
        </is>
      </c>
      <c r="B721" s="1" t="n">
        <v>45180</v>
      </c>
      <c r="C721" s="1" t="n">
        <v>45352</v>
      </c>
      <c r="D721" t="inlineStr">
        <is>
          <t>DALARNAS LÄN</t>
        </is>
      </c>
      <c r="E721" t="inlineStr">
        <is>
          <t>SMEDJEBACKEN</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42226-2023</t>
        </is>
      </c>
      <c r="B722" s="1" t="n">
        <v>45180</v>
      </c>
      <c r="C722" s="1" t="n">
        <v>45352</v>
      </c>
      <c r="D722" t="inlineStr">
        <is>
          <t>DALARNAS LÄN</t>
        </is>
      </c>
      <c r="E722" t="inlineStr">
        <is>
          <t>SMEDJEBACKEN</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42223-2023</t>
        </is>
      </c>
      <c r="B723" s="1" t="n">
        <v>45180</v>
      </c>
      <c r="C723" s="1" t="n">
        <v>45352</v>
      </c>
      <c r="D723" t="inlineStr">
        <is>
          <t>DALARNAS LÄN</t>
        </is>
      </c>
      <c r="E723" t="inlineStr">
        <is>
          <t>SMEDJEBACKEN</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42224-2023</t>
        </is>
      </c>
      <c r="B724" s="1" t="n">
        <v>45180</v>
      </c>
      <c r="C724" s="1" t="n">
        <v>45352</v>
      </c>
      <c r="D724" t="inlineStr">
        <is>
          <t>DALARNAS LÄN</t>
        </is>
      </c>
      <c r="E724" t="inlineStr">
        <is>
          <t>SMEDJEBACKEN</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42906-2023</t>
        </is>
      </c>
      <c r="B725" s="1" t="n">
        <v>45182</v>
      </c>
      <c r="C725" s="1" t="n">
        <v>45352</v>
      </c>
      <c r="D725" t="inlineStr">
        <is>
          <t>DALARNAS LÄN</t>
        </is>
      </c>
      <c r="E725" t="inlineStr">
        <is>
          <t>SMEDJEBACKEN</t>
        </is>
      </c>
      <c r="F725" t="inlineStr">
        <is>
          <t>Bergvik skog väst AB</t>
        </is>
      </c>
      <c r="G725" t="n">
        <v>11.6</v>
      </c>
      <c r="H725" t="n">
        <v>0</v>
      </c>
      <c r="I725" t="n">
        <v>0</v>
      </c>
      <c r="J725" t="n">
        <v>0</v>
      </c>
      <c r="K725" t="n">
        <v>0</v>
      </c>
      <c r="L725" t="n">
        <v>0</v>
      </c>
      <c r="M725" t="n">
        <v>0</v>
      </c>
      <c r="N725" t="n">
        <v>0</v>
      </c>
      <c r="O725" t="n">
        <v>0</v>
      </c>
      <c r="P725" t="n">
        <v>0</v>
      </c>
      <c r="Q725" t="n">
        <v>0</v>
      </c>
      <c r="R725" s="2" t="inlineStr"/>
    </row>
    <row r="726" ht="15" customHeight="1">
      <c r="A726" t="inlineStr">
        <is>
          <t>A 43462-2023</t>
        </is>
      </c>
      <c r="B726" s="1" t="n">
        <v>45184</v>
      </c>
      <c r="C726" s="1" t="n">
        <v>45352</v>
      </c>
      <c r="D726" t="inlineStr">
        <is>
          <t>DALARNAS LÄN</t>
        </is>
      </c>
      <c r="E726" t="inlineStr">
        <is>
          <t>SMEDJEBACKEN</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43466-2023</t>
        </is>
      </c>
      <c r="B727" s="1" t="n">
        <v>45184</v>
      </c>
      <c r="C727" s="1" t="n">
        <v>45352</v>
      </c>
      <c r="D727" t="inlineStr">
        <is>
          <t>DALARNAS LÄN</t>
        </is>
      </c>
      <c r="E727" t="inlineStr">
        <is>
          <t>SMEDJEBACKEN</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43463-2023</t>
        </is>
      </c>
      <c r="B728" s="1" t="n">
        <v>45184</v>
      </c>
      <c r="C728" s="1" t="n">
        <v>45352</v>
      </c>
      <c r="D728" t="inlineStr">
        <is>
          <t>DALARNAS LÄN</t>
        </is>
      </c>
      <c r="E728" t="inlineStr">
        <is>
          <t>SMEDJEBACKEN</t>
        </is>
      </c>
      <c r="F728" t="inlineStr">
        <is>
          <t>Sveaskog</t>
        </is>
      </c>
      <c r="G728" t="n">
        <v>4.5</v>
      </c>
      <c r="H728" t="n">
        <v>0</v>
      </c>
      <c r="I728" t="n">
        <v>0</v>
      </c>
      <c r="J728" t="n">
        <v>0</v>
      </c>
      <c r="K728" t="n">
        <v>0</v>
      </c>
      <c r="L728" t="n">
        <v>0</v>
      </c>
      <c r="M728" t="n">
        <v>0</v>
      </c>
      <c r="N728" t="n">
        <v>0</v>
      </c>
      <c r="O728" t="n">
        <v>0</v>
      </c>
      <c r="P728" t="n">
        <v>0</v>
      </c>
      <c r="Q728" t="n">
        <v>0</v>
      </c>
      <c r="R728" s="2" t="inlineStr"/>
    </row>
    <row r="729" ht="15" customHeight="1">
      <c r="A729" t="inlineStr">
        <is>
          <t>A 43467-2023</t>
        </is>
      </c>
      <c r="B729" s="1" t="n">
        <v>45184</v>
      </c>
      <c r="C729" s="1" t="n">
        <v>45352</v>
      </c>
      <c r="D729" t="inlineStr">
        <is>
          <t>DALARNAS LÄN</t>
        </is>
      </c>
      <c r="E729" t="inlineStr">
        <is>
          <t>SMEDJEBACKEN</t>
        </is>
      </c>
      <c r="F729" t="inlineStr">
        <is>
          <t>Sveaskog</t>
        </is>
      </c>
      <c r="G729" t="n">
        <v>3</v>
      </c>
      <c r="H729" t="n">
        <v>0</v>
      </c>
      <c r="I729" t="n">
        <v>0</v>
      </c>
      <c r="J729" t="n">
        <v>0</v>
      </c>
      <c r="K729" t="n">
        <v>0</v>
      </c>
      <c r="L729" t="n">
        <v>0</v>
      </c>
      <c r="M729" t="n">
        <v>0</v>
      </c>
      <c r="N729" t="n">
        <v>0</v>
      </c>
      <c r="O729" t="n">
        <v>0</v>
      </c>
      <c r="P729" t="n">
        <v>0</v>
      </c>
      <c r="Q729" t="n">
        <v>0</v>
      </c>
      <c r="R729" s="2" t="inlineStr"/>
    </row>
    <row r="730" ht="15" customHeight="1">
      <c r="A730" t="inlineStr">
        <is>
          <t>A 43464-2023</t>
        </is>
      </c>
      <c r="B730" s="1" t="n">
        <v>45184</v>
      </c>
      <c r="C730" s="1" t="n">
        <v>45352</v>
      </c>
      <c r="D730" t="inlineStr">
        <is>
          <t>DALARNAS LÄN</t>
        </is>
      </c>
      <c r="E730" t="inlineStr">
        <is>
          <t>SMEDJEBACKEN</t>
        </is>
      </c>
      <c r="F730" t="inlineStr">
        <is>
          <t>Sveaskog</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44018-2023</t>
        </is>
      </c>
      <c r="B731" s="1" t="n">
        <v>45188</v>
      </c>
      <c r="C731" s="1" t="n">
        <v>45352</v>
      </c>
      <c r="D731" t="inlineStr">
        <is>
          <t>DALARNAS LÄN</t>
        </is>
      </c>
      <c r="E731" t="inlineStr">
        <is>
          <t>SMEDJEBACKEN</t>
        </is>
      </c>
      <c r="F731" t="inlineStr">
        <is>
          <t>Bergvik skog väst AB</t>
        </is>
      </c>
      <c r="G731" t="n">
        <v>3.5</v>
      </c>
      <c r="H731" t="n">
        <v>0</v>
      </c>
      <c r="I731" t="n">
        <v>0</v>
      </c>
      <c r="J731" t="n">
        <v>0</v>
      </c>
      <c r="K731" t="n">
        <v>0</v>
      </c>
      <c r="L731" t="n">
        <v>0</v>
      </c>
      <c r="M731" t="n">
        <v>0</v>
      </c>
      <c r="N731" t="n">
        <v>0</v>
      </c>
      <c r="O731" t="n">
        <v>0</v>
      </c>
      <c r="P731" t="n">
        <v>0</v>
      </c>
      <c r="Q731" t="n">
        <v>0</v>
      </c>
      <c r="R731" s="2" t="inlineStr"/>
    </row>
    <row r="732" ht="15" customHeight="1">
      <c r="A732" t="inlineStr">
        <is>
          <t>A 44034-2023</t>
        </is>
      </c>
      <c r="B732" s="1" t="n">
        <v>45188</v>
      </c>
      <c r="C732" s="1" t="n">
        <v>45352</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44116-2023</t>
        </is>
      </c>
      <c r="B733" s="1" t="n">
        <v>45188</v>
      </c>
      <c r="C733" s="1" t="n">
        <v>45352</v>
      </c>
      <c r="D733" t="inlineStr">
        <is>
          <t>DALARNAS LÄN</t>
        </is>
      </c>
      <c r="E733" t="inlineStr">
        <is>
          <t>SMEDJEBACKEN</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45114-2023</t>
        </is>
      </c>
      <c r="B734" s="1" t="n">
        <v>45191</v>
      </c>
      <c r="C734" s="1" t="n">
        <v>45352</v>
      </c>
      <c r="D734" t="inlineStr">
        <is>
          <t>DALARNAS LÄN</t>
        </is>
      </c>
      <c r="E734" t="inlineStr">
        <is>
          <t>SMEDJEBACKEN</t>
        </is>
      </c>
      <c r="F734" t="inlineStr">
        <is>
          <t>Sveaskog</t>
        </is>
      </c>
      <c r="G734" t="n">
        <v>3.4</v>
      </c>
      <c r="H734" t="n">
        <v>0</v>
      </c>
      <c r="I734" t="n">
        <v>0</v>
      </c>
      <c r="J734" t="n">
        <v>0</v>
      </c>
      <c r="K734" t="n">
        <v>0</v>
      </c>
      <c r="L734" t="n">
        <v>0</v>
      </c>
      <c r="M734" t="n">
        <v>0</v>
      </c>
      <c r="N734" t="n">
        <v>0</v>
      </c>
      <c r="O734" t="n">
        <v>0</v>
      </c>
      <c r="P734" t="n">
        <v>0</v>
      </c>
      <c r="Q734" t="n">
        <v>0</v>
      </c>
      <c r="R734" s="2" t="inlineStr"/>
    </row>
    <row r="735" ht="15" customHeight="1">
      <c r="A735" t="inlineStr">
        <is>
          <t>A 45310-2023</t>
        </is>
      </c>
      <c r="B735" s="1" t="n">
        <v>45191</v>
      </c>
      <c r="C735" s="1" t="n">
        <v>45352</v>
      </c>
      <c r="D735" t="inlineStr">
        <is>
          <t>DALARNAS LÄN</t>
        </is>
      </c>
      <c r="E735" t="inlineStr">
        <is>
          <t>SMEDJEBACKEN</t>
        </is>
      </c>
      <c r="F735" t="inlineStr">
        <is>
          <t>Bergvik skog väst AB</t>
        </is>
      </c>
      <c r="G735" t="n">
        <v>9.1</v>
      </c>
      <c r="H735" t="n">
        <v>0</v>
      </c>
      <c r="I735" t="n">
        <v>0</v>
      </c>
      <c r="J735" t="n">
        <v>0</v>
      </c>
      <c r="K735" t="n">
        <v>0</v>
      </c>
      <c r="L735" t="n">
        <v>0</v>
      </c>
      <c r="M735" t="n">
        <v>0</v>
      </c>
      <c r="N735" t="n">
        <v>0</v>
      </c>
      <c r="O735" t="n">
        <v>0</v>
      </c>
      <c r="P735" t="n">
        <v>0</v>
      </c>
      <c r="Q735" t="n">
        <v>0</v>
      </c>
      <c r="R735" s="2" t="inlineStr"/>
    </row>
    <row r="736" ht="15" customHeight="1">
      <c r="A736" t="inlineStr">
        <is>
          <t>A 45372-2023</t>
        </is>
      </c>
      <c r="B736" s="1" t="n">
        <v>45193</v>
      </c>
      <c r="C736" s="1" t="n">
        <v>45352</v>
      </c>
      <c r="D736" t="inlineStr">
        <is>
          <t>DALARNAS LÄN</t>
        </is>
      </c>
      <c r="E736" t="inlineStr">
        <is>
          <t>SMEDJEBACKEN</t>
        </is>
      </c>
      <c r="F736" t="inlineStr">
        <is>
          <t>Sveaskog</t>
        </is>
      </c>
      <c r="G736" t="n">
        <v>4.9</v>
      </c>
      <c r="H736" t="n">
        <v>0</v>
      </c>
      <c r="I736" t="n">
        <v>0</v>
      </c>
      <c r="J736" t="n">
        <v>0</v>
      </c>
      <c r="K736" t="n">
        <v>0</v>
      </c>
      <c r="L736" t="n">
        <v>0</v>
      </c>
      <c r="M736" t="n">
        <v>0</v>
      </c>
      <c r="N736" t="n">
        <v>0</v>
      </c>
      <c r="O736" t="n">
        <v>0</v>
      </c>
      <c r="P736" t="n">
        <v>0</v>
      </c>
      <c r="Q736" t="n">
        <v>0</v>
      </c>
      <c r="R736" s="2" t="inlineStr"/>
    </row>
    <row r="737" ht="15" customHeight="1">
      <c r="A737" t="inlineStr">
        <is>
          <t>A 45371-2023</t>
        </is>
      </c>
      <c r="B737" s="1" t="n">
        <v>45193</v>
      </c>
      <c r="C737" s="1" t="n">
        <v>45352</v>
      </c>
      <c r="D737" t="inlineStr">
        <is>
          <t>DALARNAS LÄN</t>
        </is>
      </c>
      <c r="E737" t="inlineStr">
        <is>
          <t>SMEDJEBACKEN</t>
        </is>
      </c>
      <c r="F737" t="inlineStr">
        <is>
          <t>Sveaskog</t>
        </is>
      </c>
      <c r="G737" t="n">
        <v>3.7</v>
      </c>
      <c r="H737" t="n">
        <v>0</v>
      </c>
      <c r="I737" t="n">
        <v>0</v>
      </c>
      <c r="J737" t="n">
        <v>0</v>
      </c>
      <c r="K737" t="n">
        <v>0</v>
      </c>
      <c r="L737" t="n">
        <v>0</v>
      </c>
      <c r="M737" t="n">
        <v>0</v>
      </c>
      <c r="N737" t="n">
        <v>0</v>
      </c>
      <c r="O737" t="n">
        <v>0</v>
      </c>
      <c r="P737" t="n">
        <v>0</v>
      </c>
      <c r="Q737" t="n">
        <v>0</v>
      </c>
      <c r="R737" s="2" t="inlineStr"/>
    </row>
    <row r="738" ht="15" customHeight="1">
      <c r="A738" t="inlineStr">
        <is>
          <t>A 45373-2023</t>
        </is>
      </c>
      <c r="B738" s="1" t="n">
        <v>45193</v>
      </c>
      <c r="C738" s="1" t="n">
        <v>45352</v>
      </c>
      <c r="D738" t="inlineStr">
        <is>
          <t>DALARNAS LÄN</t>
        </is>
      </c>
      <c r="E738" t="inlineStr">
        <is>
          <t>SMEDJEBACKEN</t>
        </is>
      </c>
      <c r="F738" t="inlineStr">
        <is>
          <t>Sveaskog</t>
        </is>
      </c>
      <c r="G738" t="n">
        <v>1.3</v>
      </c>
      <c r="H738" t="n">
        <v>0</v>
      </c>
      <c r="I738" t="n">
        <v>0</v>
      </c>
      <c r="J738" t="n">
        <v>0</v>
      </c>
      <c r="K738" t="n">
        <v>0</v>
      </c>
      <c r="L738" t="n">
        <v>0</v>
      </c>
      <c r="M738" t="n">
        <v>0</v>
      </c>
      <c r="N738" t="n">
        <v>0</v>
      </c>
      <c r="O738" t="n">
        <v>0</v>
      </c>
      <c r="P738" t="n">
        <v>0</v>
      </c>
      <c r="Q738" t="n">
        <v>0</v>
      </c>
      <c r="R738" s="2" t="inlineStr"/>
    </row>
    <row r="739" ht="15" customHeight="1">
      <c r="A739" t="inlineStr">
        <is>
          <t>A 46750-2023</t>
        </is>
      </c>
      <c r="B739" s="1" t="n">
        <v>45198</v>
      </c>
      <c r="C739" s="1" t="n">
        <v>45352</v>
      </c>
      <c r="D739" t="inlineStr">
        <is>
          <t>DALARNAS LÄN</t>
        </is>
      </c>
      <c r="E739" t="inlineStr">
        <is>
          <t>SMEDJEBACKEN</t>
        </is>
      </c>
      <c r="F739" t="inlineStr">
        <is>
          <t>Sveaskog</t>
        </is>
      </c>
      <c r="G739" t="n">
        <v>2</v>
      </c>
      <c r="H739" t="n">
        <v>0</v>
      </c>
      <c r="I739" t="n">
        <v>0</v>
      </c>
      <c r="J739" t="n">
        <v>0</v>
      </c>
      <c r="K739" t="n">
        <v>0</v>
      </c>
      <c r="L739" t="n">
        <v>0</v>
      </c>
      <c r="M739" t="n">
        <v>0</v>
      </c>
      <c r="N739" t="n">
        <v>0</v>
      </c>
      <c r="O739" t="n">
        <v>0</v>
      </c>
      <c r="P739" t="n">
        <v>0</v>
      </c>
      <c r="Q739" t="n">
        <v>0</v>
      </c>
      <c r="R739" s="2" t="inlineStr"/>
    </row>
    <row r="740" ht="15" customHeight="1">
      <c r="A740" t="inlineStr">
        <is>
          <t>A 46754-2023</t>
        </is>
      </c>
      <c r="B740" s="1" t="n">
        <v>45198</v>
      </c>
      <c r="C740" s="1" t="n">
        <v>45352</v>
      </c>
      <c r="D740" t="inlineStr">
        <is>
          <t>DALARNAS LÄN</t>
        </is>
      </c>
      <c r="E740" t="inlineStr">
        <is>
          <t>SMEDJEBACKEN</t>
        </is>
      </c>
      <c r="F740" t="inlineStr">
        <is>
          <t>Sveaskog</t>
        </is>
      </c>
      <c r="G740" t="n">
        <v>0.4</v>
      </c>
      <c r="H740" t="n">
        <v>0</v>
      </c>
      <c r="I740" t="n">
        <v>0</v>
      </c>
      <c r="J740" t="n">
        <v>0</v>
      </c>
      <c r="K740" t="n">
        <v>0</v>
      </c>
      <c r="L740" t="n">
        <v>0</v>
      </c>
      <c r="M740" t="n">
        <v>0</v>
      </c>
      <c r="N740" t="n">
        <v>0</v>
      </c>
      <c r="O740" t="n">
        <v>0</v>
      </c>
      <c r="P740" t="n">
        <v>0</v>
      </c>
      <c r="Q740" t="n">
        <v>0</v>
      </c>
      <c r="R740" s="2" t="inlineStr"/>
    </row>
    <row r="741" ht="15" customHeight="1">
      <c r="A741" t="inlineStr">
        <is>
          <t>A 46771-2023</t>
        </is>
      </c>
      <c r="B741" s="1" t="n">
        <v>45198</v>
      </c>
      <c r="C741" s="1" t="n">
        <v>45352</v>
      </c>
      <c r="D741" t="inlineStr">
        <is>
          <t>DALARNAS LÄN</t>
        </is>
      </c>
      <c r="E741" t="inlineStr">
        <is>
          <t>SMEDJEBACKEN</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46768-2023</t>
        </is>
      </c>
      <c r="B742" s="1" t="n">
        <v>45198</v>
      </c>
      <c r="C742" s="1" t="n">
        <v>45352</v>
      </c>
      <c r="D742" t="inlineStr">
        <is>
          <t>DALARNAS LÄN</t>
        </is>
      </c>
      <c r="E742" t="inlineStr">
        <is>
          <t>SMEDJEBACKEN</t>
        </is>
      </c>
      <c r="F742" t="inlineStr">
        <is>
          <t>Bergvik skog väst AB</t>
        </is>
      </c>
      <c r="G742" t="n">
        <v>4.3</v>
      </c>
      <c r="H742" t="n">
        <v>0</v>
      </c>
      <c r="I742" t="n">
        <v>0</v>
      </c>
      <c r="J742" t="n">
        <v>0</v>
      </c>
      <c r="K742" t="n">
        <v>0</v>
      </c>
      <c r="L742" t="n">
        <v>0</v>
      </c>
      <c r="M742" t="n">
        <v>0</v>
      </c>
      <c r="N742" t="n">
        <v>0</v>
      </c>
      <c r="O742" t="n">
        <v>0</v>
      </c>
      <c r="P742" t="n">
        <v>0</v>
      </c>
      <c r="Q742" t="n">
        <v>0</v>
      </c>
      <c r="R742" s="2" t="inlineStr"/>
    </row>
    <row r="743" ht="15" customHeight="1">
      <c r="A743" t="inlineStr">
        <is>
          <t>A 46769-2023</t>
        </is>
      </c>
      <c r="B743" s="1" t="n">
        <v>45198</v>
      </c>
      <c r="C743" s="1" t="n">
        <v>45352</v>
      </c>
      <c r="D743" t="inlineStr">
        <is>
          <t>DALARNAS LÄN</t>
        </is>
      </c>
      <c r="E743" t="inlineStr">
        <is>
          <t>SMEDJEBACKEN</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46786-2023</t>
        </is>
      </c>
      <c r="B744" s="1" t="n">
        <v>45198</v>
      </c>
      <c r="C744" s="1" t="n">
        <v>45352</v>
      </c>
      <c r="D744" t="inlineStr">
        <is>
          <t>DALARNAS LÄN</t>
        </is>
      </c>
      <c r="E744" t="inlineStr">
        <is>
          <t>SMEDJEBACKEN</t>
        </is>
      </c>
      <c r="F744" t="inlineStr">
        <is>
          <t>Bergvik skog väst AB</t>
        </is>
      </c>
      <c r="G744" t="n">
        <v>2.6</v>
      </c>
      <c r="H744" t="n">
        <v>0</v>
      </c>
      <c r="I744" t="n">
        <v>0</v>
      </c>
      <c r="J744" t="n">
        <v>0</v>
      </c>
      <c r="K744" t="n">
        <v>0</v>
      </c>
      <c r="L744" t="n">
        <v>0</v>
      </c>
      <c r="M744" t="n">
        <v>0</v>
      </c>
      <c r="N744" t="n">
        <v>0</v>
      </c>
      <c r="O744" t="n">
        <v>0</v>
      </c>
      <c r="P744" t="n">
        <v>0</v>
      </c>
      <c r="Q744" t="n">
        <v>0</v>
      </c>
      <c r="R744" s="2" t="inlineStr"/>
    </row>
    <row r="745" ht="15" customHeight="1">
      <c r="A745" t="inlineStr">
        <is>
          <t>A 46756-2023</t>
        </is>
      </c>
      <c r="B745" s="1" t="n">
        <v>45198</v>
      </c>
      <c r="C745" s="1" t="n">
        <v>45352</v>
      </c>
      <c r="D745" t="inlineStr">
        <is>
          <t>DALARNAS LÄN</t>
        </is>
      </c>
      <c r="E745" t="inlineStr">
        <is>
          <t>SMEDJEBACKEN</t>
        </is>
      </c>
      <c r="F745" t="inlineStr">
        <is>
          <t>Bergvik skog väst AB</t>
        </is>
      </c>
      <c r="G745" t="n">
        <v>3.1</v>
      </c>
      <c r="H745" t="n">
        <v>0</v>
      </c>
      <c r="I745" t="n">
        <v>0</v>
      </c>
      <c r="J745" t="n">
        <v>0</v>
      </c>
      <c r="K745" t="n">
        <v>0</v>
      </c>
      <c r="L745" t="n">
        <v>0</v>
      </c>
      <c r="M745" t="n">
        <v>0</v>
      </c>
      <c r="N745" t="n">
        <v>0</v>
      </c>
      <c r="O745" t="n">
        <v>0</v>
      </c>
      <c r="P745" t="n">
        <v>0</v>
      </c>
      <c r="Q745" t="n">
        <v>0</v>
      </c>
      <c r="R745" s="2" t="inlineStr"/>
    </row>
    <row r="746" ht="15" customHeight="1">
      <c r="A746" t="inlineStr">
        <is>
          <t>A 46894-2023</t>
        </is>
      </c>
      <c r="B746" s="1" t="n">
        <v>45201</v>
      </c>
      <c r="C746" s="1" t="n">
        <v>45352</v>
      </c>
      <c r="D746" t="inlineStr">
        <is>
          <t>DALARNAS LÄN</t>
        </is>
      </c>
      <c r="E746" t="inlineStr">
        <is>
          <t>SMEDJEBACKEN</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46898-2023</t>
        </is>
      </c>
      <c r="B747" s="1" t="n">
        <v>45201</v>
      </c>
      <c r="C747" s="1" t="n">
        <v>45352</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47686-2023</t>
        </is>
      </c>
      <c r="B748" s="1" t="n">
        <v>45203</v>
      </c>
      <c r="C748" s="1" t="n">
        <v>45352</v>
      </c>
      <c r="D748" t="inlineStr">
        <is>
          <t>DALARNAS LÄN</t>
        </is>
      </c>
      <c r="E748" t="inlineStr">
        <is>
          <t>SMEDJEBACKEN</t>
        </is>
      </c>
      <c r="F748" t="inlineStr">
        <is>
          <t>Övriga Aktiebolag</t>
        </is>
      </c>
      <c r="G748" t="n">
        <v>17.9</v>
      </c>
      <c r="H748" t="n">
        <v>0</v>
      </c>
      <c r="I748" t="n">
        <v>0</v>
      </c>
      <c r="J748" t="n">
        <v>0</v>
      </c>
      <c r="K748" t="n">
        <v>0</v>
      </c>
      <c r="L748" t="n">
        <v>0</v>
      </c>
      <c r="M748" t="n">
        <v>0</v>
      </c>
      <c r="N748" t="n">
        <v>0</v>
      </c>
      <c r="O748" t="n">
        <v>0</v>
      </c>
      <c r="P748" t="n">
        <v>0</v>
      </c>
      <c r="Q748" t="n">
        <v>0</v>
      </c>
      <c r="R748" s="2" t="inlineStr"/>
    </row>
    <row r="749" ht="15" customHeight="1">
      <c r="A749" t="inlineStr">
        <is>
          <t>A 48733-2023</t>
        </is>
      </c>
      <c r="B749" s="1" t="n">
        <v>45203</v>
      </c>
      <c r="C749" s="1" t="n">
        <v>45352</v>
      </c>
      <c r="D749" t="inlineStr">
        <is>
          <t>DALARNAS LÄN</t>
        </is>
      </c>
      <c r="E749" t="inlineStr">
        <is>
          <t>SMEDJEBACKEN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48208-2023</t>
        </is>
      </c>
      <c r="B750" s="1" t="n">
        <v>45205</v>
      </c>
      <c r="C750" s="1" t="n">
        <v>45352</v>
      </c>
      <c r="D750" t="inlineStr">
        <is>
          <t>DALARNAS LÄN</t>
        </is>
      </c>
      <c r="E750" t="inlineStr">
        <is>
          <t>SMEDJEBACKEN</t>
        </is>
      </c>
      <c r="G750" t="n">
        <v>4.5</v>
      </c>
      <c r="H750" t="n">
        <v>0</v>
      </c>
      <c r="I750" t="n">
        <v>0</v>
      </c>
      <c r="J750" t="n">
        <v>0</v>
      </c>
      <c r="K750" t="n">
        <v>0</v>
      </c>
      <c r="L750" t="n">
        <v>0</v>
      </c>
      <c r="M750" t="n">
        <v>0</v>
      </c>
      <c r="N750" t="n">
        <v>0</v>
      </c>
      <c r="O750" t="n">
        <v>0</v>
      </c>
      <c r="P750" t="n">
        <v>0</v>
      </c>
      <c r="Q750" t="n">
        <v>0</v>
      </c>
      <c r="R750" s="2" t="inlineStr"/>
    </row>
    <row r="751" ht="15" customHeight="1">
      <c r="A751" t="inlineStr">
        <is>
          <t>A 48214-2023</t>
        </is>
      </c>
      <c r="B751" s="1" t="n">
        <v>45205</v>
      </c>
      <c r="C751" s="1" t="n">
        <v>45352</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48459-2023</t>
        </is>
      </c>
      <c r="B752" s="1" t="n">
        <v>45206</v>
      </c>
      <c r="C752" s="1" t="n">
        <v>45352</v>
      </c>
      <c r="D752" t="inlineStr">
        <is>
          <t>DALARNAS LÄN</t>
        </is>
      </c>
      <c r="E752" t="inlineStr">
        <is>
          <t>SMEDJEBACKEN</t>
        </is>
      </c>
      <c r="F752" t="inlineStr">
        <is>
          <t>Sveaskog</t>
        </is>
      </c>
      <c r="G752" t="n">
        <v>5.2</v>
      </c>
      <c r="H752" t="n">
        <v>0</v>
      </c>
      <c r="I752" t="n">
        <v>0</v>
      </c>
      <c r="J752" t="n">
        <v>0</v>
      </c>
      <c r="K752" t="n">
        <v>0</v>
      </c>
      <c r="L752" t="n">
        <v>0</v>
      </c>
      <c r="M752" t="n">
        <v>0</v>
      </c>
      <c r="N752" t="n">
        <v>0</v>
      </c>
      <c r="O752" t="n">
        <v>0</v>
      </c>
      <c r="P752" t="n">
        <v>0</v>
      </c>
      <c r="Q752" t="n">
        <v>0</v>
      </c>
      <c r="R752" s="2" t="inlineStr"/>
    </row>
    <row r="753" ht="15" customHeight="1">
      <c r="A753" t="inlineStr">
        <is>
          <t>A 48458-2023</t>
        </is>
      </c>
      <c r="B753" s="1" t="n">
        <v>45206</v>
      </c>
      <c r="C753" s="1" t="n">
        <v>45352</v>
      </c>
      <c r="D753" t="inlineStr">
        <is>
          <t>DALARNAS LÄN</t>
        </is>
      </c>
      <c r="E753" t="inlineStr">
        <is>
          <t>SMEDJEBACKEN</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48527-2023</t>
        </is>
      </c>
      <c r="B754" s="1" t="n">
        <v>45208</v>
      </c>
      <c r="C754" s="1" t="n">
        <v>45352</v>
      </c>
      <c r="D754" t="inlineStr">
        <is>
          <t>DALARNAS LÄN</t>
        </is>
      </c>
      <c r="E754" t="inlineStr">
        <is>
          <t>SMEDJEBACKEN</t>
        </is>
      </c>
      <c r="G754" t="n">
        <v>1.9</v>
      </c>
      <c r="H754" t="n">
        <v>0</v>
      </c>
      <c r="I754" t="n">
        <v>0</v>
      </c>
      <c r="J754" t="n">
        <v>0</v>
      </c>
      <c r="K754" t="n">
        <v>0</v>
      </c>
      <c r="L754" t="n">
        <v>0</v>
      </c>
      <c r="M754" t="n">
        <v>0</v>
      </c>
      <c r="N754" t="n">
        <v>0</v>
      </c>
      <c r="O754" t="n">
        <v>0</v>
      </c>
      <c r="P754" t="n">
        <v>0</v>
      </c>
      <c r="Q754" t="n">
        <v>0</v>
      </c>
      <c r="R754" s="2" t="inlineStr"/>
    </row>
    <row r="755" ht="15" customHeight="1">
      <c r="A755" t="inlineStr">
        <is>
          <t>A 48530-2023</t>
        </is>
      </c>
      <c r="B755" s="1" t="n">
        <v>45208</v>
      </c>
      <c r="C755" s="1" t="n">
        <v>45352</v>
      </c>
      <c r="D755" t="inlineStr">
        <is>
          <t>DALARNAS LÄN</t>
        </is>
      </c>
      <c r="E755" t="inlineStr">
        <is>
          <t>SMEDJEBACKEN</t>
        </is>
      </c>
      <c r="G755" t="n">
        <v>2.2</v>
      </c>
      <c r="H755" t="n">
        <v>0</v>
      </c>
      <c r="I755" t="n">
        <v>0</v>
      </c>
      <c r="J755" t="n">
        <v>0</v>
      </c>
      <c r="K755" t="n">
        <v>0</v>
      </c>
      <c r="L755" t="n">
        <v>0</v>
      </c>
      <c r="M755" t="n">
        <v>0</v>
      </c>
      <c r="N755" t="n">
        <v>0</v>
      </c>
      <c r="O755" t="n">
        <v>0</v>
      </c>
      <c r="P755" t="n">
        <v>0</v>
      </c>
      <c r="Q755" t="n">
        <v>0</v>
      </c>
      <c r="R755" s="2" t="inlineStr"/>
    </row>
    <row r="756" ht="15" customHeight="1">
      <c r="A756" t="inlineStr">
        <is>
          <t>A 49692-2023</t>
        </is>
      </c>
      <c r="B756" s="1" t="n">
        <v>45212</v>
      </c>
      <c r="C756" s="1" t="n">
        <v>45352</v>
      </c>
      <c r="D756" t="inlineStr">
        <is>
          <t>DALARNAS LÄN</t>
        </is>
      </c>
      <c r="E756" t="inlineStr">
        <is>
          <t>SMEDJEBACKEN</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51164-2023</t>
        </is>
      </c>
      <c r="B757" s="1" t="n">
        <v>45219</v>
      </c>
      <c r="C757" s="1" t="n">
        <v>45352</v>
      </c>
      <c r="D757" t="inlineStr">
        <is>
          <t>DALARNAS LÄN</t>
        </is>
      </c>
      <c r="E757" t="inlineStr">
        <is>
          <t>SMEDJEBACKEN</t>
        </is>
      </c>
      <c r="G757" t="n">
        <v>1.5</v>
      </c>
      <c r="H757" t="n">
        <v>0</v>
      </c>
      <c r="I757" t="n">
        <v>0</v>
      </c>
      <c r="J757" t="n">
        <v>0</v>
      </c>
      <c r="K757" t="n">
        <v>0</v>
      </c>
      <c r="L757" t="n">
        <v>0</v>
      </c>
      <c r="M757" t="n">
        <v>0</v>
      </c>
      <c r="N757" t="n">
        <v>0</v>
      </c>
      <c r="O757" t="n">
        <v>0</v>
      </c>
      <c r="P757" t="n">
        <v>0</v>
      </c>
      <c r="Q757" t="n">
        <v>0</v>
      </c>
      <c r="R757" s="2" t="inlineStr"/>
    </row>
    <row r="758" ht="15" customHeight="1">
      <c r="A758" t="inlineStr">
        <is>
          <t>A 52099-2023</t>
        </is>
      </c>
      <c r="B758" s="1" t="n">
        <v>45223</v>
      </c>
      <c r="C758" s="1" t="n">
        <v>45352</v>
      </c>
      <c r="D758" t="inlineStr">
        <is>
          <t>DALARNAS LÄN</t>
        </is>
      </c>
      <c r="E758" t="inlineStr">
        <is>
          <t>SMEDJEBACKEN</t>
        </is>
      </c>
      <c r="G758" t="n">
        <v>0.7</v>
      </c>
      <c r="H758" t="n">
        <v>0</v>
      </c>
      <c r="I758" t="n">
        <v>0</v>
      </c>
      <c r="J758" t="n">
        <v>0</v>
      </c>
      <c r="K758" t="n">
        <v>0</v>
      </c>
      <c r="L758" t="n">
        <v>0</v>
      </c>
      <c r="M758" t="n">
        <v>0</v>
      </c>
      <c r="N758" t="n">
        <v>0</v>
      </c>
      <c r="O758" t="n">
        <v>0</v>
      </c>
      <c r="P758" t="n">
        <v>0</v>
      </c>
      <c r="Q758" t="n">
        <v>0</v>
      </c>
      <c r="R758" s="2" t="inlineStr"/>
    </row>
    <row r="759" ht="15" customHeight="1">
      <c r="A759" t="inlineStr">
        <is>
          <t>A 52342-2023</t>
        </is>
      </c>
      <c r="B759" s="1" t="n">
        <v>45224</v>
      </c>
      <c r="C759" s="1" t="n">
        <v>45352</v>
      </c>
      <c r="D759" t="inlineStr">
        <is>
          <t>DALARNAS LÄN</t>
        </is>
      </c>
      <c r="E759" t="inlineStr">
        <is>
          <t>SMEDJEBACKEN</t>
        </is>
      </c>
      <c r="G759" t="n">
        <v>0.5</v>
      </c>
      <c r="H759" t="n">
        <v>0</v>
      </c>
      <c r="I759" t="n">
        <v>0</v>
      </c>
      <c r="J759" t="n">
        <v>0</v>
      </c>
      <c r="K759" t="n">
        <v>0</v>
      </c>
      <c r="L759" t="n">
        <v>0</v>
      </c>
      <c r="M759" t="n">
        <v>0</v>
      </c>
      <c r="N759" t="n">
        <v>0</v>
      </c>
      <c r="O759" t="n">
        <v>0</v>
      </c>
      <c r="P759" t="n">
        <v>0</v>
      </c>
      <c r="Q759" t="n">
        <v>0</v>
      </c>
      <c r="R759" s="2" t="inlineStr"/>
    </row>
    <row r="760" ht="15" customHeight="1">
      <c r="A760" t="inlineStr">
        <is>
          <t>A 52354-2023</t>
        </is>
      </c>
      <c r="B760" s="1" t="n">
        <v>45224</v>
      </c>
      <c r="C760" s="1" t="n">
        <v>45352</v>
      </c>
      <c r="D760" t="inlineStr">
        <is>
          <t>DALARNAS LÄN</t>
        </is>
      </c>
      <c r="E760" t="inlineStr">
        <is>
          <t>SMEDJEBACKEN</t>
        </is>
      </c>
      <c r="G760" t="n">
        <v>14.9</v>
      </c>
      <c r="H760" t="n">
        <v>0</v>
      </c>
      <c r="I760" t="n">
        <v>0</v>
      </c>
      <c r="J760" t="n">
        <v>0</v>
      </c>
      <c r="K760" t="n">
        <v>0</v>
      </c>
      <c r="L760" t="n">
        <v>0</v>
      </c>
      <c r="M760" t="n">
        <v>0</v>
      </c>
      <c r="N760" t="n">
        <v>0</v>
      </c>
      <c r="O760" t="n">
        <v>0</v>
      </c>
      <c r="P760" t="n">
        <v>0</v>
      </c>
      <c r="Q760" t="n">
        <v>0</v>
      </c>
      <c r="R760" s="2" t="inlineStr"/>
    </row>
    <row r="761" ht="15" customHeight="1">
      <c r="A761" t="inlineStr">
        <is>
          <t>A 53859-2023</t>
        </is>
      </c>
      <c r="B761" s="1" t="n">
        <v>45224</v>
      </c>
      <c r="C761" s="1" t="n">
        <v>45352</v>
      </c>
      <c r="D761" t="inlineStr">
        <is>
          <t>DALARNAS LÄN</t>
        </is>
      </c>
      <c r="E761" t="inlineStr">
        <is>
          <t>SMEDJEBACKEN</t>
        </is>
      </c>
      <c r="F761" t="inlineStr">
        <is>
          <t>Bergvik skog väst AB</t>
        </is>
      </c>
      <c r="G761" t="n">
        <v>10.5</v>
      </c>
      <c r="H761" t="n">
        <v>0</v>
      </c>
      <c r="I761" t="n">
        <v>0</v>
      </c>
      <c r="J761" t="n">
        <v>0</v>
      </c>
      <c r="K761" t="n">
        <v>0</v>
      </c>
      <c r="L761" t="n">
        <v>0</v>
      </c>
      <c r="M761" t="n">
        <v>0</v>
      </c>
      <c r="N761" t="n">
        <v>0</v>
      </c>
      <c r="O761" t="n">
        <v>0</v>
      </c>
      <c r="P761" t="n">
        <v>0</v>
      </c>
      <c r="Q761" t="n">
        <v>0</v>
      </c>
      <c r="R761" s="2" t="inlineStr"/>
    </row>
    <row r="762" ht="15" customHeight="1">
      <c r="A762" t="inlineStr">
        <is>
          <t>A 54143-2023</t>
        </is>
      </c>
      <c r="B762" s="1" t="n">
        <v>45225</v>
      </c>
      <c r="C762" s="1" t="n">
        <v>45352</v>
      </c>
      <c r="D762" t="inlineStr">
        <is>
          <t>DALARNAS LÄN</t>
        </is>
      </c>
      <c r="E762" t="inlineStr">
        <is>
          <t>SMEDJEBACKEN</t>
        </is>
      </c>
      <c r="F762" t="inlineStr">
        <is>
          <t>Bergvik skog väst AB</t>
        </is>
      </c>
      <c r="G762" t="n">
        <v>8.9</v>
      </c>
      <c r="H762" t="n">
        <v>0</v>
      </c>
      <c r="I762" t="n">
        <v>0</v>
      </c>
      <c r="J762" t="n">
        <v>0</v>
      </c>
      <c r="K762" t="n">
        <v>0</v>
      </c>
      <c r="L762" t="n">
        <v>0</v>
      </c>
      <c r="M762" t="n">
        <v>0</v>
      </c>
      <c r="N762" t="n">
        <v>0</v>
      </c>
      <c r="O762" t="n">
        <v>0</v>
      </c>
      <c r="P762" t="n">
        <v>0</v>
      </c>
      <c r="Q762" t="n">
        <v>0</v>
      </c>
      <c r="R762" s="2" t="inlineStr"/>
    </row>
    <row r="763" ht="15" customHeight="1">
      <c r="A763" t="inlineStr">
        <is>
          <t>A 53977-2023</t>
        </is>
      </c>
      <c r="B763" s="1" t="n">
        <v>45225</v>
      </c>
      <c r="C763" s="1" t="n">
        <v>45352</v>
      </c>
      <c r="D763" t="inlineStr">
        <is>
          <t>DALARNAS LÄN</t>
        </is>
      </c>
      <c r="E763" t="inlineStr">
        <is>
          <t>SMEDJEBACKEN</t>
        </is>
      </c>
      <c r="F763" t="inlineStr">
        <is>
          <t>Bergvik skog väst AB</t>
        </is>
      </c>
      <c r="G763" t="n">
        <v>7.1</v>
      </c>
      <c r="H763" t="n">
        <v>0</v>
      </c>
      <c r="I763" t="n">
        <v>0</v>
      </c>
      <c r="J763" t="n">
        <v>0</v>
      </c>
      <c r="K763" t="n">
        <v>0</v>
      </c>
      <c r="L763" t="n">
        <v>0</v>
      </c>
      <c r="M763" t="n">
        <v>0</v>
      </c>
      <c r="N763" t="n">
        <v>0</v>
      </c>
      <c r="O763" t="n">
        <v>0</v>
      </c>
      <c r="P763" t="n">
        <v>0</v>
      </c>
      <c r="Q763" t="n">
        <v>0</v>
      </c>
      <c r="R763" s="2" t="inlineStr"/>
    </row>
    <row r="764" ht="15" customHeight="1">
      <c r="A764" t="inlineStr">
        <is>
          <t>A 52956-2023</t>
        </is>
      </c>
      <c r="B764" s="1" t="n">
        <v>45226</v>
      </c>
      <c r="C764" s="1" t="n">
        <v>45352</v>
      </c>
      <c r="D764" t="inlineStr">
        <is>
          <t>DALARNAS LÄN</t>
        </is>
      </c>
      <c r="E764" t="inlineStr">
        <is>
          <t>SMEDJEBACKEN</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52776-2023</t>
        </is>
      </c>
      <c r="B765" s="1" t="n">
        <v>45226</v>
      </c>
      <c r="C765" s="1" t="n">
        <v>45352</v>
      </c>
      <c r="D765" t="inlineStr">
        <is>
          <t>DALARNAS LÄN</t>
        </is>
      </c>
      <c r="E765" t="inlineStr">
        <is>
          <t>SMEDJEBACKEN</t>
        </is>
      </c>
      <c r="F765" t="inlineStr">
        <is>
          <t>Sveaskog</t>
        </is>
      </c>
      <c r="G765" t="n">
        <v>7.8</v>
      </c>
      <c r="H765" t="n">
        <v>0</v>
      </c>
      <c r="I765" t="n">
        <v>0</v>
      </c>
      <c r="J765" t="n">
        <v>0</v>
      </c>
      <c r="K765" t="n">
        <v>0</v>
      </c>
      <c r="L765" t="n">
        <v>0</v>
      </c>
      <c r="M765" t="n">
        <v>0</v>
      </c>
      <c r="N765" t="n">
        <v>0</v>
      </c>
      <c r="O765" t="n">
        <v>0</v>
      </c>
      <c r="P765" t="n">
        <v>0</v>
      </c>
      <c r="Q765" t="n">
        <v>0</v>
      </c>
      <c r="R765" s="2" t="inlineStr"/>
    </row>
    <row r="766" ht="15" customHeight="1">
      <c r="A766" t="inlineStr">
        <is>
          <t>A 52954-2023</t>
        </is>
      </c>
      <c r="B766" s="1" t="n">
        <v>45226</v>
      </c>
      <c r="C766" s="1" t="n">
        <v>45352</v>
      </c>
      <c r="D766" t="inlineStr">
        <is>
          <t>DALARNAS LÄN</t>
        </is>
      </c>
      <c r="E766" t="inlineStr">
        <is>
          <t>SMEDJEBACKEN</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52951-2023</t>
        </is>
      </c>
      <c r="B767" s="1" t="n">
        <v>45226</v>
      </c>
      <c r="C767" s="1" t="n">
        <v>45352</v>
      </c>
      <c r="D767" t="inlineStr">
        <is>
          <t>DALARNAS LÄN</t>
        </is>
      </c>
      <c r="E767" t="inlineStr">
        <is>
          <t>SMEDJEBACKEN</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52960-2023</t>
        </is>
      </c>
      <c r="B768" s="1" t="n">
        <v>45226</v>
      </c>
      <c r="C768" s="1" t="n">
        <v>45352</v>
      </c>
      <c r="D768" t="inlineStr">
        <is>
          <t>DALARNAS LÄN</t>
        </is>
      </c>
      <c r="E768" t="inlineStr">
        <is>
          <t>SMEDJEBACKEN</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52784-2023</t>
        </is>
      </c>
      <c r="B769" s="1" t="n">
        <v>45226</v>
      </c>
      <c r="C769" s="1" t="n">
        <v>45352</v>
      </c>
      <c r="D769" t="inlineStr">
        <is>
          <t>DALARNAS LÄN</t>
        </is>
      </c>
      <c r="E769" t="inlineStr">
        <is>
          <t>SMEDJEBACKEN</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52780-2023</t>
        </is>
      </c>
      <c r="B770" s="1" t="n">
        <v>45226</v>
      </c>
      <c r="C770" s="1" t="n">
        <v>45352</v>
      </c>
      <c r="D770" t="inlineStr">
        <is>
          <t>DALARNAS LÄN</t>
        </is>
      </c>
      <c r="E770" t="inlineStr">
        <is>
          <t>SMEDJEBACKEN</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52962-2023</t>
        </is>
      </c>
      <c r="B771" s="1" t="n">
        <v>45226</v>
      </c>
      <c r="C771" s="1" t="n">
        <v>45352</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52944-2023</t>
        </is>
      </c>
      <c r="B772" s="1" t="n">
        <v>45226</v>
      </c>
      <c r="C772" s="1" t="n">
        <v>45352</v>
      </c>
      <c r="D772" t="inlineStr">
        <is>
          <t>DALARNAS LÄN</t>
        </is>
      </c>
      <c r="E772" t="inlineStr">
        <is>
          <t>SMEDJEBACKEN</t>
        </is>
      </c>
      <c r="F772" t="inlineStr">
        <is>
          <t>Sveaskog</t>
        </is>
      </c>
      <c r="G772" t="n">
        <v>6</v>
      </c>
      <c r="H772" t="n">
        <v>0</v>
      </c>
      <c r="I772" t="n">
        <v>0</v>
      </c>
      <c r="J772" t="n">
        <v>0</v>
      </c>
      <c r="K772" t="n">
        <v>0</v>
      </c>
      <c r="L772" t="n">
        <v>0</v>
      </c>
      <c r="M772" t="n">
        <v>0</v>
      </c>
      <c r="N772" t="n">
        <v>0</v>
      </c>
      <c r="O772" t="n">
        <v>0</v>
      </c>
      <c r="P772" t="n">
        <v>0</v>
      </c>
      <c r="Q772" t="n">
        <v>0</v>
      </c>
      <c r="R772" s="2" t="inlineStr"/>
    </row>
    <row r="773" ht="15" customHeight="1">
      <c r="A773" t="inlineStr">
        <is>
          <t>A 52779-2023</t>
        </is>
      </c>
      <c r="B773" s="1" t="n">
        <v>45226</v>
      </c>
      <c r="C773" s="1" t="n">
        <v>45352</v>
      </c>
      <c r="D773" t="inlineStr">
        <is>
          <t>DALARNAS LÄN</t>
        </is>
      </c>
      <c r="E773" t="inlineStr">
        <is>
          <t>SMEDJEBACKEN</t>
        </is>
      </c>
      <c r="F773" t="inlineStr">
        <is>
          <t>Sveaskog</t>
        </is>
      </c>
      <c r="G773" t="n">
        <v>16.4</v>
      </c>
      <c r="H773" t="n">
        <v>0</v>
      </c>
      <c r="I773" t="n">
        <v>0</v>
      </c>
      <c r="J773" t="n">
        <v>0</v>
      </c>
      <c r="K773" t="n">
        <v>0</v>
      </c>
      <c r="L773" t="n">
        <v>0</v>
      </c>
      <c r="M773" t="n">
        <v>0</v>
      </c>
      <c r="N773" t="n">
        <v>0</v>
      </c>
      <c r="O773" t="n">
        <v>0</v>
      </c>
      <c r="P773" t="n">
        <v>0</v>
      </c>
      <c r="Q773" t="n">
        <v>0</v>
      </c>
      <c r="R773" s="2" t="inlineStr"/>
    </row>
    <row r="774" ht="15" customHeight="1">
      <c r="A774" t="inlineStr">
        <is>
          <t>A 52788-2023</t>
        </is>
      </c>
      <c r="B774" s="1" t="n">
        <v>45226</v>
      </c>
      <c r="C774" s="1" t="n">
        <v>45352</v>
      </c>
      <c r="D774" t="inlineStr">
        <is>
          <t>DALARNAS LÄN</t>
        </is>
      </c>
      <c r="E774" t="inlineStr">
        <is>
          <t>SMEDJEBACKEN</t>
        </is>
      </c>
      <c r="F774" t="inlineStr">
        <is>
          <t>Sveaskog</t>
        </is>
      </c>
      <c r="G774" t="n">
        <v>4.7</v>
      </c>
      <c r="H774" t="n">
        <v>0</v>
      </c>
      <c r="I774" t="n">
        <v>0</v>
      </c>
      <c r="J774" t="n">
        <v>0</v>
      </c>
      <c r="K774" t="n">
        <v>0</v>
      </c>
      <c r="L774" t="n">
        <v>0</v>
      </c>
      <c r="M774" t="n">
        <v>0</v>
      </c>
      <c r="N774" t="n">
        <v>0</v>
      </c>
      <c r="O774" t="n">
        <v>0</v>
      </c>
      <c r="P774" t="n">
        <v>0</v>
      </c>
      <c r="Q774" t="n">
        <v>0</v>
      </c>
      <c r="R774" s="2" t="inlineStr"/>
    </row>
    <row r="775" ht="15" customHeight="1">
      <c r="A775" t="inlineStr">
        <is>
          <t>A 52948-2023</t>
        </is>
      </c>
      <c r="B775" s="1" t="n">
        <v>45226</v>
      </c>
      <c r="C775" s="1" t="n">
        <v>45352</v>
      </c>
      <c r="D775" t="inlineStr">
        <is>
          <t>DALARNAS LÄN</t>
        </is>
      </c>
      <c r="E775" t="inlineStr">
        <is>
          <t>SMEDJEBACKEN</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52782-2023</t>
        </is>
      </c>
      <c r="B776" s="1" t="n">
        <v>45226</v>
      </c>
      <c r="C776" s="1" t="n">
        <v>45352</v>
      </c>
      <c r="D776" t="inlineStr">
        <is>
          <t>DALARNAS LÄN</t>
        </is>
      </c>
      <c r="E776" t="inlineStr">
        <is>
          <t>SMEDJEBACKEN</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53139-2023</t>
        </is>
      </c>
      <c r="B777" s="1" t="n">
        <v>45229</v>
      </c>
      <c r="C777" s="1" t="n">
        <v>45352</v>
      </c>
      <c r="D777" t="inlineStr">
        <is>
          <t>DALARNAS LÄN</t>
        </is>
      </c>
      <c r="E777" t="inlineStr">
        <is>
          <t>SMEDJEBACKEN</t>
        </is>
      </c>
      <c r="F777" t="inlineStr">
        <is>
          <t>Övriga Aktiebolag</t>
        </is>
      </c>
      <c r="G777" t="n">
        <v>13.8</v>
      </c>
      <c r="H777" t="n">
        <v>0</v>
      </c>
      <c r="I777" t="n">
        <v>0</v>
      </c>
      <c r="J777" t="n">
        <v>0</v>
      </c>
      <c r="K777" t="n">
        <v>0</v>
      </c>
      <c r="L777" t="n">
        <v>0</v>
      </c>
      <c r="M777" t="n">
        <v>0</v>
      </c>
      <c r="N777" t="n">
        <v>0</v>
      </c>
      <c r="O777" t="n">
        <v>0</v>
      </c>
      <c r="P777" t="n">
        <v>0</v>
      </c>
      <c r="Q777" t="n">
        <v>0</v>
      </c>
      <c r="R777" s="2" t="inlineStr"/>
    </row>
    <row r="778" ht="15" customHeight="1">
      <c r="A778" t="inlineStr">
        <is>
          <t>A 53458-2023</t>
        </is>
      </c>
      <c r="B778" s="1" t="n">
        <v>45230</v>
      </c>
      <c r="C778" s="1" t="n">
        <v>45352</v>
      </c>
      <c r="D778" t="inlineStr">
        <is>
          <t>DALARNAS LÄN</t>
        </is>
      </c>
      <c r="E778" t="inlineStr">
        <is>
          <t>SMEDJEBACKEN</t>
        </is>
      </c>
      <c r="G778" t="n">
        <v>4.5</v>
      </c>
      <c r="H778" t="n">
        <v>0</v>
      </c>
      <c r="I778" t="n">
        <v>0</v>
      </c>
      <c r="J778" t="n">
        <v>0</v>
      </c>
      <c r="K778" t="n">
        <v>0</v>
      </c>
      <c r="L778" t="n">
        <v>0</v>
      </c>
      <c r="M778" t="n">
        <v>0</v>
      </c>
      <c r="N778" t="n">
        <v>0</v>
      </c>
      <c r="O778" t="n">
        <v>0</v>
      </c>
      <c r="P778" t="n">
        <v>0</v>
      </c>
      <c r="Q778" t="n">
        <v>0</v>
      </c>
      <c r="R778" s="2" t="inlineStr"/>
    </row>
    <row r="779" ht="15" customHeight="1">
      <c r="A779" t="inlineStr">
        <is>
          <t>A 57217-2023</t>
        </is>
      </c>
      <c r="B779" s="1" t="n">
        <v>45239</v>
      </c>
      <c r="C779" s="1" t="n">
        <v>45352</v>
      </c>
      <c r="D779" t="inlineStr">
        <is>
          <t>DALARNAS LÄN</t>
        </is>
      </c>
      <c r="E779" t="inlineStr">
        <is>
          <t>SMEDJEBACKEN</t>
        </is>
      </c>
      <c r="F779" t="inlineStr">
        <is>
          <t>Bergvik skog väst AB</t>
        </is>
      </c>
      <c r="G779" t="n">
        <v>4.2</v>
      </c>
      <c r="H779" t="n">
        <v>0</v>
      </c>
      <c r="I779" t="n">
        <v>0</v>
      </c>
      <c r="J779" t="n">
        <v>0</v>
      </c>
      <c r="K779" t="n">
        <v>0</v>
      </c>
      <c r="L779" t="n">
        <v>0</v>
      </c>
      <c r="M779" t="n">
        <v>0</v>
      </c>
      <c r="N779" t="n">
        <v>0</v>
      </c>
      <c r="O779" t="n">
        <v>0</v>
      </c>
      <c r="P779" t="n">
        <v>0</v>
      </c>
      <c r="Q779" t="n">
        <v>0</v>
      </c>
      <c r="R779" s="2" t="inlineStr"/>
    </row>
    <row r="780" ht="15" customHeight="1">
      <c r="A780" t="inlineStr">
        <is>
          <t>A 58418-2023</t>
        </is>
      </c>
      <c r="B780" s="1" t="n">
        <v>45246</v>
      </c>
      <c r="C780" s="1" t="n">
        <v>45352</v>
      </c>
      <c r="D780" t="inlineStr">
        <is>
          <t>DALARNAS LÄN</t>
        </is>
      </c>
      <c r="E780" t="inlineStr">
        <is>
          <t>SMEDJEBACKEN</t>
        </is>
      </c>
      <c r="F780" t="inlineStr">
        <is>
          <t>Bergvik skog väst AB</t>
        </is>
      </c>
      <c r="G780" t="n">
        <v>1</v>
      </c>
      <c r="H780" t="n">
        <v>0</v>
      </c>
      <c r="I780" t="n">
        <v>0</v>
      </c>
      <c r="J780" t="n">
        <v>0</v>
      </c>
      <c r="K780" t="n">
        <v>0</v>
      </c>
      <c r="L780" t="n">
        <v>0</v>
      </c>
      <c r="M780" t="n">
        <v>0</v>
      </c>
      <c r="N780" t="n">
        <v>0</v>
      </c>
      <c r="O780" t="n">
        <v>0</v>
      </c>
      <c r="P780" t="n">
        <v>0</v>
      </c>
      <c r="Q780" t="n">
        <v>0</v>
      </c>
      <c r="R780" s="2" t="inlineStr"/>
    </row>
    <row r="781" ht="15" customHeight="1">
      <c r="A781" t="inlineStr">
        <is>
          <t>A 58422-2023</t>
        </is>
      </c>
      <c r="B781" s="1" t="n">
        <v>45246</v>
      </c>
      <c r="C781" s="1" t="n">
        <v>45352</v>
      </c>
      <c r="D781" t="inlineStr">
        <is>
          <t>DALARNAS LÄN</t>
        </is>
      </c>
      <c r="E781" t="inlineStr">
        <is>
          <t>SMEDJEBACKEN</t>
        </is>
      </c>
      <c r="F781" t="inlineStr">
        <is>
          <t>Bergvik skog väst AB</t>
        </is>
      </c>
      <c r="G781" t="n">
        <v>0.8</v>
      </c>
      <c r="H781" t="n">
        <v>0</v>
      </c>
      <c r="I781" t="n">
        <v>0</v>
      </c>
      <c r="J781" t="n">
        <v>0</v>
      </c>
      <c r="K781" t="n">
        <v>0</v>
      </c>
      <c r="L781" t="n">
        <v>0</v>
      </c>
      <c r="M781" t="n">
        <v>0</v>
      </c>
      <c r="N781" t="n">
        <v>0</v>
      </c>
      <c r="O781" t="n">
        <v>0</v>
      </c>
      <c r="P781" t="n">
        <v>0</v>
      </c>
      <c r="Q781" t="n">
        <v>0</v>
      </c>
      <c r="R781" s="2" t="inlineStr"/>
    </row>
    <row r="782" ht="15" customHeight="1">
      <c r="A782" t="inlineStr">
        <is>
          <t>A 58189-2023</t>
        </is>
      </c>
      <c r="B782" s="1" t="n">
        <v>45250</v>
      </c>
      <c r="C782" s="1" t="n">
        <v>45352</v>
      </c>
      <c r="D782" t="inlineStr">
        <is>
          <t>DALARNAS LÄN</t>
        </is>
      </c>
      <c r="E782" t="inlineStr">
        <is>
          <t>SMEDJEBACKEN</t>
        </is>
      </c>
      <c r="G782" t="n">
        <v>6.6</v>
      </c>
      <c r="H782" t="n">
        <v>0</v>
      </c>
      <c r="I782" t="n">
        <v>0</v>
      </c>
      <c r="J782" t="n">
        <v>0</v>
      </c>
      <c r="K782" t="n">
        <v>0</v>
      </c>
      <c r="L782" t="n">
        <v>0</v>
      </c>
      <c r="M782" t="n">
        <v>0</v>
      </c>
      <c r="N782" t="n">
        <v>0</v>
      </c>
      <c r="O782" t="n">
        <v>0</v>
      </c>
      <c r="P782" t="n">
        <v>0</v>
      </c>
      <c r="Q782" t="n">
        <v>0</v>
      </c>
      <c r="R782" s="2" t="inlineStr"/>
    </row>
    <row r="783" ht="15" customHeight="1">
      <c r="A783" t="inlineStr">
        <is>
          <t>A 58184-2023</t>
        </is>
      </c>
      <c r="B783" s="1" t="n">
        <v>45250</v>
      </c>
      <c r="C783" s="1" t="n">
        <v>45352</v>
      </c>
      <c r="D783" t="inlineStr">
        <is>
          <t>DALARNAS LÄN</t>
        </is>
      </c>
      <c r="E783" t="inlineStr">
        <is>
          <t>SMEDJEBACKEN</t>
        </is>
      </c>
      <c r="G783" t="n">
        <v>4.6</v>
      </c>
      <c r="H783" t="n">
        <v>0</v>
      </c>
      <c r="I783" t="n">
        <v>0</v>
      </c>
      <c r="J783" t="n">
        <v>0</v>
      </c>
      <c r="K783" t="n">
        <v>0</v>
      </c>
      <c r="L783" t="n">
        <v>0</v>
      </c>
      <c r="M783" t="n">
        <v>0</v>
      </c>
      <c r="N783" t="n">
        <v>0</v>
      </c>
      <c r="O783" t="n">
        <v>0</v>
      </c>
      <c r="P783" t="n">
        <v>0</v>
      </c>
      <c r="Q783" t="n">
        <v>0</v>
      </c>
      <c r="R783" s="2" t="inlineStr"/>
    </row>
    <row r="784" ht="15" customHeight="1">
      <c r="A784" t="inlineStr">
        <is>
          <t>A 58234-2023</t>
        </is>
      </c>
      <c r="B784" s="1" t="n">
        <v>45250</v>
      </c>
      <c r="C784" s="1" t="n">
        <v>45352</v>
      </c>
      <c r="D784" t="inlineStr">
        <is>
          <t>DALARNAS LÄN</t>
        </is>
      </c>
      <c r="E784" t="inlineStr">
        <is>
          <t>SMEDJEBACKEN</t>
        </is>
      </c>
      <c r="G784" t="n">
        <v>2.3</v>
      </c>
      <c r="H784" t="n">
        <v>0</v>
      </c>
      <c r="I784" t="n">
        <v>0</v>
      </c>
      <c r="J784" t="n">
        <v>0</v>
      </c>
      <c r="K784" t="n">
        <v>0</v>
      </c>
      <c r="L784" t="n">
        <v>0</v>
      </c>
      <c r="M784" t="n">
        <v>0</v>
      </c>
      <c r="N784" t="n">
        <v>0</v>
      </c>
      <c r="O784" t="n">
        <v>0</v>
      </c>
      <c r="P784" t="n">
        <v>0</v>
      </c>
      <c r="Q784" t="n">
        <v>0</v>
      </c>
      <c r="R784" s="2" t="inlineStr"/>
    </row>
    <row r="785" ht="15" customHeight="1">
      <c r="A785" t="inlineStr">
        <is>
          <t>A 58336-2023</t>
        </is>
      </c>
      <c r="B785" s="1" t="n">
        <v>45250</v>
      </c>
      <c r="C785" s="1" t="n">
        <v>45352</v>
      </c>
      <c r="D785" t="inlineStr">
        <is>
          <t>DALARNAS LÄN</t>
        </is>
      </c>
      <c r="E785" t="inlineStr">
        <is>
          <t>SMEDJEBACKEN</t>
        </is>
      </c>
      <c r="F785" t="inlineStr">
        <is>
          <t>Bergvik skog väst AB</t>
        </is>
      </c>
      <c r="G785" t="n">
        <v>2.5</v>
      </c>
      <c r="H785" t="n">
        <v>0</v>
      </c>
      <c r="I785" t="n">
        <v>0</v>
      </c>
      <c r="J785" t="n">
        <v>0</v>
      </c>
      <c r="K785" t="n">
        <v>0</v>
      </c>
      <c r="L785" t="n">
        <v>0</v>
      </c>
      <c r="M785" t="n">
        <v>0</v>
      </c>
      <c r="N785" t="n">
        <v>0</v>
      </c>
      <c r="O785" t="n">
        <v>0</v>
      </c>
      <c r="P785" t="n">
        <v>0</v>
      </c>
      <c r="Q785" t="n">
        <v>0</v>
      </c>
      <c r="R785" s="2" t="inlineStr"/>
    </row>
    <row r="786" ht="15" customHeight="1">
      <c r="A786" t="inlineStr">
        <is>
          <t>A 58339-2023</t>
        </is>
      </c>
      <c r="B786" s="1" t="n">
        <v>45250</v>
      </c>
      <c r="C786" s="1" t="n">
        <v>45352</v>
      </c>
      <c r="D786" t="inlineStr">
        <is>
          <t>DALARNAS LÄN</t>
        </is>
      </c>
      <c r="E786" t="inlineStr">
        <is>
          <t>SMEDJEBACKEN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58397-2023</t>
        </is>
      </c>
      <c r="B787" s="1" t="n">
        <v>45250</v>
      </c>
      <c r="C787" s="1" t="n">
        <v>45352</v>
      </c>
      <c r="D787" t="inlineStr">
        <is>
          <t>DALARNAS LÄN</t>
        </is>
      </c>
      <c r="E787" t="inlineStr">
        <is>
          <t>SMEDJEBACKEN</t>
        </is>
      </c>
      <c r="G787" t="n">
        <v>2.8</v>
      </c>
      <c r="H787" t="n">
        <v>0</v>
      </c>
      <c r="I787" t="n">
        <v>0</v>
      </c>
      <c r="J787" t="n">
        <v>0</v>
      </c>
      <c r="K787" t="n">
        <v>0</v>
      </c>
      <c r="L787" t="n">
        <v>0</v>
      </c>
      <c r="M787" t="n">
        <v>0</v>
      </c>
      <c r="N787" t="n">
        <v>0</v>
      </c>
      <c r="O787" t="n">
        <v>0</v>
      </c>
      <c r="P787" t="n">
        <v>0</v>
      </c>
      <c r="Q787" t="n">
        <v>0</v>
      </c>
      <c r="R787" s="2" t="inlineStr"/>
    </row>
    <row r="788" ht="15" customHeight="1">
      <c r="A788" t="inlineStr">
        <is>
          <t>A 58337-2023</t>
        </is>
      </c>
      <c r="B788" s="1" t="n">
        <v>45250</v>
      </c>
      <c r="C788" s="1" t="n">
        <v>45352</v>
      </c>
      <c r="D788" t="inlineStr">
        <is>
          <t>DALARNAS LÄN</t>
        </is>
      </c>
      <c r="E788" t="inlineStr">
        <is>
          <t>SMEDJEBACKEN</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58778-2023</t>
        </is>
      </c>
      <c r="B789" s="1" t="n">
        <v>45252</v>
      </c>
      <c r="C789" s="1" t="n">
        <v>45352</v>
      </c>
      <c r="D789" t="inlineStr">
        <is>
          <t>DALARNAS LÄN</t>
        </is>
      </c>
      <c r="E789" t="inlineStr">
        <is>
          <t>SMEDJEBACKEN</t>
        </is>
      </c>
      <c r="G789" t="n">
        <v>3.4</v>
      </c>
      <c r="H789" t="n">
        <v>0</v>
      </c>
      <c r="I789" t="n">
        <v>0</v>
      </c>
      <c r="J789" t="n">
        <v>0</v>
      </c>
      <c r="K789" t="n">
        <v>0</v>
      </c>
      <c r="L789" t="n">
        <v>0</v>
      </c>
      <c r="M789" t="n">
        <v>0</v>
      </c>
      <c r="N789" t="n">
        <v>0</v>
      </c>
      <c r="O789" t="n">
        <v>0</v>
      </c>
      <c r="P789" t="n">
        <v>0</v>
      </c>
      <c r="Q789" t="n">
        <v>0</v>
      </c>
      <c r="R789" s="2" t="inlineStr"/>
    </row>
    <row r="790" ht="15" customHeight="1">
      <c r="A790" t="inlineStr">
        <is>
          <t>A 59756-2023</t>
        </is>
      </c>
      <c r="B790" s="1" t="n">
        <v>45257</v>
      </c>
      <c r="C790" s="1" t="n">
        <v>45352</v>
      </c>
      <c r="D790" t="inlineStr">
        <is>
          <t>DALARNAS LÄN</t>
        </is>
      </c>
      <c r="E790" t="inlineStr">
        <is>
          <t>SMEDJEBACKEN</t>
        </is>
      </c>
      <c r="F790" t="inlineStr">
        <is>
          <t>Sveaskog</t>
        </is>
      </c>
      <c r="G790" t="n">
        <v>2.7</v>
      </c>
      <c r="H790" t="n">
        <v>0</v>
      </c>
      <c r="I790" t="n">
        <v>0</v>
      </c>
      <c r="J790" t="n">
        <v>0</v>
      </c>
      <c r="K790" t="n">
        <v>0</v>
      </c>
      <c r="L790" t="n">
        <v>0</v>
      </c>
      <c r="M790" t="n">
        <v>0</v>
      </c>
      <c r="N790" t="n">
        <v>0</v>
      </c>
      <c r="O790" t="n">
        <v>0</v>
      </c>
      <c r="P790" t="n">
        <v>0</v>
      </c>
      <c r="Q790" t="n">
        <v>0</v>
      </c>
      <c r="R790" s="2" t="inlineStr"/>
    </row>
    <row r="791" ht="15" customHeight="1">
      <c r="A791" t="inlineStr">
        <is>
          <t>A 59761-2023</t>
        </is>
      </c>
      <c r="B791" s="1" t="n">
        <v>45257</v>
      </c>
      <c r="C791" s="1" t="n">
        <v>45352</v>
      </c>
      <c r="D791" t="inlineStr">
        <is>
          <t>DALARNAS LÄN</t>
        </is>
      </c>
      <c r="E791" t="inlineStr">
        <is>
          <t>SMEDJEBACKEN</t>
        </is>
      </c>
      <c r="F791" t="inlineStr">
        <is>
          <t>Sveaskog</t>
        </is>
      </c>
      <c r="G791" t="n">
        <v>2</v>
      </c>
      <c r="H791" t="n">
        <v>0</v>
      </c>
      <c r="I791" t="n">
        <v>0</v>
      </c>
      <c r="J791" t="n">
        <v>0</v>
      </c>
      <c r="K791" t="n">
        <v>0</v>
      </c>
      <c r="L791" t="n">
        <v>0</v>
      </c>
      <c r="M791" t="n">
        <v>0</v>
      </c>
      <c r="N791" t="n">
        <v>0</v>
      </c>
      <c r="O791" t="n">
        <v>0</v>
      </c>
      <c r="P791" t="n">
        <v>0</v>
      </c>
      <c r="Q791" t="n">
        <v>0</v>
      </c>
      <c r="R791" s="2" t="inlineStr"/>
    </row>
    <row r="792" ht="15" customHeight="1">
      <c r="A792" t="inlineStr">
        <is>
          <t>A 59752-2023</t>
        </is>
      </c>
      <c r="B792" s="1" t="n">
        <v>45257</v>
      </c>
      <c r="C792" s="1" t="n">
        <v>45352</v>
      </c>
      <c r="D792" t="inlineStr">
        <is>
          <t>DALARNAS LÄN</t>
        </is>
      </c>
      <c r="E792" t="inlineStr">
        <is>
          <t>SMEDJEBACKEN</t>
        </is>
      </c>
      <c r="F792" t="inlineStr">
        <is>
          <t>Sveaskog</t>
        </is>
      </c>
      <c r="G792" t="n">
        <v>2.4</v>
      </c>
      <c r="H792" t="n">
        <v>0</v>
      </c>
      <c r="I792" t="n">
        <v>0</v>
      </c>
      <c r="J792" t="n">
        <v>0</v>
      </c>
      <c r="K792" t="n">
        <v>0</v>
      </c>
      <c r="L792" t="n">
        <v>0</v>
      </c>
      <c r="M792" t="n">
        <v>0</v>
      </c>
      <c r="N792" t="n">
        <v>0</v>
      </c>
      <c r="O792" t="n">
        <v>0</v>
      </c>
      <c r="P792" t="n">
        <v>0</v>
      </c>
      <c r="Q792" t="n">
        <v>0</v>
      </c>
      <c r="R792" s="2" t="inlineStr"/>
    </row>
    <row r="793" ht="15" customHeight="1">
      <c r="A793" t="inlineStr">
        <is>
          <t>A 59758-2023</t>
        </is>
      </c>
      <c r="B793" s="1" t="n">
        <v>45257</v>
      </c>
      <c r="C793" s="1" t="n">
        <v>45352</v>
      </c>
      <c r="D793" t="inlineStr">
        <is>
          <t>DALARNAS LÄN</t>
        </is>
      </c>
      <c r="E793" t="inlineStr">
        <is>
          <t>SMEDJEBACKEN</t>
        </is>
      </c>
      <c r="F793" t="inlineStr">
        <is>
          <t>Sveaskog</t>
        </is>
      </c>
      <c r="G793" t="n">
        <v>4.8</v>
      </c>
      <c r="H793" t="n">
        <v>0</v>
      </c>
      <c r="I793" t="n">
        <v>0</v>
      </c>
      <c r="J793" t="n">
        <v>0</v>
      </c>
      <c r="K793" t="n">
        <v>0</v>
      </c>
      <c r="L793" t="n">
        <v>0</v>
      </c>
      <c r="M793" t="n">
        <v>0</v>
      </c>
      <c r="N793" t="n">
        <v>0</v>
      </c>
      <c r="O793" t="n">
        <v>0</v>
      </c>
      <c r="P793" t="n">
        <v>0</v>
      </c>
      <c r="Q793" t="n">
        <v>0</v>
      </c>
      <c r="R793" s="2" t="inlineStr"/>
    </row>
    <row r="794" ht="15" customHeight="1">
      <c r="A794" t="inlineStr">
        <is>
          <t>A 59760-2023</t>
        </is>
      </c>
      <c r="B794" s="1" t="n">
        <v>45257</v>
      </c>
      <c r="C794" s="1" t="n">
        <v>45352</v>
      </c>
      <c r="D794" t="inlineStr">
        <is>
          <t>DALARNAS LÄN</t>
        </is>
      </c>
      <c r="E794" t="inlineStr">
        <is>
          <t>SMEDJEBACKEN</t>
        </is>
      </c>
      <c r="F794" t="inlineStr">
        <is>
          <t>Sveaskog</t>
        </is>
      </c>
      <c r="G794" t="n">
        <v>6</v>
      </c>
      <c r="H794" t="n">
        <v>0</v>
      </c>
      <c r="I794" t="n">
        <v>0</v>
      </c>
      <c r="J794" t="n">
        <v>0</v>
      </c>
      <c r="K794" t="n">
        <v>0</v>
      </c>
      <c r="L794" t="n">
        <v>0</v>
      </c>
      <c r="M794" t="n">
        <v>0</v>
      </c>
      <c r="N794" t="n">
        <v>0</v>
      </c>
      <c r="O794" t="n">
        <v>0</v>
      </c>
      <c r="P794" t="n">
        <v>0</v>
      </c>
      <c r="Q794" t="n">
        <v>0</v>
      </c>
      <c r="R794" s="2" t="inlineStr"/>
    </row>
    <row r="795" ht="15" customHeight="1">
      <c r="A795" t="inlineStr">
        <is>
          <t>A 60262-2023</t>
        </is>
      </c>
      <c r="B795" s="1" t="n">
        <v>45258</v>
      </c>
      <c r="C795" s="1" t="n">
        <v>45352</v>
      </c>
      <c r="D795" t="inlineStr">
        <is>
          <t>DALARNAS LÄN</t>
        </is>
      </c>
      <c r="E795" t="inlineStr">
        <is>
          <t>SMEDJEBACKEN</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60260-2023</t>
        </is>
      </c>
      <c r="B796" s="1" t="n">
        <v>45258</v>
      </c>
      <c r="C796" s="1" t="n">
        <v>45352</v>
      </c>
      <c r="D796" t="inlineStr">
        <is>
          <t>DALARNAS LÄN</t>
        </is>
      </c>
      <c r="E796" t="inlineStr">
        <is>
          <t>SMEDJEBACKEN</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60265-2023</t>
        </is>
      </c>
      <c r="B797" s="1" t="n">
        <v>45258</v>
      </c>
      <c r="C797" s="1" t="n">
        <v>45352</v>
      </c>
      <c r="D797" t="inlineStr">
        <is>
          <t>DALARNAS LÄN</t>
        </is>
      </c>
      <c r="E797" t="inlineStr">
        <is>
          <t>SMEDJEBACKEN</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60734-2023</t>
        </is>
      </c>
      <c r="B798" s="1" t="n">
        <v>45260</v>
      </c>
      <c r="C798" s="1" t="n">
        <v>45352</v>
      </c>
      <c r="D798" t="inlineStr">
        <is>
          <t>DALARNAS LÄN</t>
        </is>
      </c>
      <c r="E798" t="inlineStr">
        <is>
          <t>SMEDJEBACKEN</t>
        </is>
      </c>
      <c r="F798" t="inlineStr">
        <is>
          <t>Sveaskog</t>
        </is>
      </c>
      <c r="G798" t="n">
        <v>2.5</v>
      </c>
      <c r="H798" t="n">
        <v>0</v>
      </c>
      <c r="I798" t="n">
        <v>0</v>
      </c>
      <c r="J798" t="n">
        <v>0</v>
      </c>
      <c r="K798" t="n">
        <v>0</v>
      </c>
      <c r="L798" t="n">
        <v>0</v>
      </c>
      <c r="M798" t="n">
        <v>0</v>
      </c>
      <c r="N798" t="n">
        <v>0</v>
      </c>
      <c r="O798" t="n">
        <v>0</v>
      </c>
      <c r="P798" t="n">
        <v>0</v>
      </c>
      <c r="Q798" t="n">
        <v>0</v>
      </c>
      <c r="R798" s="2" t="inlineStr"/>
    </row>
    <row r="799" ht="15" customHeight="1">
      <c r="A799" t="inlineStr">
        <is>
          <t>A 61378-2023</t>
        </is>
      </c>
      <c r="B799" s="1" t="n">
        <v>45264</v>
      </c>
      <c r="C799" s="1" t="n">
        <v>45352</v>
      </c>
      <c r="D799" t="inlineStr">
        <is>
          <t>DALARNAS LÄN</t>
        </is>
      </c>
      <c r="E799" t="inlineStr">
        <is>
          <t>SMEDJEBACKEN</t>
        </is>
      </c>
      <c r="G799" t="n">
        <v>0.7</v>
      </c>
      <c r="H799" t="n">
        <v>0</v>
      </c>
      <c r="I799" t="n">
        <v>0</v>
      </c>
      <c r="J799" t="n">
        <v>0</v>
      </c>
      <c r="K799" t="n">
        <v>0</v>
      </c>
      <c r="L799" t="n">
        <v>0</v>
      </c>
      <c r="M799" t="n">
        <v>0</v>
      </c>
      <c r="N799" t="n">
        <v>0</v>
      </c>
      <c r="O799" t="n">
        <v>0</v>
      </c>
      <c r="P799" t="n">
        <v>0</v>
      </c>
      <c r="Q799" t="n">
        <v>0</v>
      </c>
      <c r="R799" s="2" t="inlineStr"/>
    </row>
    <row r="800" ht="15" customHeight="1">
      <c r="A800" t="inlineStr">
        <is>
          <t>A 62658-2023</t>
        </is>
      </c>
      <c r="B800" s="1" t="n">
        <v>45271</v>
      </c>
      <c r="C800" s="1" t="n">
        <v>45352</v>
      </c>
      <c r="D800" t="inlineStr">
        <is>
          <t>DALARNAS LÄN</t>
        </is>
      </c>
      <c r="E800" t="inlineStr">
        <is>
          <t>SMEDJEBACKEN</t>
        </is>
      </c>
      <c r="G800" t="n">
        <v>7.5</v>
      </c>
      <c r="H800" t="n">
        <v>0</v>
      </c>
      <c r="I800" t="n">
        <v>0</v>
      </c>
      <c r="J800" t="n">
        <v>0</v>
      </c>
      <c r="K800" t="n">
        <v>0</v>
      </c>
      <c r="L800" t="n">
        <v>0</v>
      </c>
      <c r="M800" t="n">
        <v>0</v>
      </c>
      <c r="N800" t="n">
        <v>0</v>
      </c>
      <c r="O800" t="n">
        <v>0</v>
      </c>
      <c r="P800" t="n">
        <v>0</v>
      </c>
      <c r="Q800" t="n">
        <v>0</v>
      </c>
      <c r="R800" s="2" t="inlineStr"/>
    </row>
    <row r="801" ht="15" customHeight="1">
      <c r="A801" t="inlineStr">
        <is>
          <t>A 62925-2023</t>
        </is>
      </c>
      <c r="B801" s="1" t="n">
        <v>45272</v>
      </c>
      <c r="C801" s="1" t="n">
        <v>45352</v>
      </c>
      <c r="D801" t="inlineStr">
        <is>
          <t>DALARNAS LÄN</t>
        </is>
      </c>
      <c r="E801" t="inlineStr">
        <is>
          <t>SMEDJEBACKEN</t>
        </is>
      </c>
      <c r="G801" t="n">
        <v>1</v>
      </c>
      <c r="H801" t="n">
        <v>0</v>
      </c>
      <c r="I801" t="n">
        <v>0</v>
      </c>
      <c r="J801" t="n">
        <v>0</v>
      </c>
      <c r="K801" t="n">
        <v>0</v>
      </c>
      <c r="L801" t="n">
        <v>0</v>
      </c>
      <c r="M801" t="n">
        <v>0</v>
      </c>
      <c r="N801" t="n">
        <v>0</v>
      </c>
      <c r="O801" t="n">
        <v>0</v>
      </c>
      <c r="P801" t="n">
        <v>0</v>
      </c>
      <c r="Q801" t="n">
        <v>0</v>
      </c>
      <c r="R801" s="2" t="inlineStr"/>
    </row>
    <row r="802" ht="15" customHeight="1">
      <c r="A802" t="inlineStr">
        <is>
          <t>A 62976-2023</t>
        </is>
      </c>
      <c r="B802" s="1" t="n">
        <v>45272</v>
      </c>
      <c r="C802" s="1" t="n">
        <v>45352</v>
      </c>
      <c r="D802" t="inlineStr">
        <is>
          <t>DALARNAS LÄN</t>
        </is>
      </c>
      <c r="E802" t="inlineStr">
        <is>
          <t>SMEDJEBACKEN</t>
        </is>
      </c>
      <c r="G802" t="n">
        <v>3.2</v>
      </c>
      <c r="H802" t="n">
        <v>0</v>
      </c>
      <c r="I802" t="n">
        <v>0</v>
      </c>
      <c r="J802" t="n">
        <v>0</v>
      </c>
      <c r="K802" t="n">
        <v>0</v>
      </c>
      <c r="L802" t="n">
        <v>0</v>
      </c>
      <c r="M802" t="n">
        <v>0</v>
      </c>
      <c r="N802" t="n">
        <v>0</v>
      </c>
      <c r="O802" t="n">
        <v>0</v>
      </c>
      <c r="P802" t="n">
        <v>0</v>
      </c>
      <c r="Q802" t="n">
        <v>0</v>
      </c>
      <c r="R802" s="2" t="inlineStr"/>
    </row>
    <row r="803" ht="15" customHeight="1">
      <c r="A803" t="inlineStr">
        <is>
          <t>A 63745-2023</t>
        </is>
      </c>
      <c r="B803" s="1" t="n">
        <v>45277</v>
      </c>
      <c r="C803" s="1" t="n">
        <v>45352</v>
      </c>
      <c r="D803" t="inlineStr">
        <is>
          <t>DALARNAS LÄN</t>
        </is>
      </c>
      <c r="E803" t="inlineStr">
        <is>
          <t>SMEDJEBACKEN</t>
        </is>
      </c>
      <c r="G803" t="n">
        <v>9.4</v>
      </c>
      <c r="H803" t="n">
        <v>0</v>
      </c>
      <c r="I803" t="n">
        <v>0</v>
      </c>
      <c r="J803" t="n">
        <v>0</v>
      </c>
      <c r="K803" t="n">
        <v>0</v>
      </c>
      <c r="L803" t="n">
        <v>0</v>
      </c>
      <c r="M803" t="n">
        <v>0</v>
      </c>
      <c r="N803" t="n">
        <v>0</v>
      </c>
      <c r="O803" t="n">
        <v>0</v>
      </c>
      <c r="P803" t="n">
        <v>0</v>
      </c>
      <c r="Q803" t="n">
        <v>0</v>
      </c>
      <c r="R803" s="2" t="inlineStr"/>
    </row>
    <row r="804" ht="15" customHeight="1">
      <c r="A804" t="inlineStr">
        <is>
          <t>A 63747-2023</t>
        </is>
      </c>
      <c r="B804" s="1" t="n">
        <v>45277</v>
      </c>
      <c r="C804" s="1" t="n">
        <v>45352</v>
      </c>
      <c r="D804" t="inlineStr">
        <is>
          <t>DALARNAS LÄN</t>
        </is>
      </c>
      <c r="E804" t="inlineStr">
        <is>
          <t>SMEDJEBACKEN</t>
        </is>
      </c>
      <c r="G804" t="n">
        <v>5.7</v>
      </c>
      <c r="H804" t="n">
        <v>0</v>
      </c>
      <c r="I804" t="n">
        <v>0</v>
      </c>
      <c r="J804" t="n">
        <v>0</v>
      </c>
      <c r="K804" t="n">
        <v>0</v>
      </c>
      <c r="L804" t="n">
        <v>0</v>
      </c>
      <c r="M804" t="n">
        <v>0</v>
      </c>
      <c r="N804" t="n">
        <v>0</v>
      </c>
      <c r="O804" t="n">
        <v>0</v>
      </c>
      <c r="P804" t="n">
        <v>0</v>
      </c>
      <c r="Q804" t="n">
        <v>0</v>
      </c>
      <c r="R804" s="2" t="inlineStr"/>
    </row>
    <row r="805" ht="15" customHeight="1">
      <c r="A805" t="inlineStr">
        <is>
          <t>A 958-2024</t>
        </is>
      </c>
      <c r="B805" s="1" t="n">
        <v>45301</v>
      </c>
      <c r="C805" s="1" t="n">
        <v>45352</v>
      </c>
      <c r="D805" t="inlineStr">
        <is>
          <t>DALARNAS LÄN</t>
        </is>
      </c>
      <c r="E805" t="inlineStr">
        <is>
          <t>SMEDJEBACKEN</t>
        </is>
      </c>
      <c r="F805" t="inlineStr">
        <is>
          <t>Bergvik skog väst AB</t>
        </is>
      </c>
      <c r="G805" t="n">
        <v>1.4</v>
      </c>
      <c r="H805" t="n">
        <v>0</v>
      </c>
      <c r="I805" t="n">
        <v>0</v>
      </c>
      <c r="J805" t="n">
        <v>0</v>
      </c>
      <c r="K805" t="n">
        <v>0</v>
      </c>
      <c r="L805" t="n">
        <v>0</v>
      </c>
      <c r="M805" t="n">
        <v>0</v>
      </c>
      <c r="N805" t="n">
        <v>0</v>
      </c>
      <c r="O805" t="n">
        <v>0</v>
      </c>
      <c r="P805" t="n">
        <v>0</v>
      </c>
      <c r="Q805" t="n">
        <v>0</v>
      </c>
      <c r="R805" s="2" t="inlineStr"/>
    </row>
    <row r="806" ht="15" customHeight="1">
      <c r="A806" t="inlineStr">
        <is>
          <t>A 2046-2024</t>
        </is>
      </c>
      <c r="B806" s="1" t="n">
        <v>45308</v>
      </c>
      <c r="C806" s="1" t="n">
        <v>45352</v>
      </c>
      <c r="D806" t="inlineStr">
        <is>
          <t>DALARNAS LÄN</t>
        </is>
      </c>
      <c r="E806" t="inlineStr">
        <is>
          <t>SMEDJEBACKEN</t>
        </is>
      </c>
      <c r="G806" t="n">
        <v>1.9</v>
      </c>
      <c r="H806" t="n">
        <v>0</v>
      </c>
      <c r="I806" t="n">
        <v>0</v>
      </c>
      <c r="J806" t="n">
        <v>0</v>
      </c>
      <c r="K806" t="n">
        <v>0</v>
      </c>
      <c r="L806" t="n">
        <v>0</v>
      </c>
      <c r="M806" t="n">
        <v>0</v>
      </c>
      <c r="N806" t="n">
        <v>0</v>
      </c>
      <c r="O806" t="n">
        <v>0</v>
      </c>
      <c r="P806" t="n">
        <v>0</v>
      </c>
      <c r="Q806" t="n">
        <v>0</v>
      </c>
      <c r="R806" s="2" t="inlineStr"/>
    </row>
    <row r="807" ht="15" customHeight="1">
      <c r="A807" t="inlineStr">
        <is>
          <t>A 2275-2024</t>
        </is>
      </c>
      <c r="B807" s="1" t="n">
        <v>45310</v>
      </c>
      <c r="C807" s="1" t="n">
        <v>45352</v>
      </c>
      <c r="D807" t="inlineStr">
        <is>
          <t>DALARNAS LÄN</t>
        </is>
      </c>
      <c r="E807" t="inlineStr">
        <is>
          <t>SMEDJEBACKEN</t>
        </is>
      </c>
      <c r="G807" t="n">
        <v>0.6</v>
      </c>
      <c r="H807" t="n">
        <v>0</v>
      </c>
      <c r="I807" t="n">
        <v>0</v>
      </c>
      <c r="J807" t="n">
        <v>0</v>
      </c>
      <c r="K807" t="n">
        <v>0</v>
      </c>
      <c r="L807" t="n">
        <v>0</v>
      </c>
      <c r="M807" t="n">
        <v>0</v>
      </c>
      <c r="N807" t="n">
        <v>0</v>
      </c>
      <c r="O807" t="n">
        <v>0</v>
      </c>
      <c r="P807" t="n">
        <v>0</v>
      </c>
      <c r="Q807" t="n">
        <v>0</v>
      </c>
      <c r="R807" s="2" t="inlineStr"/>
    </row>
    <row r="808" ht="15" customHeight="1">
      <c r="A808" t="inlineStr">
        <is>
          <t>A 2300-2024</t>
        </is>
      </c>
      <c r="B808" s="1" t="n">
        <v>45310</v>
      </c>
      <c r="C808" s="1" t="n">
        <v>45352</v>
      </c>
      <c r="D808" t="inlineStr">
        <is>
          <t>DALARNAS LÄN</t>
        </is>
      </c>
      <c r="E808" t="inlineStr">
        <is>
          <t>SMEDJEBACKEN</t>
        </is>
      </c>
      <c r="F808" t="inlineStr">
        <is>
          <t>Övriga Aktiebolag</t>
        </is>
      </c>
      <c r="G808" t="n">
        <v>1.5</v>
      </c>
      <c r="H808" t="n">
        <v>0</v>
      </c>
      <c r="I808" t="n">
        <v>0</v>
      </c>
      <c r="J808" t="n">
        <v>0</v>
      </c>
      <c r="K808" t="n">
        <v>0</v>
      </c>
      <c r="L808" t="n">
        <v>0</v>
      </c>
      <c r="M808" t="n">
        <v>0</v>
      </c>
      <c r="N808" t="n">
        <v>0</v>
      </c>
      <c r="O808" t="n">
        <v>0</v>
      </c>
      <c r="P808" t="n">
        <v>0</v>
      </c>
      <c r="Q808" t="n">
        <v>0</v>
      </c>
      <c r="R808" s="2" t="inlineStr"/>
    </row>
    <row r="809" ht="15" customHeight="1">
      <c r="A809" t="inlineStr">
        <is>
          <t>A 3423-2024</t>
        </is>
      </c>
      <c r="B809" s="1" t="n">
        <v>45319</v>
      </c>
      <c r="C809" s="1" t="n">
        <v>45352</v>
      </c>
      <c r="D809" t="inlineStr">
        <is>
          <t>DALARNAS LÄN</t>
        </is>
      </c>
      <c r="E809" t="inlineStr">
        <is>
          <t>SMEDJEBACKEN</t>
        </is>
      </c>
      <c r="G809" t="n">
        <v>4.3</v>
      </c>
      <c r="H809" t="n">
        <v>0</v>
      </c>
      <c r="I809" t="n">
        <v>0</v>
      </c>
      <c r="J809" t="n">
        <v>0</v>
      </c>
      <c r="K809" t="n">
        <v>0</v>
      </c>
      <c r="L809" t="n">
        <v>0</v>
      </c>
      <c r="M809" t="n">
        <v>0</v>
      </c>
      <c r="N809" t="n">
        <v>0</v>
      </c>
      <c r="O809" t="n">
        <v>0</v>
      </c>
      <c r="P809" t="n">
        <v>0</v>
      </c>
      <c r="Q809" t="n">
        <v>0</v>
      </c>
      <c r="R809" s="2" t="inlineStr"/>
    </row>
    <row r="810" ht="15" customHeight="1">
      <c r="A810" t="inlineStr">
        <is>
          <t>A 3418-2024</t>
        </is>
      </c>
      <c r="B810" s="1" t="n">
        <v>45319</v>
      </c>
      <c r="C810" s="1" t="n">
        <v>45352</v>
      </c>
      <c r="D810" t="inlineStr">
        <is>
          <t>DALARNAS LÄN</t>
        </is>
      </c>
      <c r="E810" t="inlineStr">
        <is>
          <t>SMEDJEBACKEN</t>
        </is>
      </c>
      <c r="G810" t="n">
        <v>4.3</v>
      </c>
      <c r="H810" t="n">
        <v>0</v>
      </c>
      <c r="I810" t="n">
        <v>0</v>
      </c>
      <c r="J810" t="n">
        <v>0</v>
      </c>
      <c r="K810" t="n">
        <v>0</v>
      </c>
      <c r="L810" t="n">
        <v>0</v>
      </c>
      <c r="M810" t="n">
        <v>0</v>
      </c>
      <c r="N810" t="n">
        <v>0</v>
      </c>
      <c r="O810" t="n">
        <v>0</v>
      </c>
      <c r="P810" t="n">
        <v>0</v>
      </c>
      <c r="Q810" t="n">
        <v>0</v>
      </c>
      <c r="R810" s="2" t="inlineStr"/>
    </row>
    <row r="811" ht="15" customHeight="1">
      <c r="A811" t="inlineStr">
        <is>
          <t>A 4832-2024</t>
        </is>
      </c>
      <c r="B811" s="1" t="n">
        <v>45329</v>
      </c>
      <c r="C811" s="1" t="n">
        <v>45352</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5361-2024</t>
        </is>
      </c>
      <c r="B812" s="1" t="n">
        <v>45331</v>
      </c>
      <c r="C812" s="1" t="n">
        <v>45352</v>
      </c>
      <c r="D812" t="inlineStr">
        <is>
          <t>DALARNAS LÄN</t>
        </is>
      </c>
      <c r="E812" t="inlineStr">
        <is>
          <t>SMEDJEBACKEN</t>
        </is>
      </c>
      <c r="G812" t="n">
        <v>1</v>
      </c>
      <c r="H812" t="n">
        <v>0</v>
      </c>
      <c r="I812" t="n">
        <v>0</v>
      </c>
      <c r="J812" t="n">
        <v>0</v>
      </c>
      <c r="K812" t="n">
        <v>0</v>
      </c>
      <c r="L812" t="n">
        <v>0</v>
      </c>
      <c r="M812" t="n">
        <v>0</v>
      </c>
      <c r="N812" t="n">
        <v>0</v>
      </c>
      <c r="O812" t="n">
        <v>0</v>
      </c>
      <c r="P812" t="n">
        <v>0</v>
      </c>
      <c r="Q812" t="n">
        <v>0</v>
      </c>
      <c r="R812" s="2" t="inlineStr"/>
    </row>
    <row r="813" ht="15" customHeight="1">
      <c r="A813" t="inlineStr">
        <is>
          <t>A 5358-2024</t>
        </is>
      </c>
      <c r="B813" s="1" t="n">
        <v>45331</v>
      </c>
      <c r="C813" s="1" t="n">
        <v>45352</v>
      </c>
      <c r="D813" t="inlineStr">
        <is>
          <t>DALARNAS LÄN</t>
        </is>
      </c>
      <c r="E813" t="inlineStr">
        <is>
          <t>SMEDJEBACKEN</t>
        </is>
      </c>
      <c r="G813" t="n">
        <v>1.7</v>
      </c>
      <c r="H813" t="n">
        <v>0</v>
      </c>
      <c r="I813" t="n">
        <v>0</v>
      </c>
      <c r="J813" t="n">
        <v>0</v>
      </c>
      <c r="K813" t="n">
        <v>0</v>
      </c>
      <c r="L813" t="n">
        <v>0</v>
      </c>
      <c r="M813" t="n">
        <v>0</v>
      </c>
      <c r="N813" t="n">
        <v>0</v>
      </c>
      <c r="O813" t="n">
        <v>0</v>
      </c>
      <c r="P813" t="n">
        <v>0</v>
      </c>
      <c r="Q813" t="n">
        <v>0</v>
      </c>
      <c r="R813" s="2" t="inlineStr"/>
    </row>
    <row r="814" ht="15" customHeight="1">
      <c r="A814" t="inlineStr">
        <is>
          <t>A 6464-2024</t>
        </is>
      </c>
      <c r="B814" s="1" t="n">
        <v>45338</v>
      </c>
      <c r="C814" s="1" t="n">
        <v>45352</v>
      </c>
      <c r="D814" t="inlineStr">
        <is>
          <t>DALARNAS LÄN</t>
        </is>
      </c>
      <c r="E814" t="inlineStr">
        <is>
          <t>SMEDJEBACKEN</t>
        </is>
      </c>
      <c r="G814" t="n">
        <v>2.9</v>
      </c>
      <c r="H814" t="n">
        <v>0</v>
      </c>
      <c r="I814" t="n">
        <v>0</v>
      </c>
      <c r="J814" t="n">
        <v>0</v>
      </c>
      <c r="K814" t="n">
        <v>0</v>
      </c>
      <c r="L814" t="n">
        <v>0</v>
      </c>
      <c r="M814" t="n">
        <v>0</v>
      </c>
      <c r="N814" t="n">
        <v>0</v>
      </c>
      <c r="O814" t="n">
        <v>0</v>
      </c>
      <c r="P814" t="n">
        <v>0</v>
      </c>
      <c r="Q814" t="n">
        <v>0</v>
      </c>
      <c r="R814" s="2" t="inlineStr"/>
    </row>
    <row r="815" ht="15" customHeight="1">
      <c r="A815" t="inlineStr">
        <is>
          <t>A 6751-2024</t>
        </is>
      </c>
      <c r="B815" s="1" t="n">
        <v>45342</v>
      </c>
      <c r="C815" s="1" t="n">
        <v>45352</v>
      </c>
      <c r="D815" t="inlineStr">
        <is>
          <t>DALARNAS LÄN</t>
        </is>
      </c>
      <c r="E815" t="inlineStr">
        <is>
          <t>SMEDJEBACKEN</t>
        </is>
      </c>
      <c r="G815" t="n">
        <v>5.3</v>
      </c>
      <c r="H815" t="n">
        <v>0</v>
      </c>
      <c r="I815" t="n">
        <v>0</v>
      </c>
      <c r="J815" t="n">
        <v>0</v>
      </c>
      <c r="K815" t="n">
        <v>0</v>
      </c>
      <c r="L815" t="n">
        <v>0</v>
      </c>
      <c r="M815" t="n">
        <v>0</v>
      </c>
      <c r="N815" t="n">
        <v>0</v>
      </c>
      <c r="O815" t="n">
        <v>0</v>
      </c>
      <c r="P815" t="n">
        <v>0</v>
      </c>
      <c r="Q815" t="n">
        <v>0</v>
      </c>
      <c r="R815" s="2" t="inlineStr"/>
    </row>
    <row r="816" ht="15" customHeight="1">
      <c r="A816" t="inlineStr">
        <is>
          <t>A 6749-2024</t>
        </is>
      </c>
      <c r="B816" s="1" t="n">
        <v>45342</v>
      </c>
      <c r="C816" s="1" t="n">
        <v>45352</v>
      </c>
      <c r="D816" t="inlineStr">
        <is>
          <t>DALARNAS LÄN</t>
        </is>
      </c>
      <c r="E816" t="inlineStr">
        <is>
          <t>SMEDJEBACKEN</t>
        </is>
      </c>
      <c r="G816" t="n">
        <v>2.6</v>
      </c>
      <c r="H816" t="n">
        <v>0</v>
      </c>
      <c r="I816" t="n">
        <v>0</v>
      </c>
      <c r="J816" t="n">
        <v>0</v>
      </c>
      <c r="K816" t="n">
        <v>0</v>
      </c>
      <c r="L816" t="n">
        <v>0</v>
      </c>
      <c r="M816" t="n">
        <v>0</v>
      </c>
      <c r="N816" t="n">
        <v>0</v>
      </c>
      <c r="O816" t="n">
        <v>0</v>
      </c>
      <c r="P816" t="n">
        <v>0</v>
      </c>
      <c r="Q816" t="n">
        <v>0</v>
      </c>
      <c r="R816" s="2" t="inlineStr"/>
    </row>
    <row r="817">
      <c r="A817" t="inlineStr">
        <is>
          <t>A 8091-2024</t>
        </is>
      </c>
      <c r="B817" s="1" t="n">
        <v>45351</v>
      </c>
      <c r="C817" s="1" t="n">
        <v>45352</v>
      </c>
      <c r="D817" t="inlineStr">
        <is>
          <t>DALARNAS LÄN</t>
        </is>
      </c>
      <c r="E817" t="inlineStr">
        <is>
          <t>SMEDJEBACKEN</t>
        </is>
      </c>
      <c r="G817" t="n">
        <v>5.1</v>
      </c>
      <c r="H817" t="n">
        <v>0</v>
      </c>
      <c r="I817" t="n">
        <v>0</v>
      </c>
      <c r="J817" t="n">
        <v>0</v>
      </c>
      <c r="K817" t="n">
        <v>0</v>
      </c>
      <c r="L817" t="n">
        <v>0</v>
      </c>
      <c r="M817" t="n">
        <v>0</v>
      </c>
      <c r="N817" t="n">
        <v>0</v>
      </c>
      <c r="O817" t="n">
        <v>0</v>
      </c>
      <c r="P817" t="n">
        <v>0</v>
      </c>
      <c r="Q817" t="n">
        <v>0</v>
      </c>
      <c r="R81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2024-03-01T12:32:55Z</dcterms:created>
  <dcterms:modified xmlns:dcterms="http://purl.org/dc/terms/" xmlns:xsi="http://www.w3.org/2001/XMLSchema-instance" xsi:type="dcterms:W3CDTF">2024-03-01T12:32:56Z</dcterms:modified>
</cp:coreProperties>
</file>