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45626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45626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45626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45626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45626</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16612-2024</t>
        </is>
      </c>
      <c r="B8" s="1" t="n">
        <v>45408</v>
      </c>
      <c r="C8" s="1" t="n">
        <v>45626</v>
      </c>
      <c r="D8" t="inlineStr">
        <is>
          <t>DALARNAS LÄN</t>
        </is>
      </c>
      <c r="E8" t="inlineStr">
        <is>
          <t>SMEDJEBACKEN</t>
        </is>
      </c>
      <c r="G8" t="n">
        <v>11.2</v>
      </c>
      <c r="H8" t="n">
        <v>2</v>
      </c>
      <c r="I8" t="n">
        <v>3</v>
      </c>
      <c r="J8" t="n">
        <v>2</v>
      </c>
      <c r="K8" t="n">
        <v>1</v>
      </c>
      <c r="L8" t="n">
        <v>0</v>
      </c>
      <c r="M8" t="n">
        <v>0</v>
      </c>
      <c r="N8" t="n">
        <v>0</v>
      </c>
      <c r="O8" t="n">
        <v>3</v>
      </c>
      <c r="P8" t="n">
        <v>1</v>
      </c>
      <c r="Q8" t="n">
        <v>6</v>
      </c>
      <c r="R8" s="2" t="inlineStr">
        <is>
          <t>Knärot
Tretåig hackspett
Ullticka
Granbarkgnagare
Thomsons trägnagare
Vågbandad barkbock</t>
        </is>
      </c>
      <c r="S8">
        <f>HYPERLINK("https://klasma.github.io/Logging_2061/artfynd/A 16612-2024 artfynd.xlsx", "A 16612-2024")</f>
        <v/>
      </c>
      <c r="T8">
        <f>HYPERLINK("https://klasma.github.io/Logging_2061/kartor/A 16612-2024 karta.png", "A 16612-2024")</f>
        <v/>
      </c>
      <c r="U8">
        <f>HYPERLINK("https://klasma.github.io/Logging_2061/knärot/A 16612-2024 karta knärot.png", "A 16612-2024")</f>
        <v/>
      </c>
      <c r="V8">
        <f>HYPERLINK("https://klasma.github.io/Logging_2061/klagomål/A 16612-2024 FSC-klagomål.docx", "A 16612-2024")</f>
        <v/>
      </c>
      <c r="W8">
        <f>HYPERLINK("https://klasma.github.io/Logging_2061/klagomålsmail/A 16612-2024 FSC-klagomål mail.docx", "A 16612-2024")</f>
        <v/>
      </c>
      <c r="X8">
        <f>HYPERLINK("https://klasma.github.io/Logging_2061/tillsyn/A 16612-2024 tillsynsbegäran.docx", "A 16612-2024")</f>
        <v/>
      </c>
      <c r="Y8">
        <f>HYPERLINK("https://klasma.github.io/Logging_2061/tillsynsmail/A 16612-2024 tillsynsbegäran mail.docx", "A 16612-2024")</f>
        <v/>
      </c>
      <c r="Z8">
        <f>HYPERLINK("https://klasma.github.io/Logging_2061/fåglar/A 16612-2024 prioriterade fågelarter.docx", "A 16612-2024")</f>
        <v/>
      </c>
    </row>
    <row r="9" ht="15" customHeight="1">
      <c r="A9" t="inlineStr">
        <is>
          <t>A 23498-2024</t>
        </is>
      </c>
      <c r="B9" s="1" t="n">
        <v>45453</v>
      </c>
      <c r="C9" s="1" t="n">
        <v>45626</v>
      </c>
      <c r="D9" t="inlineStr">
        <is>
          <t>DALARNAS LÄN</t>
        </is>
      </c>
      <c r="E9" t="inlineStr">
        <is>
          <t>SMEDJEBACKEN</t>
        </is>
      </c>
      <c r="F9" t="inlineStr">
        <is>
          <t>Bergvik skog väst AB</t>
        </is>
      </c>
      <c r="G9" t="n">
        <v>3</v>
      </c>
      <c r="H9" t="n">
        <v>1</v>
      </c>
      <c r="I9" t="n">
        <v>3</v>
      </c>
      <c r="J9" t="n">
        <v>1</v>
      </c>
      <c r="K9" t="n">
        <v>1</v>
      </c>
      <c r="L9" t="n">
        <v>0</v>
      </c>
      <c r="M9" t="n">
        <v>0</v>
      </c>
      <c r="N9" t="n">
        <v>0</v>
      </c>
      <c r="O9" t="n">
        <v>2</v>
      </c>
      <c r="P9" t="n">
        <v>1</v>
      </c>
      <c r="Q9" t="n">
        <v>5</v>
      </c>
      <c r="R9" s="2" t="inlineStr">
        <is>
          <t>Knärot
Vedskivlav
Barkticka
Vedticka
Vågbandad barkbock</t>
        </is>
      </c>
      <c r="S9">
        <f>HYPERLINK("https://klasma.github.io/Logging_2061/artfynd/A 23498-2024 artfynd.xlsx", "A 23498-2024")</f>
        <v/>
      </c>
      <c r="T9">
        <f>HYPERLINK("https://klasma.github.io/Logging_2061/kartor/A 23498-2024 karta.png", "A 23498-2024")</f>
        <v/>
      </c>
      <c r="U9">
        <f>HYPERLINK("https://klasma.github.io/Logging_2061/knärot/A 23498-2024 karta knärot.png", "A 23498-2024")</f>
        <v/>
      </c>
      <c r="V9">
        <f>HYPERLINK("https://klasma.github.io/Logging_2061/klagomål/A 23498-2024 FSC-klagomål.docx", "A 23498-2024")</f>
        <v/>
      </c>
      <c r="W9">
        <f>HYPERLINK("https://klasma.github.io/Logging_2061/klagomålsmail/A 23498-2024 FSC-klagomål mail.docx", "A 23498-2024")</f>
        <v/>
      </c>
      <c r="X9">
        <f>HYPERLINK("https://klasma.github.io/Logging_2061/tillsyn/A 23498-2024 tillsynsbegäran.docx", "A 23498-2024")</f>
        <v/>
      </c>
      <c r="Y9">
        <f>HYPERLINK("https://klasma.github.io/Logging_2061/tillsynsmail/A 23498-2024 tillsynsbegäran mail.docx", "A 23498-2024")</f>
        <v/>
      </c>
    </row>
    <row r="10" ht="15" customHeight="1">
      <c r="A10" t="inlineStr">
        <is>
          <t>A 11591-2020</t>
        </is>
      </c>
      <c r="B10" s="1" t="n">
        <v>43893</v>
      </c>
      <c r="C10" s="1" t="n">
        <v>45626</v>
      </c>
      <c r="D10" t="inlineStr">
        <is>
          <t>DALARNAS LÄN</t>
        </is>
      </c>
      <c r="E10" t="inlineStr">
        <is>
          <t>SMEDJEBACKEN</t>
        </is>
      </c>
      <c r="F10" t="inlineStr">
        <is>
          <t>Bergvik skog väst AB</t>
        </is>
      </c>
      <c r="G10" t="n">
        <v>23.3</v>
      </c>
      <c r="H10" t="n">
        <v>3</v>
      </c>
      <c r="I10" t="n">
        <v>1</v>
      </c>
      <c r="J10" t="n">
        <v>0</v>
      </c>
      <c r="K10" t="n">
        <v>0</v>
      </c>
      <c r="L10" t="n">
        <v>0</v>
      </c>
      <c r="M10" t="n">
        <v>0</v>
      </c>
      <c r="N10" t="n">
        <v>0</v>
      </c>
      <c r="O10" t="n">
        <v>0</v>
      </c>
      <c r="P10" t="n">
        <v>0</v>
      </c>
      <c r="Q10" t="n">
        <v>4</v>
      </c>
      <c r="R10" s="2" t="inlineStr">
        <is>
          <t>Vedticka
Bredkantad dykare
Större vattensalamander
Mindre vattensalamander</t>
        </is>
      </c>
      <c r="S10">
        <f>HYPERLINK("https://klasma.github.io/Logging_2061/artfynd/A 11591-2020 artfynd.xlsx", "A 11591-2020")</f>
        <v/>
      </c>
      <c r="T10">
        <f>HYPERLINK("https://klasma.github.io/Logging_2061/kartor/A 11591-2020 karta.png", "A 11591-2020")</f>
        <v/>
      </c>
      <c r="V10">
        <f>HYPERLINK("https://klasma.github.io/Logging_2061/klagomål/A 11591-2020 FSC-klagomål.docx", "A 11591-2020")</f>
        <v/>
      </c>
      <c r="W10">
        <f>HYPERLINK("https://klasma.github.io/Logging_2061/klagomålsmail/A 11591-2020 FSC-klagomål mail.docx", "A 11591-2020")</f>
        <v/>
      </c>
      <c r="X10">
        <f>HYPERLINK("https://klasma.github.io/Logging_2061/tillsyn/A 11591-2020 tillsynsbegäran.docx", "A 11591-2020")</f>
        <v/>
      </c>
      <c r="Y10">
        <f>HYPERLINK("https://klasma.github.io/Logging_2061/tillsynsmail/A 11591-2020 tillsynsbegäran mail.docx", "A 11591-2020")</f>
        <v/>
      </c>
    </row>
    <row r="11" ht="15" customHeight="1">
      <c r="A11" t="inlineStr">
        <is>
          <t>A 22832-2020</t>
        </is>
      </c>
      <c r="B11" s="1" t="n">
        <v>43964</v>
      </c>
      <c r="C11" s="1" t="n">
        <v>45626</v>
      </c>
      <c r="D11" t="inlineStr">
        <is>
          <t>DALARNAS LÄN</t>
        </is>
      </c>
      <c r="E11" t="inlineStr">
        <is>
          <t>SMEDJEBACKEN</t>
        </is>
      </c>
      <c r="G11" t="n">
        <v>7.3</v>
      </c>
      <c r="H11" t="n">
        <v>1</v>
      </c>
      <c r="I11" t="n">
        <v>1</v>
      </c>
      <c r="J11" t="n">
        <v>2</v>
      </c>
      <c r="K11" t="n">
        <v>0</v>
      </c>
      <c r="L11" t="n">
        <v>0</v>
      </c>
      <c r="M11" t="n">
        <v>0</v>
      </c>
      <c r="N11" t="n">
        <v>0</v>
      </c>
      <c r="O11" t="n">
        <v>2</v>
      </c>
      <c r="P11" t="n">
        <v>0</v>
      </c>
      <c r="Q11" t="n">
        <v>4</v>
      </c>
      <c r="R11" s="2" t="inlineStr">
        <is>
          <t>Koralltaggsvamp
Motaggsvamp
Skinnlav
Blåsippa</t>
        </is>
      </c>
      <c r="S11">
        <f>HYPERLINK("https://klasma.github.io/Logging_2061/artfynd/A 22832-2020 artfynd.xlsx", "A 22832-2020")</f>
        <v/>
      </c>
      <c r="T11">
        <f>HYPERLINK("https://klasma.github.io/Logging_2061/kartor/A 22832-2020 karta.png", "A 22832-2020")</f>
        <v/>
      </c>
      <c r="V11">
        <f>HYPERLINK("https://klasma.github.io/Logging_2061/klagomål/A 22832-2020 FSC-klagomål.docx", "A 22832-2020")</f>
        <v/>
      </c>
      <c r="W11">
        <f>HYPERLINK("https://klasma.github.io/Logging_2061/klagomålsmail/A 22832-2020 FSC-klagomål mail.docx", "A 22832-2020")</f>
        <v/>
      </c>
      <c r="X11">
        <f>HYPERLINK("https://klasma.github.io/Logging_2061/tillsyn/A 22832-2020 tillsynsbegäran.docx", "A 22832-2020")</f>
        <v/>
      </c>
      <c r="Y11">
        <f>HYPERLINK("https://klasma.github.io/Logging_2061/tillsynsmail/A 22832-2020 tillsynsbegäran mail.docx", "A 22832-2020")</f>
        <v/>
      </c>
    </row>
    <row r="12" ht="15" customHeight="1">
      <c r="A12" t="inlineStr">
        <is>
          <t>A 33216-2023</t>
        </is>
      </c>
      <c r="B12" s="1" t="n">
        <v>45127</v>
      </c>
      <c r="C12" s="1" t="n">
        <v>45626</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45626</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45626</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45626</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45626</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45626</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45626</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45626</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45626</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45626</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45626</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45626</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45626</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45626</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45626</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45626</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45626</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45626</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45626</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45626</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45626</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45626</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45626</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45626</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45626</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45626</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45626</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45626</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45626</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45626</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45626</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45626</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45626</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45626</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45626</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45626</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45626</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45626</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45626</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45626</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45626</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45626</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45626</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45626</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45626</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45626</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45626</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45626</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45626</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45626</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45626</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45626</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45626</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45626</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45626</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45626</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45626</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45626</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45626</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45626</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45626</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45626</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45626</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45626</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45626</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45626</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45626</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45626</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45626</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45626</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45626</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45626</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45626</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45626</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45626</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45626</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45626</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45626</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45626</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45626</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45626</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45626</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45626</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45626</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45626</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45626</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45626</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45626</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45626</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45626</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45626</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45626</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45626</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45626</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45626</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45626</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45626</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45626</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45626</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45626</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45626</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45626</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45626</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45626</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45626</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45626</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45626</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45626</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45626</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45626</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45626</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45626</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45626</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45626</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45626</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45626</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45626</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45626</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45626</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45626</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45626</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45626</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45626</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45626</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45626</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45626</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45626</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45626</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45626</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45626</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45626</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45626</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45626</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45626</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45626</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45626</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45626</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45626</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45626</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45626</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45626</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45626</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45626</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45626</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45626</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45626</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45626</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45626</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45626</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45626</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45626</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45626</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45626</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45626</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45626</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45626</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45626</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45626</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45626</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45626</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45626</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45626</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45626</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45626</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45626</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45626</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45626</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45626</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45626</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45626</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45626</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45626</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45626</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45626</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45626</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45626</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45626</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45626</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45626</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45626</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45626</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45626</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45626</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45626</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45626</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45626</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45626</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45626</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45626</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45626</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45626</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45626</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45626</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45626</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45626</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45626</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45626</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45626</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45626</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45626</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45626</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45626</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45626</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45626</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45626</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45626</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45626</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45626</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45626</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45626</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45626</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45626</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45626</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45626</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45626</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45626</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45626</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45626</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45626</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45626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45626</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45626</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45626</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45626</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45626</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45626</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45626</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45626</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45626</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45626</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45626</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45626</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45626</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45626</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45626</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45626</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45626</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45626</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45626</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45626</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45626</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45626</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45626</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45626</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45626</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45626</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45626</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45626</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45626</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45626</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45626</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45626</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45626</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45626</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45626</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45626</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45626</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45626</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45626</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45626</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45626</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45626</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45626</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45626</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45626</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45626</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45626</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45626</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45626</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45626</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45626</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45626</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45626</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45626</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45626</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45626</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45626</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45626</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45626</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45626</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45626</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45626</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45626</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45626</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45626</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45626</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45626</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45626</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45626</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45626</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45626</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45626</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45626</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45626</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45626</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45626</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45626</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45626</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45626</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45626</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45626</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45626</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45626</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45626</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45626</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45626</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45626</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45626</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45626</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45626</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45626</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45626</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45626</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45626</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45626</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45626</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45626</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45626</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45626</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45626</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45626</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45626</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45626</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45626</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45626</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45626</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45626</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45626</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45626</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45626</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45626</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45626</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45626</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45626</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45626</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45626</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45626</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45626</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45626</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45626</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45626</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45626</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45626</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45626</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45626</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45626</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45626</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45626</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45626</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45626</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45626</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45626</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45626</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45626</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45626</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45626</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45626</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45626</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45626</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45626</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45626</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45626</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45626</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45626</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45626</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45626</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45626</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45626</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45626</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45626</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45626</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45626</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45626</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45626</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45626</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45626</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45626</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45626</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45626</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45626</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45626</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45626</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45626</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45626</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45626</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45626</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45626</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45626</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45626</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45626</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45626</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45626</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45626</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45626</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45626</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45626</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45626</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45626</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45626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45626</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45626</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45626</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45626</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45626</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45626</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45626</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45626</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45626</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45626</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45626</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45626</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45626</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45626</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45626</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45626</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45626</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45626</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45626</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45626</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45626</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45626</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45626</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45626</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45626</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45626</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45626</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45626</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45626</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45626</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45626</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45626</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45626</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45626</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45626</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45626</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45626</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45626</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45626</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45626</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45626</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45626</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45626</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45626</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45626</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45626</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45626</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45626</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45626</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45626</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45626</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45626</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45626</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45626</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45626</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45626</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45626</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45626</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45626</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45626</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45626</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45626</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45626</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45626</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45626</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45626</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45626</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45626</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45626</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45626</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45626</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45626</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45626</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45626</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45626</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45626</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45626</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45626</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45626</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45626</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45626</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45626</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45626</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45626</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45626</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45626</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45626</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45626</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45626</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45626</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45626</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45626</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45626</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45626</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45626</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45626</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45626</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45626</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45626</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45626</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45626</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45626</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45626</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45626</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45626</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45626</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45626</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45626</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45626</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45626</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45626</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45626</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45626</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45626</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45626</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45626</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45626</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45626</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45626</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45626</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45626</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45626</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45626</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45626</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45626</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45626</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45626</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45626</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45626</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45626</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45626</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45626</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45626</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45626</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45626</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45626</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45626</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45626</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45626</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45626</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45626</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45626</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45626</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45626</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45626</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45626</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45626</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45626</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45626</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45626</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45626</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45626</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45626</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45626</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45626</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45626</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45626</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45626</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45626</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45626</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45626</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45626</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45626</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45626</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45626</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45626</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45626</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45626</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45626</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45626</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45626</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45626</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45626</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45626</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45626</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45626</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45626</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45626</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45626</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45626</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45626</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45626</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45626</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45626</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45626</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45626</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45626</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45626</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45626</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45626</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45626</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45626</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45626</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45626</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45626</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45626</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45626</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45626</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45626</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45626</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45626</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45626</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45626</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45626</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45626</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45626</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45626</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45626</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45626</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45626</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45626</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45626</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45626</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45626</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45626</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45626</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45626</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45626</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45626</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45626</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45626</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45626</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45626</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45626</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45626</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45626</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45626</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45626</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45626</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45626</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45626</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45626</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45626</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45626</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45626</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45626</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45626</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45626</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45626</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45626</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45626</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45626</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45626</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45626</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45626</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45626</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45626</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45626</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45626</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45626</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45626</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45626</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45626</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45626</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45626</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45626</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45626</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45626</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45626</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45626</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45626</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45626</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45626</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45626</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45626</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45626</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45626</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45626</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45626</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45626</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45626</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45626</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45626</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45626</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45626</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45626</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45626</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45626</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45626</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45626</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45626</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45626</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45626</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45626</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45626</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45626</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45626</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45626</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45626</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45626</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45626</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45626</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45626</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45626</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45626</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45626</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45626</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45626</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45626</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45626</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45626</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45626</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45626</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45626</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45626</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45626</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45626</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45626</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45626</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45626</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45626</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45626</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45626</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45626</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45626</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45626</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45626</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45626</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45626</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45626</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45626</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45626</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45626</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45626</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45626</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45626</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45626</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45626</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45626</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45626</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45626</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45626</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45626</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45626</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45626</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45626</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45626</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45626</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45626</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45626</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45626</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45626</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45626</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45626</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45626</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45626</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45626</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45626</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45626</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45626</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45626</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45626</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45626</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45626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45626</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45626</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45626</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45626</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45626</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45626</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45626</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45626</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45626</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45626</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45626</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45626</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45626</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45626</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45626</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45626</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45626</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45626</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45626</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45626</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45626</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45626</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45626</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45626</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45626</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45626</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45626</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45626</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45626</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45626</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45626</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45626</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45626</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45626</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45626</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45626</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45626</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45626</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45626</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45626</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45626</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45626</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45626</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45626</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45626</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45626</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45626</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45626</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45626</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45626</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45626</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45626</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45626</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45626</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45626</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45626</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45626</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45626</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45626</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45626</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45626</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45626</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45626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45626</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45626</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45626</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45626</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45626</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45626</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45626</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45626</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45626</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45626</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45626</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45626</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45626</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45626</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45626</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45626</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45626</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45626</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45626</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45626</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45626</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45626</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45626</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45626</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45626</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45626</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45626</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45626</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45626</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45626</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45626</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45626</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45626</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45626</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45626</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45626</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45626</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45626</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45626</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45626</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45626</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45626</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45626</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45626</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45626</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45626</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45626</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45626</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45626</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45626</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45626</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45626</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45626</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45626</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45626</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45626</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45626</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45626</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45626</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45626</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45626</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45626</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45626</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45626</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45626</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45626</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45626</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45626</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45626</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45626</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45626</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45626</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45626</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45626</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45626</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45626</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45626</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45626</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45626</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45626</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45626</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45626</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45626</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45626</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45626</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45626</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45626</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45626</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45626</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45626</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45626</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45626</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45626</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45626</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45626</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45626</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45626</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45626</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45626</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45626</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45626</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45626</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45626</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45626</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45626</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45626</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45626</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45626</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45626</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45626</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45626</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45626</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45626</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45626</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45626</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45626</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45626</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45626</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45626</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45626</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45626</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45626</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45626</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45626</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45626</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45626</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45626</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45626</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45626</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45626</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45626</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45626</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45626</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45626</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45626</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45626</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45626</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45626</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45626</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45626</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45626</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45626</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45626</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45626</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45626</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45626</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45626</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45626</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45626</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45626</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45626</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45626</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45626</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45626</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45626</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45626</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45626</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45626</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45626</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45626</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45626</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45626</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45626</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45626</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45626</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45626</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45626</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45626</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45626</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45626</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45626</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45626</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45626</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45626</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45626</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45626</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45626</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45626</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45626</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45626</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45626</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45626</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45626</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45626</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45626</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45626</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45626</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45626</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45626</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45626</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45626</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45626</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45626</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45626</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45626</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45626</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45626</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45626</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45626</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45626</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45626</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45626</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45626</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45626</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45626</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45626</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45626</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45626</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45626</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45626</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45626</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45626</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45626</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45626</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45626</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45626</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45626</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45626</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45626</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45626</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45626</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45626</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45626</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45626</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45626</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45626</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45626</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45626</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45626</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45626</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49570-2024</t>
        </is>
      </c>
      <c r="B1058" s="1" t="n">
        <v>45596</v>
      </c>
      <c r="C1058" s="1" t="n">
        <v>45626</v>
      </c>
      <c r="D1058" t="inlineStr">
        <is>
          <t>DALARNAS LÄN</t>
        </is>
      </c>
      <c r="E1058" t="inlineStr">
        <is>
          <t>SMEDJEBACKEN</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49569-2024</t>
        </is>
      </c>
      <c r="B1059" s="1" t="n">
        <v>45596</v>
      </c>
      <c r="C1059" s="1" t="n">
        <v>45626</v>
      </c>
      <c r="D1059" t="inlineStr">
        <is>
          <t>DALARNAS LÄN</t>
        </is>
      </c>
      <c r="E1059" t="inlineStr">
        <is>
          <t>SMEDJEBACKEN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49535-2024</t>
        </is>
      </c>
      <c r="B1060" s="1" t="n">
        <v>45596</v>
      </c>
      <c r="C1060" s="1" t="n">
        <v>45626</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50513-2024</t>
        </is>
      </c>
      <c r="B1061" s="1" t="n">
        <v>45600</v>
      </c>
      <c r="C1061" s="1" t="n">
        <v>45626</v>
      </c>
      <c r="D1061" t="inlineStr">
        <is>
          <t>DALARNAS LÄN</t>
        </is>
      </c>
      <c r="E1061" t="inlineStr">
        <is>
          <t>SMEDJEBACKEN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50524-2024</t>
        </is>
      </c>
      <c r="B1062" s="1" t="n">
        <v>45600</v>
      </c>
      <c r="C1062" s="1" t="n">
        <v>45626</v>
      </c>
      <c r="D1062" t="inlineStr">
        <is>
          <t>DALARNAS LÄN</t>
        </is>
      </c>
      <c r="E1062" t="inlineStr">
        <is>
          <t>SMEDJEBACKEN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50567-2024</t>
        </is>
      </c>
      <c r="B1063" s="1" t="n">
        <v>45600</v>
      </c>
      <c r="C1063" s="1" t="n">
        <v>45626</v>
      </c>
      <c r="D1063" t="inlineStr">
        <is>
          <t>DALARNAS LÄN</t>
        </is>
      </c>
      <c r="E1063" t="inlineStr">
        <is>
          <t>SMEDJEBACKEN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45626</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45626</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51115-2024</t>
        </is>
      </c>
      <c r="B1066" s="1" t="n">
        <v>45603</v>
      </c>
      <c r="C1066" s="1" t="n">
        <v>45626</v>
      </c>
      <c r="D1066" t="inlineStr">
        <is>
          <t>DALARNAS LÄN</t>
        </is>
      </c>
      <c r="E1066" t="inlineStr">
        <is>
          <t>SMEDJEBACKEN</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51117-2024</t>
        </is>
      </c>
      <c r="B1067" s="1" t="n">
        <v>45603</v>
      </c>
      <c r="C1067" s="1" t="n">
        <v>45626</v>
      </c>
      <c r="D1067" t="inlineStr">
        <is>
          <t>DALARNAS LÄN</t>
        </is>
      </c>
      <c r="E1067" t="inlineStr">
        <is>
          <t>SMEDJEBACKEN</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51656-2024</t>
        </is>
      </c>
      <c r="B1068" s="1" t="n">
        <v>45606</v>
      </c>
      <c r="C1068" s="1" t="n">
        <v>45626</v>
      </c>
      <c r="D1068" t="inlineStr">
        <is>
          <t>DALARNAS LÄN</t>
        </is>
      </c>
      <c r="E1068" t="inlineStr">
        <is>
          <t>SMEDJEBACKEN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51655-2024</t>
        </is>
      </c>
      <c r="B1069" s="1" t="n">
        <v>45606</v>
      </c>
      <c r="C1069" s="1" t="n">
        <v>45626</v>
      </c>
      <c r="D1069" t="inlineStr">
        <is>
          <t>DALARNAS LÄN</t>
        </is>
      </c>
      <c r="E1069" t="inlineStr">
        <is>
          <t>SMEDJEBACKEN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45626</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51658-2024</t>
        </is>
      </c>
      <c r="B1071" s="1" t="n">
        <v>45606</v>
      </c>
      <c r="C1071" s="1" t="n">
        <v>45626</v>
      </c>
      <c r="D1071" t="inlineStr">
        <is>
          <t>DALARNAS LÄN</t>
        </is>
      </c>
      <c r="E1071" t="inlineStr">
        <is>
          <t>SMEDJEBACKEN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51771-2024</t>
        </is>
      </c>
      <c r="B1072" s="1" t="n">
        <v>45607</v>
      </c>
      <c r="C1072" s="1" t="n">
        <v>45626</v>
      </c>
      <c r="D1072" t="inlineStr">
        <is>
          <t>DALARNAS LÄN</t>
        </is>
      </c>
      <c r="E1072" t="inlineStr">
        <is>
          <t>SMEDJEBACKEN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45626</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52762-2024</t>
        </is>
      </c>
      <c r="B1074" s="1" t="n">
        <v>45610</v>
      </c>
      <c r="C1074" s="1" t="n">
        <v>45626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45626</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45626</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45626</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45626</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56327-2024</t>
        </is>
      </c>
      <c r="B1079" s="1" t="n">
        <v>45624</v>
      </c>
      <c r="C1079" s="1" t="n">
        <v>45626</v>
      </c>
      <c r="D1079" t="inlineStr">
        <is>
          <t>DALARNAS LÄN</t>
        </is>
      </c>
      <c r="E1079" t="inlineStr">
        <is>
          <t>SMEDJEBACKEN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56305-2024</t>
        </is>
      </c>
      <c r="B1080" s="1" t="n">
        <v>45624</v>
      </c>
      <c r="C1080" s="1" t="n">
        <v>45626</v>
      </c>
      <c r="D1080" t="inlineStr">
        <is>
          <t>DALARNAS LÄN</t>
        </is>
      </c>
      <c r="E1080" t="inlineStr">
        <is>
          <t>SMEDJEBACKEN</t>
        </is>
      </c>
      <c r="G1080" t="n">
        <v>14.1</v>
      </c>
      <c r="H1080" t="n">
        <v>0</v>
      </c>
      <c r="I1080" t="n">
        <v>0</v>
      </c>
      <c r="J1080" t="n">
        <v>0</v>
      </c>
      <c r="K1080" t="n">
        <v>0</v>
      </c>
      <c r="L1080" t="n">
        <v>0</v>
      </c>
      <c r="M1080" t="n">
        <v>0</v>
      </c>
      <c r="N1080" t="n">
        <v>0</v>
      </c>
      <c r="O1080" t="n">
        <v>0</v>
      </c>
      <c r="P1080" t="n">
        <v>0</v>
      </c>
      <c r="Q1080" t="n">
        <v>0</v>
      </c>
      <c r="R1080" s="2" t="inlineStr"/>
    </row>
    <row r="1081" ht="15" customHeight="1">
      <c r="A1081" t="inlineStr">
        <is>
          <t>A 56328-2024</t>
        </is>
      </c>
      <c r="B1081" s="1" t="n">
        <v>45624</v>
      </c>
      <c r="C1081" s="1" t="n">
        <v>45626</v>
      </c>
      <c r="D1081" t="inlineStr">
        <is>
          <t>DALARNAS LÄN</t>
        </is>
      </c>
      <c r="E1081" t="inlineStr">
        <is>
          <t>SMEDJEBACKEN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56422-2024</t>
        </is>
      </c>
      <c r="B1082" s="1" t="n">
        <v>45625</v>
      </c>
      <c r="C1082" s="1" t="n">
        <v>45626</v>
      </c>
      <c r="D1082" t="inlineStr">
        <is>
          <t>DALARNAS LÄN</t>
        </is>
      </c>
      <c r="E1082" t="inlineStr">
        <is>
          <t>SMEDJEBACKEN</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56393-2024</t>
        </is>
      </c>
      <c r="B1083" s="1" t="n">
        <v>45625</v>
      </c>
      <c r="C1083" s="1" t="n">
        <v>45626</v>
      </c>
      <c r="D1083" t="inlineStr">
        <is>
          <t>DALARNAS LÄN</t>
        </is>
      </c>
      <c r="E1083" t="inlineStr">
        <is>
          <t>SMEDJEBACKEN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c r="A1084" t="inlineStr">
        <is>
          <t>A 56510-2024</t>
        </is>
      </c>
      <c r="B1084" s="1" t="n">
        <v>45625</v>
      </c>
      <c r="C1084" s="1" t="n">
        <v>45626</v>
      </c>
      <c r="D1084" t="inlineStr">
        <is>
          <t>DALARNAS LÄN</t>
        </is>
      </c>
      <c r="E1084" t="inlineStr">
        <is>
          <t>SMEDJEBACKEN</t>
        </is>
      </c>
      <c r="F1084" t="inlineStr">
        <is>
          <t>Sveaskog</t>
        </is>
      </c>
      <c r="G1084" t="n">
        <v>2.4</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2024-11-30T18:44:51Z</dcterms:created>
  <dcterms:modified xmlns:dcterms="http://purl.org/dc/terms/" xmlns:xsi="http://www.w3.org/2001/XMLSchema-instance" xsi:type="dcterms:W3CDTF">2024-11-30T18:44:52Z</dcterms:modified>
</cp:coreProperties>
</file>