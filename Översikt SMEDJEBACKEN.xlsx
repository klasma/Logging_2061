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45851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45851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45851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45851</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45851</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45851</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45851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45851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45851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45851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45851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45851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45851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45851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45851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45851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45851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45851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45851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45851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45851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45851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45851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45851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45851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45851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45851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45851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45851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45851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45851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45851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45851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45851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45851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45851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45851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45851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45851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45851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45851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45851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45851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45851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45851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45851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55267-2022</t>
        </is>
      </c>
      <c r="B49" s="1" t="n">
        <v>44887</v>
      </c>
      <c r="C49" s="1" t="n">
        <v>45851</v>
      </c>
      <c r="D49" t="inlineStr">
        <is>
          <t>DALARNAS LÄN</t>
        </is>
      </c>
      <c r="E49" t="inlineStr">
        <is>
          <t>SMEDJEBACKEN</t>
        </is>
      </c>
      <c r="G49" t="n">
        <v>3.7</v>
      </c>
      <c r="H49" t="n">
        <v>1</v>
      </c>
      <c r="I49" t="n">
        <v>0</v>
      </c>
      <c r="J49" t="n">
        <v>1</v>
      </c>
      <c r="K49" t="n">
        <v>0</v>
      </c>
      <c r="L49" t="n">
        <v>0</v>
      </c>
      <c r="M49" t="n">
        <v>0</v>
      </c>
      <c r="N49" t="n">
        <v>0</v>
      </c>
      <c r="O49" t="n">
        <v>1</v>
      </c>
      <c r="P49" t="n">
        <v>0</v>
      </c>
      <c r="Q49" t="n">
        <v>1</v>
      </c>
      <c r="R49" s="2" t="inlineStr">
        <is>
          <t>Drillsnäppa</t>
        </is>
      </c>
      <c r="S49">
        <f>HYPERLINK("https://klasma.github.io/Logging_2061/artfynd/A 55267-2022 artfynd.xlsx", "A 55267-2022")</f>
        <v/>
      </c>
      <c r="T49">
        <f>HYPERLINK("https://klasma.github.io/Logging_2061/kartor/A 55267-2022 karta.png", "A 55267-2022")</f>
        <v/>
      </c>
      <c r="V49">
        <f>HYPERLINK("https://klasma.github.io/Logging_2061/klagomål/A 55267-2022 FSC-klagomål.docx", "A 55267-2022")</f>
        <v/>
      </c>
      <c r="W49">
        <f>HYPERLINK("https://klasma.github.io/Logging_2061/klagomålsmail/A 55267-2022 FSC-klagomål mail.docx", "A 55267-2022")</f>
        <v/>
      </c>
      <c r="X49">
        <f>HYPERLINK("https://klasma.github.io/Logging_2061/tillsyn/A 55267-2022 tillsynsbegäran.docx", "A 55267-2022")</f>
        <v/>
      </c>
      <c r="Y49">
        <f>HYPERLINK("https://klasma.github.io/Logging_2061/tillsynsmail/A 55267-2022 tillsynsbegäran mail.docx", "A 55267-2022")</f>
        <v/>
      </c>
    </row>
    <row r="50" ht="15" customHeight="1">
      <c r="A50" t="inlineStr">
        <is>
          <t>A 13269-2023</t>
        </is>
      </c>
      <c r="B50" s="1" t="n">
        <v>45003</v>
      </c>
      <c r="C50" s="1" t="n">
        <v>45851</v>
      </c>
      <c r="D50" t="inlineStr">
        <is>
          <t>DALARNAS LÄN</t>
        </is>
      </c>
      <c r="E50" t="inlineStr">
        <is>
          <t>SMEDJEBACKEN</t>
        </is>
      </c>
      <c r="G50" t="n">
        <v>4.4</v>
      </c>
      <c r="H50" t="n">
        <v>1</v>
      </c>
      <c r="I50" t="n">
        <v>0</v>
      </c>
      <c r="J50" t="n">
        <v>0</v>
      </c>
      <c r="K50" t="n">
        <v>1</v>
      </c>
      <c r="L50" t="n">
        <v>0</v>
      </c>
      <c r="M50" t="n">
        <v>0</v>
      </c>
      <c r="N50" t="n">
        <v>0</v>
      </c>
      <c r="O50" t="n">
        <v>1</v>
      </c>
      <c r="P50" t="n">
        <v>1</v>
      </c>
      <c r="Q50" t="n">
        <v>1</v>
      </c>
      <c r="R50" s="2" t="inlineStr">
        <is>
          <t>Lappuggla</t>
        </is>
      </c>
      <c r="S50">
        <f>HYPERLINK("https://klasma.github.io/Logging_2061/artfynd/A 13269-2023 artfynd.xlsx", "A 13269-2023")</f>
        <v/>
      </c>
      <c r="T50">
        <f>HYPERLINK("https://klasma.github.io/Logging_2061/kartor/A 13269-2023 karta.png", "A 13269-2023")</f>
        <v/>
      </c>
      <c r="V50">
        <f>HYPERLINK("https://klasma.github.io/Logging_2061/klagomål/A 13269-2023 FSC-klagomål.docx", "A 13269-2023")</f>
        <v/>
      </c>
      <c r="W50">
        <f>HYPERLINK("https://klasma.github.io/Logging_2061/klagomålsmail/A 13269-2023 FSC-klagomål mail.docx", "A 13269-2023")</f>
        <v/>
      </c>
      <c r="X50">
        <f>HYPERLINK("https://klasma.github.io/Logging_2061/tillsyn/A 13269-2023 tillsynsbegäran.docx", "A 13269-2023")</f>
        <v/>
      </c>
      <c r="Y50">
        <f>HYPERLINK("https://klasma.github.io/Logging_2061/tillsynsmail/A 13269-2023 tillsynsbegäran mail.docx", "A 13269-2023")</f>
        <v/>
      </c>
      <c r="Z50">
        <f>HYPERLINK("https://klasma.github.io/Logging_2061/fåglar/A 13269-2023 prioriterade fågelarter.docx", "A 13269-2023")</f>
        <v/>
      </c>
    </row>
    <row r="51" ht="15" customHeight="1">
      <c r="A51" t="inlineStr">
        <is>
          <t>A 15124-2023</t>
        </is>
      </c>
      <c r="B51" s="1" t="n">
        <v>45015</v>
      </c>
      <c r="C51" s="1" t="n">
        <v>45851</v>
      </c>
      <c r="D51" t="inlineStr">
        <is>
          <t>DALARNAS LÄN</t>
        </is>
      </c>
      <c r="E51" t="inlineStr">
        <is>
          <t>SMEDJEBACKEN</t>
        </is>
      </c>
      <c r="F51" t="inlineStr">
        <is>
          <t>Bergvik skog väst AB</t>
        </is>
      </c>
      <c r="G51" t="n">
        <v>6.2</v>
      </c>
      <c r="H51" t="n">
        <v>0</v>
      </c>
      <c r="I51" t="n">
        <v>0</v>
      </c>
      <c r="J51" t="n">
        <v>1</v>
      </c>
      <c r="K51" t="n">
        <v>0</v>
      </c>
      <c r="L51" t="n">
        <v>0</v>
      </c>
      <c r="M51" t="n">
        <v>0</v>
      </c>
      <c r="N51" t="n">
        <v>0</v>
      </c>
      <c r="O51" t="n">
        <v>1</v>
      </c>
      <c r="P51" t="n">
        <v>0</v>
      </c>
      <c r="Q51" t="n">
        <v>1</v>
      </c>
      <c r="R51" s="2" t="inlineStr">
        <is>
          <t>Skogsklocka</t>
        </is>
      </c>
      <c r="S51">
        <f>HYPERLINK("https://klasma.github.io/Logging_2061/artfynd/A 15124-2023 artfynd.xlsx", "A 15124-2023")</f>
        <v/>
      </c>
      <c r="T51">
        <f>HYPERLINK("https://klasma.github.io/Logging_2061/kartor/A 15124-2023 karta.png", "A 15124-2023")</f>
        <v/>
      </c>
      <c r="V51">
        <f>HYPERLINK("https://klasma.github.io/Logging_2061/klagomål/A 15124-2023 FSC-klagomål.docx", "A 15124-2023")</f>
        <v/>
      </c>
      <c r="W51">
        <f>HYPERLINK("https://klasma.github.io/Logging_2061/klagomålsmail/A 15124-2023 FSC-klagomål mail.docx", "A 15124-2023")</f>
        <v/>
      </c>
      <c r="X51">
        <f>HYPERLINK("https://klasma.github.io/Logging_2061/tillsyn/A 15124-2023 tillsynsbegäran.docx", "A 15124-2023")</f>
        <v/>
      </c>
      <c r="Y51">
        <f>HYPERLINK("https://klasma.github.io/Logging_2061/tillsynsmail/A 15124-2023 tillsynsbegäran mail.docx", "A 15124-2023")</f>
        <v/>
      </c>
    </row>
    <row r="52" ht="15" customHeight="1">
      <c r="A52" t="inlineStr">
        <is>
          <t>A 21421-2023</t>
        </is>
      </c>
      <c r="B52" s="1" t="n">
        <v>45063</v>
      </c>
      <c r="C52" s="1" t="n">
        <v>45851</v>
      </c>
      <c r="D52" t="inlineStr">
        <is>
          <t>DALARNAS LÄN</t>
        </is>
      </c>
      <c r="E52" t="inlineStr">
        <is>
          <t>SMEDJEBACKEN</t>
        </is>
      </c>
      <c r="F52" t="inlineStr">
        <is>
          <t>Bergvik skog väst AB</t>
        </is>
      </c>
      <c r="G52" t="n">
        <v>0.5</v>
      </c>
      <c r="H52" t="n">
        <v>0</v>
      </c>
      <c r="I52" t="n">
        <v>0</v>
      </c>
      <c r="J52" t="n">
        <v>1</v>
      </c>
      <c r="K52" t="n">
        <v>0</v>
      </c>
      <c r="L52" t="n">
        <v>0</v>
      </c>
      <c r="M52" t="n">
        <v>0</v>
      </c>
      <c r="N52" t="n">
        <v>0</v>
      </c>
      <c r="O52" t="n">
        <v>1</v>
      </c>
      <c r="P52" t="n">
        <v>0</v>
      </c>
      <c r="Q52" t="n">
        <v>1</v>
      </c>
      <c r="R52" s="2" t="inlineStr">
        <is>
          <t>Barrpraktbagge</t>
        </is>
      </c>
      <c r="S52">
        <f>HYPERLINK("https://klasma.github.io/Logging_2061/artfynd/A 21421-2023 artfynd.xlsx", "A 21421-2023")</f>
        <v/>
      </c>
      <c r="T52">
        <f>HYPERLINK("https://klasma.github.io/Logging_2061/kartor/A 21421-2023 karta.png", "A 21421-2023")</f>
        <v/>
      </c>
      <c r="V52">
        <f>HYPERLINK("https://klasma.github.io/Logging_2061/klagomål/A 21421-2023 FSC-klagomål.docx", "A 21421-2023")</f>
        <v/>
      </c>
      <c r="W52">
        <f>HYPERLINK("https://klasma.github.io/Logging_2061/klagomålsmail/A 21421-2023 FSC-klagomål mail.docx", "A 21421-2023")</f>
        <v/>
      </c>
      <c r="X52">
        <f>HYPERLINK("https://klasma.github.io/Logging_2061/tillsyn/A 21421-2023 tillsynsbegäran.docx", "A 21421-2023")</f>
        <v/>
      </c>
      <c r="Y52">
        <f>HYPERLINK("https://klasma.github.io/Logging_2061/tillsynsmail/A 21421-2023 tillsynsbegäran mail.docx", "A 21421-2023")</f>
        <v/>
      </c>
    </row>
    <row r="53" ht="15" customHeight="1">
      <c r="A53" t="inlineStr">
        <is>
          <t>A 46775-2023</t>
        </is>
      </c>
      <c r="B53" s="1" t="n">
        <v>45198</v>
      </c>
      <c r="C53" s="1" t="n">
        <v>45851</v>
      </c>
      <c r="D53" t="inlineStr">
        <is>
          <t>DALARNAS LÄN</t>
        </is>
      </c>
      <c r="E53" t="inlineStr">
        <is>
          <t>SMEDJEBACKEN</t>
        </is>
      </c>
      <c r="F53" t="inlineStr">
        <is>
          <t>Bergvik skog väst AB</t>
        </is>
      </c>
      <c r="G53" t="n">
        <v>1</v>
      </c>
      <c r="H53" t="n">
        <v>0</v>
      </c>
      <c r="I53" t="n">
        <v>1</v>
      </c>
      <c r="J53" t="n">
        <v>0</v>
      </c>
      <c r="K53" t="n">
        <v>0</v>
      </c>
      <c r="L53" t="n">
        <v>0</v>
      </c>
      <c r="M53" t="n">
        <v>0</v>
      </c>
      <c r="N53" t="n">
        <v>0</v>
      </c>
      <c r="O53" t="n">
        <v>0</v>
      </c>
      <c r="P53" t="n">
        <v>0</v>
      </c>
      <c r="Q53" t="n">
        <v>1</v>
      </c>
      <c r="R53" s="2" t="inlineStr">
        <is>
          <t>Tibast</t>
        </is>
      </c>
      <c r="S53">
        <f>HYPERLINK("https://klasma.github.io/Logging_2061/artfynd/A 46775-2023 artfynd.xlsx", "A 46775-2023")</f>
        <v/>
      </c>
      <c r="T53">
        <f>HYPERLINK("https://klasma.github.io/Logging_2061/kartor/A 46775-2023 karta.png", "A 46775-2023")</f>
        <v/>
      </c>
      <c r="V53">
        <f>HYPERLINK("https://klasma.github.io/Logging_2061/klagomål/A 46775-2023 FSC-klagomål.docx", "A 46775-2023")</f>
        <v/>
      </c>
      <c r="W53">
        <f>HYPERLINK("https://klasma.github.io/Logging_2061/klagomålsmail/A 46775-2023 FSC-klagomål mail.docx", "A 46775-2023")</f>
        <v/>
      </c>
      <c r="X53">
        <f>HYPERLINK("https://klasma.github.io/Logging_2061/tillsyn/A 46775-2023 tillsynsbegäran.docx", "A 46775-2023")</f>
        <v/>
      </c>
      <c r="Y53">
        <f>HYPERLINK("https://klasma.github.io/Logging_2061/tillsynsmail/A 46775-2023 tillsynsbegäran mail.docx", "A 46775-2023")</f>
        <v/>
      </c>
    </row>
    <row r="54" ht="15" customHeight="1">
      <c r="A54" t="inlineStr">
        <is>
          <t>A 46752-2023</t>
        </is>
      </c>
      <c r="B54" s="1" t="n">
        <v>45198</v>
      </c>
      <c r="C54" s="1" t="n">
        <v>45851</v>
      </c>
      <c r="D54" t="inlineStr">
        <is>
          <t>DALARNAS LÄN</t>
        </is>
      </c>
      <c r="E54" t="inlineStr">
        <is>
          <t>SMEDJEBACKEN</t>
        </is>
      </c>
      <c r="F54" t="inlineStr">
        <is>
          <t>Bergvik skog väst AB</t>
        </is>
      </c>
      <c r="G54" t="n">
        <v>2.4</v>
      </c>
      <c r="H54" t="n">
        <v>0</v>
      </c>
      <c r="I54" t="n">
        <v>1</v>
      </c>
      <c r="J54" t="n">
        <v>0</v>
      </c>
      <c r="K54" t="n">
        <v>0</v>
      </c>
      <c r="L54" t="n">
        <v>0</v>
      </c>
      <c r="M54" t="n">
        <v>0</v>
      </c>
      <c r="N54" t="n">
        <v>0</v>
      </c>
      <c r="O54" t="n">
        <v>0</v>
      </c>
      <c r="P54" t="n">
        <v>0</v>
      </c>
      <c r="Q54" t="n">
        <v>1</v>
      </c>
      <c r="R54" s="2" t="inlineStr">
        <is>
          <t>Tibast</t>
        </is>
      </c>
      <c r="S54">
        <f>HYPERLINK("https://klasma.github.io/Logging_2061/artfynd/A 46752-2023 artfynd.xlsx", "A 46752-2023")</f>
        <v/>
      </c>
      <c r="T54">
        <f>HYPERLINK("https://klasma.github.io/Logging_2061/kartor/A 46752-2023 karta.png", "A 46752-2023")</f>
        <v/>
      </c>
      <c r="V54">
        <f>HYPERLINK("https://klasma.github.io/Logging_2061/klagomål/A 46752-2023 FSC-klagomål.docx", "A 46752-2023")</f>
        <v/>
      </c>
      <c r="W54">
        <f>HYPERLINK("https://klasma.github.io/Logging_2061/klagomålsmail/A 46752-2023 FSC-klagomål mail.docx", "A 46752-2023")</f>
        <v/>
      </c>
      <c r="X54">
        <f>HYPERLINK("https://klasma.github.io/Logging_2061/tillsyn/A 46752-2023 tillsynsbegäran.docx", "A 46752-2023")</f>
        <v/>
      </c>
      <c r="Y54">
        <f>HYPERLINK("https://klasma.github.io/Logging_2061/tillsynsmail/A 46752-2023 tillsynsbegäran mail.docx", "A 46752-2023")</f>
        <v/>
      </c>
    </row>
    <row r="55" ht="15" customHeight="1">
      <c r="A55" t="inlineStr">
        <is>
          <t>A 46779-2023</t>
        </is>
      </c>
      <c r="B55" s="1" t="n">
        <v>45198</v>
      </c>
      <c r="C55" s="1" t="n">
        <v>45851</v>
      </c>
      <c r="D55" t="inlineStr">
        <is>
          <t>DALARNAS LÄN</t>
        </is>
      </c>
      <c r="E55" t="inlineStr">
        <is>
          <t>SMEDJEBACKEN</t>
        </is>
      </c>
      <c r="F55" t="inlineStr">
        <is>
          <t>Bergvik skog väst AB</t>
        </is>
      </c>
      <c r="G55" t="n">
        <v>14.2</v>
      </c>
      <c r="H55" t="n">
        <v>1</v>
      </c>
      <c r="I55" t="n">
        <v>0</v>
      </c>
      <c r="J55" t="n">
        <v>0</v>
      </c>
      <c r="K55" t="n">
        <v>1</v>
      </c>
      <c r="L55" t="n">
        <v>0</v>
      </c>
      <c r="M55" t="n">
        <v>0</v>
      </c>
      <c r="N55" t="n">
        <v>0</v>
      </c>
      <c r="O55" t="n">
        <v>1</v>
      </c>
      <c r="P55" t="n">
        <v>1</v>
      </c>
      <c r="Q55" t="n">
        <v>1</v>
      </c>
      <c r="R55" s="2" t="inlineStr">
        <is>
          <t>Väddnätfjäril</t>
        </is>
      </c>
      <c r="S55">
        <f>HYPERLINK("https://klasma.github.io/Logging_2061/artfynd/A 46779-2023 artfynd.xlsx", "A 46779-2023")</f>
        <v/>
      </c>
      <c r="T55">
        <f>HYPERLINK("https://klasma.github.io/Logging_2061/kartor/A 46779-2023 karta.png", "A 46779-2023")</f>
        <v/>
      </c>
      <c r="V55">
        <f>HYPERLINK("https://klasma.github.io/Logging_2061/klagomål/A 46779-2023 FSC-klagomål.docx", "A 46779-2023")</f>
        <v/>
      </c>
      <c r="W55">
        <f>HYPERLINK("https://klasma.github.io/Logging_2061/klagomålsmail/A 46779-2023 FSC-klagomål mail.docx", "A 46779-2023")</f>
        <v/>
      </c>
      <c r="X55">
        <f>HYPERLINK("https://klasma.github.io/Logging_2061/tillsyn/A 46779-2023 tillsynsbegäran.docx", "A 46779-2023")</f>
        <v/>
      </c>
      <c r="Y55">
        <f>HYPERLINK("https://klasma.github.io/Logging_2061/tillsynsmail/A 46779-2023 tillsynsbegäran mail.docx", "A 46779-2023")</f>
        <v/>
      </c>
    </row>
    <row r="56" ht="15" customHeight="1">
      <c r="A56" t="inlineStr">
        <is>
          <t>A 54156-2023</t>
        </is>
      </c>
      <c r="B56" s="1" t="n">
        <v>45225</v>
      </c>
      <c r="C56" s="1" t="n">
        <v>45851</v>
      </c>
      <c r="D56" t="inlineStr">
        <is>
          <t>DALARNAS LÄN</t>
        </is>
      </c>
      <c r="E56" t="inlineStr">
        <is>
          <t>SMEDJEBACKEN</t>
        </is>
      </c>
      <c r="F56" t="inlineStr">
        <is>
          <t>Bergvik skog väst AB</t>
        </is>
      </c>
      <c r="G56" t="n">
        <v>26.3</v>
      </c>
      <c r="H56" t="n">
        <v>1</v>
      </c>
      <c r="I56" t="n">
        <v>0</v>
      </c>
      <c r="J56" t="n">
        <v>0</v>
      </c>
      <c r="K56" t="n">
        <v>0</v>
      </c>
      <c r="L56" t="n">
        <v>0</v>
      </c>
      <c r="M56" t="n">
        <v>0</v>
      </c>
      <c r="N56" t="n">
        <v>0</v>
      </c>
      <c r="O56" t="n">
        <v>0</v>
      </c>
      <c r="P56" t="n">
        <v>0</v>
      </c>
      <c r="Q56" t="n">
        <v>1</v>
      </c>
      <c r="R56" s="2" t="inlineStr">
        <is>
          <t>Revlummer</t>
        </is>
      </c>
      <c r="S56">
        <f>HYPERLINK("https://klasma.github.io/Logging_2061/artfynd/A 54156-2023 artfynd.xlsx", "A 54156-2023")</f>
        <v/>
      </c>
      <c r="T56">
        <f>HYPERLINK("https://klasma.github.io/Logging_2061/kartor/A 54156-2023 karta.png", "A 54156-2023")</f>
        <v/>
      </c>
      <c r="V56">
        <f>HYPERLINK("https://klasma.github.io/Logging_2061/klagomål/A 54156-2023 FSC-klagomål.docx", "A 54156-2023")</f>
        <v/>
      </c>
      <c r="W56">
        <f>HYPERLINK("https://klasma.github.io/Logging_2061/klagomålsmail/A 54156-2023 FSC-klagomål mail.docx", "A 54156-2023")</f>
        <v/>
      </c>
      <c r="X56">
        <f>HYPERLINK("https://klasma.github.io/Logging_2061/tillsyn/A 54156-2023 tillsynsbegäran.docx", "A 54156-2023")</f>
        <v/>
      </c>
      <c r="Y56">
        <f>HYPERLINK("https://klasma.github.io/Logging_2061/tillsynsmail/A 54156-2023 tillsynsbegäran mail.docx", "A 54156-2023")</f>
        <v/>
      </c>
    </row>
    <row r="57" ht="15" customHeight="1">
      <c r="A57" t="inlineStr">
        <is>
          <t>A 52958-2023</t>
        </is>
      </c>
      <c r="B57" s="1" t="n">
        <v>45226</v>
      </c>
      <c r="C57" s="1" t="n">
        <v>45851</v>
      </c>
      <c r="D57" t="inlineStr">
        <is>
          <t>DALARNAS LÄN</t>
        </is>
      </c>
      <c r="E57" t="inlineStr">
        <is>
          <t>SMEDJEBACKEN</t>
        </is>
      </c>
      <c r="F57" t="inlineStr">
        <is>
          <t>Sveaskog</t>
        </is>
      </c>
      <c r="G57" t="n">
        <v>4.9</v>
      </c>
      <c r="H57" t="n">
        <v>0</v>
      </c>
      <c r="I57" t="n">
        <v>0</v>
      </c>
      <c r="J57" t="n">
        <v>1</v>
      </c>
      <c r="K57" t="n">
        <v>0</v>
      </c>
      <c r="L57" t="n">
        <v>0</v>
      </c>
      <c r="M57" t="n">
        <v>0</v>
      </c>
      <c r="N57" t="n">
        <v>0</v>
      </c>
      <c r="O57" t="n">
        <v>1</v>
      </c>
      <c r="P57" t="n">
        <v>0</v>
      </c>
      <c r="Q57" t="n">
        <v>1</v>
      </c>
      <c r="R57" s="2" t="inlineStr">
        <is>
          <t>Motaggsvamp</t>
        </is>
      </c>
      <c r="S57">
        <f>HYPERLINK("https://klasma.github.io/Logging_2061/artfynd/A 52958-2023 artfynd.xlsx", "A 52958-2023")</f>
        <v/>
      </c>
      <c r="T57">
        <f>HYPERLINK("https://klasma.github.io/Logging_2061/kartor/A 52958-2023 karta.png", "A 52958-2023")</f>
        <v/>
      </c>
      <c r="V57">
        <f>HYPERLINK("https://klasma.github.io/Logging_2061/klagomål/A 52958-2023 FSC-klagomål.docx", "A 52958-2023")</f>
        <v/>
      </c>
      <c r="W57">
        <f>HYPERLINK("https://klasma.github.io/Logging_2061/klagomålsmail/A 52958-2023 FSC-klagomål mail.docx", "A 52958-2023")</f>
        <v/>
      </c>
      <c r="X57">
        <f>HYPERLINK("https://klasma.github.io/Logging_2061/tillsyn/A 52958-2023 tillsynsbegäran.docx", "A 52958-2023")</f>
        <v/>
      </c>
      <c r="Y57">
        <f>HYPERLINK("https://klasma.github.io/Logging_2061/tillsynsmail/A 52958-2023 tillsynsbegäran mail.docx", "A 52958-2023")</f>
        <v/>
      </c>
    </row>
    <row r="58" ht="15" customHeight="1">
      <c r="A58" t="inlineStr">
        <is>
          <t>A 52953-2023</t>
        </is>
      </c>
      <c r="B58" s="1" t="n">
        <v>45226</v>
      </c>
      <c r="C58" s="1" t="n">
        <v>45851</v>
      </c>
      <c r="D58" t="inlineStr">
        <is>
          <t>DALARNAS LÄN</t>
        </is>
      </c>
      <c r="E58" t="inlineStr">
        <is>
          <t>SMEDJEBACKEN</t>
        </is>
      </c>
      <c r="F58" t="inlineStr">
        <is>
          <t>Sveaskog</t>
        </is>
      </c>
      <c r="G58" t="n">
        <v>0.9</v>
      </c>
      <c r="H58" t="n">
        <v>0</v>
      </c>
      <c r="I58" t="n">
        <v>0</v>
      </c>
      <c r="J58" t="n">
        <v>1</v>
      </c>
      <c r="K58" t="n">
        <v>0</v>
      </c>
      <c r="L58" t="n">
        <v>0</v>
      </c>
      <c r="M58" t="n">
        <v>0</v>
      </c>
      <c r="N58" t="n">
        <v>0</v>
      </c>
      <c r="O58" t="n">
        <v>1</v>
      </c>
      <c r="P58" t="n">
        <v>0</v>
      </c>
      <c r="Q58" t="n">
        <v>1</v>
      </c>
      <c r="R58" s="2" t="inlineStr">
        <is>
          <t>Motaggsvamp</t>
        </is>
      </c>
      <c r="S58">
        <f>HYPERLINK("https://klasma.github.io/Logging_2061/artfynd/A 52953-2023 artfynd.xlsx", "A 52953-2023")</f>
        <v/>
      </c>
      <c r="T58">
        <f>HYPERLINK("https://klasma.github.io/Logging_2061/kartor/A 52953-2023 karta.png", "A 52953-2023")</f>
        <v/>
      </c>
      <c r="V58">
        <f>HYPERLINK("https://klasma.github.io/Logging_2061/klagomål/A 52953-2023 FSC-klagomål.docx", "A 52953-2023")</f>
        <v/>
      </c>
      <c r="W58">
        <f>HYPERLINK("https://klasma.github.io/Logging_2061/klagomålsmail/A 52953-2023 FSC-klagomål mail.docx", "A 52953-2023")</f>
        <v/>
      </c>
      <c r="X58">
        <f>HYPERLINK("https://klasma.github.io/Logging_2061/tillsyn/A 52953-2023 tillsynsbegäran.docx", "A 52953-2023")</f>
        <v/>
      </c>
      <c r="Y58">
        <f>HYPERLINK("https://klasma.github.io/Logging_2061/tillsynsmail/A 52953-2023 tillsynsbegäran mail.docx", "A 52953-2023")</f>
        <v/>
      </c>
    </row>
    <row r="59" ht="15" customHeight="1">
      <c r="A59" t="inlineStr">
        <is>
          <t>A 55476-2023</t>
        </is>
      </c>
      <c r="B59" s="1" t="n">
        <v>45231</v>
      </c>
      <c r="C59" s="1" t="n">
        <v>45851</v>
      </c>
      <c r="D59" t="inlineStr">
        <is>
          <t>DALARNAS LÄN</t>
        </is>
      </c>
      <c r="E59" t="inlineStr">
        <is>
          <t>SMEDJEBACKEN</t>
        </is>
      </c>
      <c r="F59" t="inlineStr">
        <is>
          <t>Bergvik skog väst AB</t>
        </is>
      </c>
      <c r="G59" t="n">
        <v>16.3</v>
      </c>
      <c r="H59" t="n">
        <v>1</v>
      </c>
      <c r="I59" t="n">
        <v>0</v>
      </c>
      <c r="J59" t="n">
        <v>0</v>
      </c>
      <c r="K59" t="n">
        <v>0</v>
      </c>
      <c r="L59" t="n">
        <v>0</v>
      </c>
      <c r="M59" t="n">
        <v>0</v>
      </c>
      <c r="N59" t="n">
        <v>0</v>
      </c>
      <c r="O59" t="n">
        <v>0</v>
      </c>
      <c r="P59" t="n">
        <v>0</v>
      </c>
      <c r="Q59" t="n">
        <v>1</v>
      </c>
      <c r="R59" s="2" t="inlineStr">
        <is>
          <t>Revlummer</t>
        </is>
      </c>
      <c r="S59">
        <f>HYPERLINK("https://klasma.github.io/Logging_2061/artfynd/A 55476-2023 artfynd.xlsx", "A 55476-2023")</f>
        <v/>
      </c>
      <c r="T59">
        <f>HYPERLINK("https://klasma.github.io/Logging_2061/kartor/A 55476-2023 karta.png", "A 55476-2023")</f>
        <v/>
      </c>
      <c r="V59">
        <f>HYPERLINK("https://klasma.github.io/Logging_2061/klagomål/A 55476-2023 FSC-klagomål.docx", "A 55476-2023")</f>
        <v/>
      </c>
      <c r="W59">
        <f>HYPERLINK("https://klasma.github.io/Logging_2061/klagomålsmail/A 55476-2023 FSC-klagomål mail.docx", "A 55476-2023")</f>
        <v/>
      </c>
      <c r="X59">
        <f>HYPERLINK("https://klasma.github.io/Logging_2061/tillsyn/A 55476-2023 tillsynsbegäran.docx", "A 55476-2023")</f>
        <v/>
      </c>
      <c r="Y59">
        <f>HYPERLINK("https://klasma.github.io/Logging_2061/tillsynsmail/A 55476-2023 tillsynsbegäran mail.docx", "A 55476-2023")</f>
        <v/>
      </c>
    </row>
    <row r="60" ht="15" customHeight="1">
      <c r="A60" t="inlineStr">
        <is>
          <t>A 15389-2024</t>
        </is>
      </c>
      <c r="B60" s="1" t="n">
        <v>45401</v>
      </c>
      <c r="C60" s="1" t="n">
        <v>45851</v>
      </c>
      <c r="D60" t="inlineStr">
        <is>
          <t>DALARNAS LÄN</t>
        </is>
      </c>
      <c r="E60" t="inlineStr">
        <is>
          <t>SMEDJEBACKEN</t>
        </is>
      </c>
      <c r="F60" t="inlineStr">
        <is>
          <t>Sveaskog</t>
        </is>
      </c>
      <c r="G60" t="n">
        <v>2.8</v>
      </c>
      <c r="H60" t="n">
        <v>0</v>
      </c>
      <c r="I60" t="n">
        <v>1</v>
      </c>
      <c r="J60" t="n">
        <v>0</v>
      </c>
      <c r="K60" t="n">
        <v>0</v>
      </c>
      <c r="L60" t="n">
        <v>0</v>
      </c>
      <c r="M60" t="n">
        <v>0</v>
      </c>
      <c r="N60" t="n">
        <v>0</v>
      </c>
      <c r="O60" t="n">
        <v>0</v>
      </c>
      <c r="P60" t="n">
        <v>0</v>
      </c>
      <c r="Q60" t="n">
        <v>1</v>
      </c>
      <c r="R60" s="2" t="inlineStr">
        <is>
          <t>Svavelriska</t>
        </is>
      </c>
      <c r="S60">
        <f>HYPERLINK("https://klasma.github.io/Logging_2061/artfynd/A 15389-2024 artfynd.xlsx", "A 15389-2024")</f>
        <v/>
      </c>
      <c r="T60">
        <f>HYPERLINK("https://klasma.github.io/Logging_2061/kartor/A 15389-2024 karta.png", "A 15389-2024")</f>
        <v/>
      </c>
      <c r="V60">
        <f>HYPERLINK("https://klasma.github.io/Logging_2061/klagomål/A 15389-2024 FSC-klagomål.docx", "A 15389-2024")</f>
        <v/>
      </c>
      <c r="W60">
        <f>HYPERLINK("https://klasma.github.io/Logging_2061/klagomålsmail/A 15389-2024 FSC-klagomål mail.docx", "A 15389-2024")</f>
        <v/>
      </c>
      <c r="X60">
        <f>HYPERLINK("https://klasma.github.io/Logging_2061/tillsyn/A 15389-2024 tillsynsbegäran.docx", "A 15389-2024")</f>
        <v/>
      </c>
      <c r="Y60">
        <f>HYPERLINK("https://klasma.github.io/Logging_2061/tillsynsmail/A 15389-2024 tillsynsbegäran mail.docx", "A 15389-2024")</f>
        <v/>
      </c>
    </row>
    <row r="61" ht="15" customHeight="1">
      <c r="A61" t="inlineStr">
        <is>
          <t>A 18020-2024</t>
        </is>
      </c>
      <c r="B61" s="1" t="n">
        <v>45420</v>
      </c>
      <c r="C61" s="1" t="n">
        <v>45851</v>
      </c>
      <c r="D61" t="inlineStr">
        <is>
          <t>DALARNAS LÄN</t>
        </is>
      </c>
      <c r="E61" t="inlineStr">
        <is>
          <t>SMEDJEBACKEN</t>
        </is>
      </c>
      <c r="F61" t="inlineStr">
        <is>
          <t>Sveaskog</t>
        </is>
      </c>
      <c r="G61" t="n">
        <v>2.1</v>
      </c>
      <c r="H61" t="n">
        <v>0</v>
      </c>
      <c r="I61" t="n">
        <v>1</v>
      </c>
      <c r="J61" t="n">
        <v>0</v>
      </c>
      <c r="K61" t="n">
        <v>0</v>
      </c>
      <c r="L61" t="n">
        <v>0</v>
      </c>
      <c r="M61" t="n">
        <v>0</v>
      </c>
      <c r="N61" t="n">
        <v>0</v>
      </c>
      <c r="O61" t="n">
        <v>0</v>
      </c>
      <c r="P61" t="n">
        <v>0</v>
      </c>
      <c r="Q61" t="n">
        <v>1</v>
      </c>
      <c r="R61" s="2" t="inlineStr">
        <is>
          <t>Svavelriska</t>
        </is>
      </c>
      <c r="S61">
        <f>HYPERLINK("https://klasma.github.io/Logging_2061/artfynd/A 18020-2024 artfynd.xlsx", "A 18020-2024")</f>
        <v/>
      </c>
      <c r="T61">
        <f>HYPERLINK("https://klasma.github.io/Logging_2061/kartor/A 18020-2024 karta.png", "A 18020-2024")</f>
        <v/>
      </c>
      <c r="V61">
        <f>HYPERLINK("https://klasma.github.io/Logging_2061/klagomål/A 18020-2024 FSC-klagomål.docx", "A 18020-2024")</f>
        <v/>
      </c>
      <c r="W61">
        <f>HYPERLINK("https://klasma.github.io/Logging_2061/klagomålsmail/A 18020-2024 FSC-klagomål mail.docx", "A 18020-2024")</f>
        <v/>
      </c>
      <c r="X61">
        <f>HYPERLINK("https://klasma.github.io/Logging_2061/tillsyn/A 18020-2024 tillsynsbegäran.docx", "A 18020-2024")</f>
        <v/>
      </c>
      <c r="Y61">
        <f>HYPERLINK("https://klasma.github.io/Logging_2061/tillsynsmail/A 18020-2024 tillsynsbegäran mail.docx", "A 18020-2024")</f>
        <v/>
      </c>
    </row>
    <row r="62" ht="15" customHeight="1">
      <c r="A62" t="inlineStr">
        <is>
          <t>A 21507-2024</t>
        </is>
      </c>
      <c r="B62" s="1" t="n">
        <v>45441</v>
      </c>
      <c r="C62" s="1" t="n">
        <v>45851</v>
      </c>
      <c r="D62" t="inlineStr">
        <is>
          <t>DALARNAS LÄN</t>
        </is>
      </c>
      <c r="E62" t="inlineStr">
        <is>
          <t>SMEDJEBACKEN</t>
        </is>
      </c>
      <c r="F62" t="inlineStr">
        <is>
          <t>Sveaskog</t>
        </is>
      </c>
      <c r="G62" t="n">
        <v>16</v>
      </c>
      <c r="H62" t="n">
        <v>0</v>
      </c>
      <c r="I62" t="n">
        <v>0</v>
      </c>
      <c r="J62" t="n">
        <v>1</v>
      </c>
      <c r="K62" t="n">
        <v>0</v>
      </c>
      <c r="L62" t="n">
        <v>0</v>
      </c>
      <c r="M62" t="n">
        <v>0</v>
      </c>
      <c r="N62" t="n">
        <v>0</v>
      </c>
      <c r="O62" t="n">
        <v>1</v>
      </c>
      <c r="P62" t="n">
        <v>0</v>
      </c>
      <c r="Q62" t="n">
        <v>1</v>
      </c>
      <c r="R62" s="2" t="inlineStr">
        <is>
          <t>Ullticka</t>
        </is>
      </c>
      <c r="S62">
        <f>HYPERLINK("https://klasma.github.io/Logging_2061/artfynd/A 21507-2024 artfynd.xlsx", "A 21507-2024")</f>
        <v/>
      </c>
      <c r="T62">
        <f>HYPERLINK("https://klasma.github.io/Logging_2061/kartor/A 21507-2024 karta.png", "A 21507-2024")</f>
        <v/>
      </c>
      <c r="V62">
        <f>HYPERLINK("https://klasma.github.io/Logging_2061/klagomål/A 21507-2024 FSC-klagomål.docx", "A 21507-2024")</f>
        <v/>
      </c>
      <c r="W62">
        <f>HYPERLINK("https://klasma.github.io/Logging_2061/klagomålsmail/A 21507-2024 FSC-klagomål mail.docx", "A 21507-2024")</f>
        <v/>
      </c>
      <c r="X62">
        <f>HYPERLINK("https://klasma.github.io/Logging_2061/tillsyn/A 21507-2024 tillsynsbegäran.docx", "A 21507-2024")</f>
        <v/>
      </c>
      <c r="Y62">
        <f>HYPERLINK("https://klasma.github.io/Logging_2061/tillsynsmail/A 21507-2024 tillsynsbegäran mail.docx", "A 21507-2024")</f>
        <v/>
      </c>
    </row>
    <row r="63" ht="15" customHeight="1">
      <c r="A63" t="inlineStr">
        <is>
          <t>A 32954-2024</t>
        </is>
      </c>
      <c r="B63" s="1" t="n">
        <v>45517</v>
      </c>
      <c r="C63" s="1" t="n">
        <v>45851</v>
      </c>
      <c r="D63" t="inlineStr">
        <is>
          <t>DALARNAS LÄN</t>
        </is>
      </c>
      <c r="E63" t="inlineStr">
        <is>
          <t>SMEDJEBACKEN</t>
        </is>
      </c>
      <c r="F63" t="inlineStr">
        <is>
          <t>Övriga Aktiebolag</t>
        </is>
      </c>
      <c r="G63" t="n">
        <v>5.9</v>
      </c>
      <c r="H63" t="n">
        <v>1</v>
      </c>
      <c r="I63" t="n">
        <v>0</v>
      </c>
      <c r="J63" t="n">
        <v>0</v>
      </c>
      <c r="K63" t="n">
        <v>0</v>
      </c>
      <c r="L63" t="n">
        <v>0</v>
      </c>
      <c r="M63" t="n">
        <v>0</v>
      </c>
      <c r="N63" t="n">
        <v>0</v>
      </c>
      <c r="O63" t="n">
        <v>0</v>
      </c>
      <c r="P63" t="n">
        <v>0</v>
      </c>
      <c r="Q63" t="n">
        <v>1</v>
      </c>
      <c r="R63" s="2" t="inlineStr">
        <is>
          <t>Fläcknycklar</t>
        </is>
      </c>
      <c r="S63">
        <f>HYPERLINK("https://klasma.github.io/Logging_2061/artfynd/A 32954-2024 artfynd.xlsx", "A 32954-2024")</f>
        <v/>
      </c>
      <c r="T63">
        <f>HYPERLINK("https://klasma.github.io/Logging_2061/kartor/A 32954-2024 karta.png", "A 32954-2024")</f>
        <v/>
      </c>
      <c r="V63">
        <f>HYPERLINK("https://klasma.github.io/Logging_2061/klagomål/A 32954-2024 FSC-klagomål.docx", "A 32954-2024")</f>
        <v/>
      </c>
      <c r="W63">
        <f>HYPERLINK("https://klasma.github.io/Logging_2061/klagomålsmail/A 32954-2024 FSC-klagomål mail.docx", "A 32954-2024")</f>
        <v/>
      </c>
      <c r="X63">
        <f>HYPERLINK("https://klasma.github.io/Logging_2061/tillsyn/A 32954-2024 tillsynsbegäran.docx", "A 32954-2024")</f>
        <v/>
      </c>
      <c r="Y63">
        <f>HYPERLINK("https://klasma.github.io/Logging_2061/tillsynsmail/A 32954-2024 tillsynsbegäran mail.docx", "A 32954-2024")</f>
        <v/>
      </c>
    </row>
    <row r="64" ht="15" customHeight="1">
      <c r="A64" t="inlineStr">
        <is>
          <t>A 34942-2024</t>
        </is>
      </c>
      <c r="B64" s="1" t="n">
        <v>45527</v>
      </c>
      <c r="C64" s="1" t="n">
        <v>45851</v>
      </c>
      <c r="D64" t="inlineStr">
        <is>
          <t>DALARNAS LÄN</t>
        </is>
      </c>
      <c r="E64" t="inlineStr">
        <is>
          <t>SMEDJEBACKEN</t>
        </is>
      </c>
      <c r="G64" t="n">
        <v>11</v>
      </c>
      <c r="H64" t="n">
        <v>0</v>
      </c>
      <c r="I64" t="n">
        <v>0</v>
      </c>
      <c r="J64" t="n">
        <v>1</v>
      </c>
      <c r="K64" t="n">
        <v>0</v>
      </c>
      <c r="L64" t="n">
        <v>0</v>
      </c>
      <c r="M64" t="n">
        <v>0</v>
      </c>
      <c r="N64" t="n">
        <v>0</v>
      </c>
      <c r="O64" t="n">
        <v>1</v>
      </c>
      <c r="P64" t="n">
        <v>0</v>
      </c>
      <c r="Q64" t="n">
        <v>1</v>
      </c>
      <c r="R64" s="2" t="inlineStr">
        <is>
          <t>Skogsklocka</t>
        </is>
      </c>
      <c r="S64">
        <f>HYPERLINK("https://klasma.github.io/Logging_2061/artfynd/A 34942-2024 artfynd.xlsx", "A 34942-2024")</f>
        <v/>
      </c>
      <c r="T64">
        <f>HYPERLINK("https://klasma.github.io/Logging_2061/kartor/A 34942-2024 karta.png", "A 34942-2024")</f>
        <v/>
      </c>
      <c r="V64">
        <f>HYPERLINK("https://klasma.github.io/Logging_2061/klagomål/A 34942-2024 FSC-klagomål.docx", "A 34942-2024")</f>
        <v/>
      </c>
      <c r="W64">
        <f>HYPERLINK("https://klasma.github.io/Logging_2061/klagomålsmail/A 34942-2024 FSC-klagomål mail.docx", "A 34942-2024")</f>
        <v/>
      </c>
      <c r="X64">
        <f>HYPERLINK("https://klasma.github.io/Logging_2061/tillsyn/A 34942-2024 tillsynsbegäran.docx", "A 34942-2024")</f>
        <v/>
      </c>
      <c r="Y64">
        <f>HYPERLINK("https://klasma.github.io/Logging_2061/tillsynsmail/A 34942-2024 tillsynsbegäran mail.docx", "A 34942-2024")</f>
        <v/>
      </c>
    </row>
    <row r="65" ht="15" customHeight="1">
      <c r="A65" t="inlineStr">
        <is>
          <t>A 37313-2024</t>
        </is>
      </c>
      <c r="B65" s="1" t="n">
        <v>45540</v>
      </c>
      <c r="C65" s="1" t="n">
        <v>45851</v>
      </c>
      <c r="D65" t="inlineStr">
        <is>
          <t>DALARNAS LÄN</t>
        </is>
      </c>
      <c r="E65" t="inlineStr">
        <is>
          <t>SMEDJEBACKEN</t>
        </is>
      </c>
      <c r="F65" t="inlineStr">
        <is>
          <t>Bergvik skog väst AB</t>
        </is>
      </c>
      <c r="G65" t="n">
        <v>46.5</v>
      </c>
      <c r="H65" t="n">
        <v>0</v>
      </c>
      <c r="I65" t="n">
        <v>1</v>
      </c>
      <c r="J65" t="n">
        <v>0</v>
      </c>
      <c r="K65" t="n">
        <v>0</v>
      </c>
      <c r="L65" t="n">
        <v>0</v>
      </c>
      <c r="M65" t="n">
        <v>0</v>
      </c>
      <c r="N65" t="n">
        <v>0</v>
      </c>
      <c r="O65" t="n">
        <v>0</v>
      </c>
      <c r="P65" t="n">
        <v>0</v>
      </c>
      <c r="Q65" t="n">
        <v>1</v>
      </c>
      <c r="R65" s="2" t="inlineStr">
        <is>
          <t>Fjällig taggsvamp s.str.</t>
        </is>
      </c>
      <c r="S65">
        <f>HYPERLINK("https://klasma.github.io/Logging_2061/artfynd/A 37313-2024 artfynd.xlsx", "A 37313-2024")</f>
        <v/>
      </c>
      <c r="T65">
        <f>HYPERLINK("https://klasma.github.io/Logging_2061/kartor/A 37313-2024 karta.png", "A 37313-2024")</f>
        <v/>
      </c>
      <c r="V65">
        <f>HYPERLINK("https://klasma.github.io/Logging_2061/klagomål/A 37313-2024 FSC-klagomål.docx", "A 37313-2024")</f>
        <v/>
      </c>
      <c r="W65">
        <f>HYPERLINK("https://klasma.github.io/Logging_2061/klagomålsmail/A 37313-2024 FSC-klagomål mail.docx", "A 37313-2024")</f>
        <v/>
      </c>
      <c r="X65">
        <f>HYPERLINK("https://klasma.github.io/Logging_2061/tillsyn/A 37313-2024 tillsynsbegäran.docx", "A 37313-2024")</f>
        <v/>
      </c>
      <c r="Y65">
        <f>HYPERLINK("https://klasma.github.io/Logging_2061/tillsynsmail/A 37313-2024 tillsynsbegäran mail.docx", "A 37313-2024")</f>
        <v/>
      </c>
    </row>
    <row r="66" ht="15" customHeight="1">
      <c r="A66" t="inlineStr">
        <is>
          <t>A 45577-2024</t>
        </is>
      </c>
      <c r="B66" s="1" t="n">
        <v>45579</v>
      </c>
      <c r="C66" s="1" t="n">
        <v>45851</v>
      </c>
      <c r="D66" t="inlineStr">
        <is>
          <t>DALARNAS LÄN</t>
        </is>
      </c>
      <c r="E66" t="inlineStr">
        <is>
          <t>SMEDJEBACKEN</t>
        </is>
      </c>
      <c r="F66" t="inlineStr">
        <is>
          <t>Sveaskog</t>
        </is>
      </c>
      <c r="G66" t="n">
        <v>18.6</v>
      </c>
      <c r="H66" t="n">
        <v>1</v>
      </c>
      <c r="I66" t="n">
        <v>0</v>
      </c>
      <c r="J66" t="n">
        <v>0</v>
      </c>
      <c r="K66" t="n">
        <v>0</v>
      </c>
      <c r="L66" t="n">
        <v>0</v>
      </c>
      <c r="M66" t="n">
        <v>0</v>
      </c>
      <c r="N66" t="n">
        <v>0</v>
      </c>
      <c r="O66" t="n">
        <v>0</v>
      </c>
      <c r="P66" t="n">
        <v>0</v>
      </c>
      <c r="Q66" t="n">
        <v>1</v>
      </c>
      <c r="R66" s="2" t="inlineStr">
        <is>
          <t>Tjäder</t>
        </is>
      </c>
      <c r="S66">
        <f>HYPERLINK("https://klasma.github.io/Logging_2061/artfynd/A 45577-2024 artfynd.xlsx", "A 45577-2024")</f>
        <v/>
      </c>
      <c r="T66">
        <f>HYPERLINK("https://klasma.github.io/Logging_2061/kartor/A 45577-2024 karta.png", "A 45577-2024")</f>
        <v/>
      </c>
      <c r="V66">
        <f>HYPERLINK("https://klasma.github.io/Logging_2061/klagomål/A 45577-2024 FSC-klagomål.docx", "A 45577-2024")</f>
        <v/>
      </c>
      <c r="W66">
        <f>HYPERLINK("https://klasma.github.io/Logging_2061/klagomålsmail/A 45577-2024 FSC-klagomål mail.docx", "A 45577-2024")</f>
        <v/>
      </c>
      <c r="X66">
        <f>HYPERLINK("https://klasma.github.io/Logging_2061/tillsyn/A 45577-2024 tillsynsbegäran.docx", "A 45577-2024")</f>
        <v/>
      </c>
      <c r="Y66">
        <f>HYPERLINK("https://klasma.github.io/Logging_2061/tillsynsmail/A 45577-2024 tillsynsbegäran mail.docx", "A 45577-2024")</f>
        <v/>
      </c>
      <c r="Z66">
        <f>HYPERLINK("https://klasma.github.io/Logging_2061/fåglar/A 45577-2024 prioriterade fågelarter.docx", "A 45577-2024")</f>
        <v/>
      </c>
    </row>
    <row r="67" ht="15" customHeight="1">
      <c r="A67" t="inlineStr">
        <is>
          <t>A 52242-2024</t>
        </is>
      </c>
      <c r="B67" s="1" t="n">
        <v>45607</v>
      </c>
      <c r="C67" s="1" t="n">
        <v>45851</v>
      </c>
      <c r="D67" t="inlineStr">
        <is>
          <t>DALARNAS LÄN</t>
        </is>
      </c>
      <c r="E67" t="inlineStr">
        <is>
          <t>SMEDJEBACKEN</t>
        </is>
      </c>
      <c r="F67" t="inlineStr">
        <is>
          <t>Bergvik skog väst AB</t>
        </is>
      </c>
      <c r="G67" t="n">
        <v>26.2</v>
      </c>
      <c r="H67" t="n">
        <v>1</v>
      </c>
      <c r="I67" t="n">
        <v>0</v>
      </c>
      <c r="J67" t="n">
        <v>1</v>
      </c>
      <c r="K67" t="n">
        <v>0</v>
      </c>
      <c r="L67" t="n">
        <v>0</v>
      </c>
      <c r="M67" t="n">
        <v>0</v>
      </c>
      <c r="N67" t="n">
        <v>0</v>
      </c>
      <c r="O67" t="n">
        <v>1</v>
      </c>
      <c r="P67" t="n">
        <v>0</v>
      </c>
      <c r="Q67" t="n">
        <v>1</v>
      </c>
      <c r="R67" s="2" t="inlineStr">
        <is>
          <t>Havsörn</t>
        </is>
      </c>
      <c r="S67">
        <f>HYPERLINK("https://klasma.github.io/Logging_2061/artfynd/A 52242-2024 artfynd.xlsx", "A 52242-2024")</f>
        <v/>
      </c>
      <c r="T67">
        <f>HYPERLINK("https://klasma.github.io/Logging_2061/kartor/A 52242-2024 karta.png", "A 52242-2024")</f>
        <v/>
      </c>
      <c r="V67">
        <f>HYPERLINK("https://klasma.github.io/Logging_2061/klagomål/A 52242-2024 FSC-klagomål.docx", "A 52242-2024")</f>
        <v/>
      </c>
      <c r="W67">
        <f>HYPERLINK("https://klasma.github.io/Logging_2061/klagomålsmail/A 52242-2024 FSC-klagomål mail.docx", "A 52242-2024")</f>
        <v/>
      </c>
      <c r="X67">
        <f>HYPERLINK("https://klasma.github.io/Logging_2061/tillsyn/A 52242-2024 tillsynsbegäran.docx", "A 52242-2024")</f>
        <v/>
      </c>
      <c r="Y67">
        <f>HYPERLINK("https://klasma.github.io/Logging_2061/tillsynsmail/A 52242-2024 tillsynsbegäran mail.docx", "A 52242-2024")</f>
        <v/>
      </c>
      <c r="Z67">
        <f>HYPERLINK("https://klasma.github.io/Logging_2061/fåglar/A 52242-2024 prioriterade fågelarter.docx", "A 52242-2024")</f>
        <v/>
      </c>
    </row>
    <row r="68" ht="15" customHeight="1">
      <c r="A68" t="inlineStr">
        <is>
          <t>A 52601-2024</t>
        </is>
      </c>
      <c r="B68" s="1" t="n">
        <v>45609</v>
      </c>
      <c r="C68" s="1" t="n">
        <v>45851</v>
      </c>
      <c r="D68" t="inlineStr">
        <is>
          <t>DALARNAS LÄN</t>
        </is>
      </c>
      <c r="E68" t="inlineStr">
        <is>
          <t>SMEDJEBACKEN</t>
        </is>
      </c>
      <c r="F68" t="inlineStr">
        <is>
          <t>Bergvik skog väst AB</t>
        </is>
      </c>
      <c r="G68" t="n">
        <v>47.9</v>
      </c>
      <c r="H68" t="n">
        <v>0</v>
      </c>
      <c r="I68" t="n">
        <v>0</v>
      </c>
      <c r="J68" t="n">
        <v>1</v>
      </c>
      <c r="K68" t="n">
        <v>0</v>
      </c>
      <c r="L68" t="n">
        <v>0</v>
      </c>
      <c r="M68" t="n">
        <v>0</v>
      </c>
      <c r="N68" t="n">
        <v>0</v>
      </c>
      <c r="O68" t="n">
        <v>1</v>
      </c>
      <c r="P68" t="n">
        <v>0</v>
      </c>
      <c r="Q68" t="n">
        <v>1</v>
      </c>
      <c r="R68" s="2" t="inlineStr">
        <is>
          <t>Tallticka</t>
        </is>
      </c>
      <c r="S68">
        <f>HYPERLINK("https://klasma.github.io/Logging_2061/artfynd/A 52601-2024 artfynd.xlsx", "A 52601-2024")</f>
        <v/>
      </c>
      <c r="T68">
        <f>HYPERLINK("https://klasma.github.io/Logging_2061/kartor/A 52601-2024 karta.png", "A 52601-2024")</f>
        <v/>
      </c>
      <c r="U68">
        <f>HYPERLINK("https://klasma.github.io/Logging_2061/knärot/A 52601-2024 karta knärot.png", "A 52601-2024")</f>
        <v/>
      </c>
      <c r="V68">
        <f>HYPERLINK("https://klasma.github.io/Logging_2061/klagomål/A 52601-2024 FSC-klagomål.docx", "A 52601-2024")</f>
        <v/>
      </c>
      <c r="W68">
        <f>HYPERLINK("https://klasma.github.io/Logging_2061/klagomålsmail/A 52601-2024 FSC-klagomål mail.docx", "A 52601-2024")</f>
        <v/>
      </c>
      <c r="X68">
        <f>HYPERLINK("https://klasma.github.io/Logging_2061/tillsyn/A 52601-2024 tillsynsbegäran.docx", "A 52601-2024")</f>
        <v/>
      </c>
      <c r="Y68">
        <f>HYPERLINK("https://klasma.github.io/Logging_2061/tillsynsmail/A 52601-2024 tillsynsbegäran mail.docx", "A 52601-2024")</f>
        <v/>
      </c>
    </row>
    <row r="69" ht="15" customHeight="1">
      <c r="A69" t="inlineStr">
        <is>
          <t>A 61916-2024</t>
        </is>
      </c>
      <c r="B69" s="1" t="n">
        <v>45653</v>
      </c>
      <c r="C69" s="1" t="n">
        <v>45851</v>
      </c>
      <c r="D69" t="inlineStr">
        <is>
          <t>DALARNAS LÄN</t>
        </is>
      </c>
      <c r="E69" t="inlineStr">
        <is>
          <t>SMEDJEBACKEN</t>
        </is>
      </c>
      <c r="G69" t="n">
        <v>11.1</v>
      </c>
      <c r="H69" t="n">
        <v>1</v>
      </c>
      <c r="I69" t="n">
        <v>0</v>
      </c>
      <c r="J69" t="n">
        <v>0</v>
      </c>
      <c r="K69" t="n">
        <v>0</v>
      </c>
      <c r="L69" t="n">
        <v>0</v>
      </c>
      <c r="M69" t="n">
        <v>0</v>
      </c>
      <c r="N69" t="n">
        <v>0</v>
      </c>
      <c r="O69" t="n">
        <v>0</v>
      </c>
      <c r="P69" t="n">
        <v>0</v>
      </c>
      <c r="Q69" t="n">
        <v>1</v>
      </c>
      <c r="R69" s="2" t="inlineStr">
        <is>
          <t>Mattlummer</t>
        </is>
      </c>
      <c r="S69">
        <f>HYPERLINK("https://klasma.github.io/Logging_2061/artfynd/A 61916-2024 artfynd.xlsx", "A 61916-2024")</f>
        <v/>
      </c>
      <c r="T69">
        <f>HYPERLINK("https://klasma.github.io/Logging_2061/kartor/A 61916-2024 karta.png", "A 61916-2024")</f>
        <v/>
      </c>
      <c r="V69">
        <f>HYPERLINK("https://klasma.github.io/Logging_2061/klagomål/A 61916-2024 FSC-klagomål.docx", "A 61916-2024")</f>
        <v/>
      </c>
      <c r="W69">
        <f>HYPERLINK("https://klasma.github.io/Logging_2061/klagomålsmail/A 61916-2024 FSC-klagomål mail.docx", "A 61916-2024")</f>
        <v/>
      </c>
      <c r="X69">
        <f>HYPERLINK("https://klasma.github.io/Logging_2061/tillsyn/A 61916-2024 tillsynsbegäran.docx", "A 61916-2024")</f>
        <v/>
      </c>
      <c r="Y69">
        <f>HYPERLINK("https://klasma.github.io/Logging_2061/tillsynsmail/A 61916-2024 tillsynsbegäran mail.docx", "A 61916-2024")</f>
        <v/>
      </c>
    </row>
    <row r="70" ht="15" customHeight="1">
      <c r="A70" t="inlineStr">
        <is>
          <t>A 18701-2019</t>
        </is>
      </c>
      <c r="B70" s="1" t="n">
        <v>43560</v>
      </c>
      <c r="C70" s="1" t="n">
        <v>45851</v>
      </c>
      <c r="D70" t="inlineStr">
        <is>
          <t>DALARNAS LÄN</t>
        </is>
      </c>
      <c r="E70" t="inlineStr">
        <is>
          <t>SMEDJEBACKEN</t>
        </is>
      </c>
      <c r="G70" t="n">
        <v>3.4</v>
      </c>
      <c r="H70" t="n">
        <v>0</v>
      </c>
      <c r="I70" t="n">
        <v>0</v>
      </c>
      <c r="J70" t="n">
        <v>0</v>
      </c>
      <c r="K70" t="n">
        <v>0</v>
      </c>
      <c r="L70" t="n">
        <v>0</v>
      </c>
      <c r="M70" t="n">
        <v>0</v>
      </c>
      <c r="N70" t="n">
        <v>0</v>
      </c>
      <c r="O70" t="n">
        <v>0</v>
      </c>
      <c r="P70" t="n">
        <v>0</v>
      </c>
      <c r="Q70" t="n">
        <v>0</v>
      </c>
      <c r="R70" s="2" t="inlineStr"/>
    </row>
    <row r="71" ht="15" customHeight="1">
      <c r="A71" t="inlineStr">
        <is>
          <t>A 19527-2019</t>
        </is>
      </c>
      <c r="B71" s="1" t="n">
        <v>43565</v>
      </c>
      <c r="C71" s="1" t="n">
        <v>45851</v>
      </c>
      <c r="D71" t="inlineStr">
        <is>
          <t>DALARNAS LÄN</t>
        </is>
      </c>
      <c r="E71" t="inlineStr">
        <is>
          <t>SMEDJEBACKEN</t>
        </is>
      </c>
      <c r="G71" t="n">
        <v>1.8</v>
      </c>
      <c r="H71" t="n">
        <v>0</v>
      </c>
      <c r="I71" t="n">
        <v>0</v>
      </c>
      <c r="J71" t="n">
        <v>0</v>
      </c>
      <c r="K71" t="n">
        <v>0</v>
      </c>
      <c r="L71" t="n">
        <v>0</v>
      </c>
      <c r="M71" t="n">
        <v>0</v>
      </c>
      <c r="N71" t="n">
        <v>0</v>
      </c>
      <c r="O71" t="n">
        <v>0</v>
      </c>
      <c r="P71" t="n">
        <v>0</v>
      </c>
      <c r="Q71" t="n">
        <v>0</v>
      </c>
      <c r="R71" s="2" t="inlineStr"/>
    </row>
    <row r="72" ht="15" customHeight="1">
      <c r="A72" t="inlineStr">
        <is>
          <t>A 22029-2019</t>
        </is>
      </c>
      <c r="B72" s="1" t="n">
        <v>43584</v>
      </c>
      <c r="C72" s="1" t="n">
        <v>45851</v>
      </c>
      <c r="D72" t="inlineStr">
        <is>
          <t>DALARNAS LÄN</t>
        </is>
      </c>
      <c r="E72" t="inlineStr">
        <is>
          <t>SMEDJEBACKEN</t>
        </is>
      </c>
      <c r="G72" t="n">
        <v>3</v>
      </c>
      <c r="H72" t="n">
        <v>0</v>
      </c>
      <c r="I72" t="n">
        <v>0</v>
      </c>
      <c r="J72" t="n">
        <v>0</v>
      </c>
      <c r="K72" t="n">
        <v>0</v>
      </c>
      <c r="L72" t="n">
        <v>0</v>
      </c>
      <c r="M72" t="n">
        <v>0</v>
      </c>
      <c r="N72" t="n">
        <v>0</v>
      </c>
      <c r="O72" t="n">
        <v>0</v>
      </c>
      <c r="P72" t="n">
        <v>0</v>
      </c>
      <c r="Q72" t="n">
        <v>0</v>
      </c>
      <c r="R72" s="2" t="inlineStr"/>
    </row>
    <row r="73" ht="15" customHeight="1">
      <c r="A73" t="inlineStr">
        <is>
          <t>A 23576-2019</t>
        </is>
      </c>
      <c r="B73" s="1" t="n">
        <v>43593</v>
      </c>
      <c r="C73" s="1" t="n">
        <v>45851</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23907-2019</t>
        </is>
      </c>
      <c r="B74" s="1" t="n">
        <v>43595</v>
      </c>
      <c r="C74" s="1" t="n">
        <v>45851</v>
      </c>
      <c r="D74" t="inlineStr">
        <is>
          <t>DALARNAS LÄN</t>
        </is>
      </c>
      <c r="E74" t="inlineStr">
        <is>
          <t>SMEDJEBACKEN</t>
        </is>
      </c>
      <c r="G74" t="n">
        <v>7.2</v>
      </c>
      <c r="H74" t="n">
        <v>0</v>
      </c>
      <c r="I74" t="n">
        <v>0</v>
      </c>
      <c r="J74" t="n">
        <v>0</v>
      </c>
      <c r="K74" t="n">
        <v>0</v>
      </c>
      <c r="L74" t="n">
        <v>0</v>
      </c>
      <c r="M74" t="n">
        <v>0</v>
      </c>
      <c r="N74" t="n">
        <v>0</v>
      </c>
      <c r="O74" t="n">
        <v>0</v>
      </c>
      <c r="P74" t="n">
        <v>0</v>
      </c>
      <c r="Q74" t="n">
        <v>0</v>
      </c>
      <c r="R74" s="2" t="inlineStr"/>
    </row>
    <row r="75" ht="15" customHeight="1">
      <c r="A75" t="inlineStr">
        <is>
          <t>A 25671-2019</t>
        </is>
      </c>
      <c r="B75" s="1" t="n">
        <v>43607</v>
      </c>
      <c r="C75" s="1" t="n">
        <v>45851</v>
      </c>
      <c r="D75" t="inlineStr">
        <is>
          <t>DALARNAS LÄN</t>
        </is>
      </c>
      <c r="E75" t="inlineStr">
        <is>
          <t>SMEDJEBACKEN</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27354-2019</t>
        </is>
      </c>
      <c r="B76" s="1" t="n">
        <v>43616</v>
      </c>
      <c r="C76" s="1" t="n">
        <v>45851</v>
      </c>
      <c r="D76" t="inlineStr">
        <is>
          <t>DALARNAS LÄN</t>
        </is>
      </c>
      <c r="E76" t="inlineStr">
        <is>
          <t>SMEDJEBACKEN</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27345-2019</t>
        </is>
      </c>
      <c r="B77" s="1" t="n">
        <v>43616</v>
      </c>
      <c r="C77" s="1" t="n">
        <v>45851</v>
      </c>
      <c r="D77" t="inlineStr">
        <is>
          <t>DALARNAS LÄN</t>
        </is>
      </c>
      <c r="E77" t="inlineStr">
        <is>
          <t>SMEDJEBACKEN</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27351-2019</t>
        </is>
      </c>
      <c r="B78" s="1" t="n">
        <v>43616</v>
      </c>
      <c r="C78" s="1" t="n">
        <v>45851</v>
      </c>
      <c r="D78" t="inlineStr">
        <is>
          <t>DALARNAS LÄN</t>
        </is>
      </c>
      <c r="E78" t="inlineStr">
        <is>
          <t>SMEDJEBACKEN</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27352-2019</t>
        </is>
      </c>
      <c r="B79" s="1" t="n">
        <v>43616</v>
      </c>
      <c r="C79" s="1" t="n">
        <v>45851</v>
      </c>
      <c r="D79" t="inlineStr">
        <is>
          <t>DALARNAS LÄN</t>
        </is>
      </c>
      <c r="E79" t="inlineStr">
        <is>
          <t>SMEDJEBACKEN</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29124-2019</t>
        </is>
      </c>
      <c r="B80" s="1" t="n">
        <v>43628</v>
      </c>
      <c r="C80" s="1" t="n">
        <v>45851</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29467-2019</t>
        </is>
      </c>
      <c r="B81" s="1" t="n">
        <v>43629</v>
      </c>
      <c r="C81" s="1" t="n">
        <v>45851</v>
      </c>
      <c r="D81" t="inlineStr">
        <is>
          <t>DALARNAS LÄN</t>
        </is>
      </c>
      <c r="E81" t="inlineStr">
        <is>
          <t>SMEDJEBACKEN</t>
        </is>
      </c>
      <c r="G81" t="n">
        <v>2.9</v>
      </c>
      <c r="H81" t="n">
        <v>0</v>
      </c>
      <c r="I81" t="n">
        <v>0</v>
      </c>
      <c r="J81" t="n">
        <v>0</v>
      </c>
      <c r="K81" t="n">
        <v>0</v>
      </c>
      <c r="L81" t="n">
        <v>0</v>
      </c>
      <c r="M81" t="n">
        <v>0</v>
      </c>
      <c r="N81" t="n">
        <v>0</v>
      </c>
      <c r="O81" t="n">
        <v>0</v>
      </c>
      <c r="P81" t="n">
        <v>0</v>
      </c>
      <c r="Q81" t="n">
        <v>0</v>
      </c>
      <c r="R81" s="2" t="inlineStr"/>
    </row>
    <row r="82" ht="15" customHeight="1">
      <c r="A82" t="inlineStr">
        <is>
          <t>A 29661-2019</t>
        </is>
      </c>
      <c r="B82" s="1" t="n">
        <v>43630</v>
      </c>
      <c r="C82" s="1" t="n">
        <v>45851</v>
      </c>
      <c r="D82" t="inlineStr">
        <is>
          <t>DALARNAS LÄN</t>
        </is>
      </c>
      <c r="E82" t="inlineStr">
        <is>
          <t>SMEDJEBACKEN</t>
        </is>
      </c>
      <c r="G82" t="n">
        <v>3.6</v>
      </c>
      <c r="H82" t="n">
        <v>0</v>
      </c>
      <c r="I82" t="n">
        <v>0</v>
      </c>
      <c r="J82" t="n">
        <v>0</v>
      </c>
      <c r="K82" t="n">
        <v>0</v>
      </c>
      <c r="L82" t="n">
        <v>0</v>
      </c>
      <c r="M82" t="n">
        <v>0</v>
      </c>
      <c r="N82" t="n">
        <v>0</v>
      </c>
      <c r="O82" t="n">
        <v>0</v>
      </c>
      <c r="P82" t="n">
        <v>0</v>
      </c>
      <c r="Q82" t="n">
        <v>0</v>
      </c>
      <c r="R82" s="2" t="inlineStr"/>
    </row>
    <row r="83" ht="15" customHeight="1">
      <c r="A83" t="inlineStr">
        <is>
          <t>A 32138-2019</t>
        </is>
      </c>
      <c r="B83" s="1" t="n">
        <v>43643</v>
      </c>
      <c r="C83" s="1" t="n">
        <v>45851</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32457-2019</t>
        </is>
      </c>
      <c r="B84" s="1" t="n">
        <v>43644</v>
      </c>
      <c r="C84" s="1" t="n">
        <v>45851</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33859-2019</t>
        </is>
      </c>
      <c r="B85" s="1" t="n">
        <v>43652</v>
      </c>
      <c r="C85" s="1" t="n">
        <v>45851</v>
      </c>
      <c r="D85" t="inlineStr">
        <is>
          <t>DALARNAS LÄN</t>
        </is>
      </c>
      <c r="E85" t="inlineStr">
        <is>
          <t>SMEDJEBACKEN</t>
        </is>
      </c>
      <c r="G85" t="n">
        <v>1.4</v>
      </c>
      <c r="H85" t="n">
        <v>0</v>
      </c>
      <c r="I85" t="n">
        <v>0</v>
      </c>
      <c r="J85" t="n">
        <v>0</v>
      </c>
      <c r="K85" t="n">
        <v>0</v>
      </c>
      <c r="L85" t="n">
        <v>0</v>
      </c>
      <c r="M85" t="n">
        <v>0</v>
      </c>
      <c r="N85" t="n">
        <v>0</v>
      </c>
      <c r="O85" t="n">
        <v>0</v>
      </c>
      <c r="P85" t="n">
        <v>0</v>
      </c>
      <c r="Q85" t="n">
        <v>0</v>
      </c>
      <c r="R85" s="2" t="inlineStr"/>
    </row>
    <row r="86" ht="15" customHeight="1">
      <c r="A86" t="inlineStr">
        <is>
          <t>A 37360-2019</t>
        </is>
      </c>
      <c r="B86" s="1" t="n">
        <v>43678</v>
      </c>
      <c r="C86" s="1" t="n">
        <v>45851</v>
      </c>
      <c r="D86" t="inlineStr">
        <is>
          <t>DALARNAS LÄN</t>
        </is>
      </c>
      <c r="E86" t="inlineStr">
        <is>
          <t>SMEDJEBACKEN</t>
        </is>
      </c>
      <c r="G86" t="n">
        <v>1.1</v>
      </c>
      <c r="H86" t="n">
        <v>0</v>
      </c>
      <c r="I86" t="n">
        <v>0</v>
      </c>
      <c r="J86" t="n">
        <v>0</v>
      </c>
      <c r="K86" t="n">
        <v>0</v>
      </c>
      <c r="L86" t="n">
        <v>0</v>
      </c>
      <c r="M86" t="n">
        <v>0</v>
      </c>
      <c r="N86" t="n">
        <v>0</v>
      </c>
      <c r="O86" t="n">
        <v>0</v>
      </c>
      <c r="P86" t="n">
        <v>0</v>
      </c>
      <c r="Q86" t="n">
        <v>0</v>
      </c>
      <c r="R86" s="2" t="inlineStr"/>
    </row>
    <row r="87" ht="15" customHeight="1">
      <c r="A87" t="inlineStr">
        <is>
          <t>A 37368-2019</t>
        </is>
      </c>
      <c r="B87" s="1" t="n">
        <v>43678</v>
      </c>
      <c r="C87" s="1" t="n">
        <v>45851</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38152-2019</t>
        </is>
      </c>
      <c r="B88" s="1" t="n">
        <v>43684</v>
      </c>
      <c r="C88" s="1" t="n">
        <v>45851</v>
      </c>
      <c r="D88" t="inlineStr">
        <is>
          <t>DALARNAS LÄN</t>
        </is>
      </c>
      <c r="E88" t="inlineStr">
        <is>
          <t>SMEDJEBACKEN</t>
        </is>
      </c>
      <c r="G88" t="n">
        <v>2.5</v>
      </c>
      <c r="H88" t="n">
        <v>0</v>
      </c>
      <c r="I88" t="n">
        <v>0</v>
      </c>
      <c r="J88" t="n">
        <v>0</v>
      </c>
      <c r="K88" t="n">
        <v>0</v>
      </c>
      <c r="L88" t="n">
        <v>0</v>
      </c>
      <c r="M88" t="n">
        <v>0</v>
      </c>
      <c r="N88" t="n">
        <v>0</v>
      </c>
      <c r="O88" t="n">
        <v>0</v>
      </c>
      <c r="P88" t="n">
        <v>0</v>
      </c>
      <c r="Q88" t="n">
        <v>0</v>
      </c>
      <c r="R88" s="2" t="inlineStr"/>
    </row>
    <row r="89" ht="15" customHeight="1">
      <c r="A89" t="inlineStr">
        <is>
          <t>A 38149-2019</t>
        </is>
      </c>
      <c r="B89" s="1" t="n">
        <v>43684</v>
      </c>
      <c r="C89" s="1" t="n">
        <v>45851</v>
      </c>
      <c r="D89" t="inlineStr">
        <is>
          <t>DALARNAS LÄN</t>
        </is>
      </c>
      <c r="E89" t="inlineStr">
        <is>
          <t>SMEDJEBACKEN</t>
        </is>
      </c>
      <c r="G89" t="n">
        <v>3.5</v>
      </c>
      <c r="H89" t="n">
        <v>0</v>
      </c>
      <c r="I89" t="n">
        <v>0</v>
      </c>
      <c r="J89" t="n">
        <v>0</v>
      </c>
      <c r="K89" t="n">
        <v>0</v>
      </c>
      <c r="L89" t="n">
        <v>0</v>
      </c>
      <c r="M89" t="n">
        <v>0</v>
      </c>
      <c r="N89" t="n">
        <v>0</v>
      </c>
      <c r="O89" t="n">
        <v>0</v>
      </c>
      <c r="P89" t="n">
        <v>0</v>
      </c>
      <c r="Q89" t="n">
        <v>0</v>
      </c>
      <c r="R89" s="2" t="inlineStr"/>
    </row>
    <row r="90" ht="15" customHeight="1">
      <c r="A90" t="inlineStr">
        <is>
          <t>A 38842-2019</t>
        </is>
      </c>
      <c r="B90" s="1" t="n">
        <v>43689</v>
      </c>
      <c r="C90" s="1" t="n">
        <v>45851</v>
      </c>
      <c r="D90" t="inlineStr">
        <is>
          <t>DALARNAS LÄN</t>
        </is>
      </c>
      <c r="E90" t="inlineStr">
        <is>
          <t>SMEDJEBACKEN</t>
        </is>
      </c>
      <c r="G90" t="n">
        <v>0.6</v>
      </c>
      <c r="H90" t="n">
        <v>0</v>
      </c>
      <c r="I90" t="n">
        <v>0</v>
      </c>
      <c r="J90" t="n">
        <v>0</v>
      </c>
      <c r="K90" t="n">
        <v>0</v>
      </c>
      <c r="L90" t="n">
        <v>0</v>
      </c>
      <c r="M90" t="n">
        <v>0</v>
      </c>
      <c r="N90" t="n">
        <v>0</v>
      </c>
      <c r="O90" t="n">
        <v>0</v>
      </c>
      <c r="P90" t="n">
        <v>0</v>
      </c>
      <c r="Q90" t="n">
        <v>0</v>
      </c>
      <c r="R90" s="2" t="inlineStr"/>
    </row>
    <row r="91" ht="15" customHeight="1">
      <c r="A91" t="inlineStr">
        <is>
          <t>A 40067-2019</t>
        </is>
      </c>
      <c r="B91" s="1" t="n">
        <v>43693</v>
      </c>
      <c r="C91" s="1" t="n">
        <v>45851</v>
      </c>
      <c r="D91" t="inlineStr">
        <is>
          <t>DALARNAS LÄN</t>
        </is>
      </c>
      <c r="E91" t="inlineStr">
        <is>
          <t>SMEDJEBACKEN</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40129-2019</t>
        </is>
      </c>
      <c r="B92" s="1" t="n">
        <v>43693</v>
      </c>
      <c r="C92" s="1" t="n">
        <v>45851</v>
      </c>
      <c r="D92" t="inlineStr">
        <is>
          <t>DALARNAS LÄN</t>
        </is>
      </c>
      <c r="E92" t="inlineStr">
        <is>
          <t>SMEDJEBACKEN</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40828-2019</t>
        </is>
      </c>
      <c r="B93" s="1" t="n">
        <v>43697</v>
      </c>
      <c r="C93" s="1" t="n">
        <v>45851</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41421-2019</t>
        </is>
      </c>
      <c r="B94" s="1" t="n">
        <v>43698</v>
      </c>
      <c r="C94" s="1" t="n">
        <v>45851</v>
      </c>
      <c r="D94" t="inlineStr">
        <is>
          <t>DALARNAS LÄN</t>
        </is>
      </c>
      <c r="E94" t="inlineStr">
        <is>
          <t>SMEDJEBACKEN</t>
        </is>
      </c>
      <c r="F94" t="inlineStr">
        <is>
          <t>Kyrkan</t>
        </is>
      </c>
      <c r="G94" t="n">
        <v>5.8</v>
      </c>
      <c r="H94" t="n">
        <v>0</v>
      </c>
      <c r="I94" t="n">
        <v>0</v>
      </c>
      <c r="J94" t="n">
        <v>0</v>
      </c>
      <c r="K94" t="n">
        <v>0</v>
      </c>
      <c r="L94" t="n">
        <v>0</v>
      </c>
      <c r="M94" t="n">
        <v>0</v>
      </c>
      <c r="N94" t="n">
        <v>0</v>
      </c>
      <c r="O94" t="n">
        <v>0</v>
      </c>
      <c r="P94" t="n">
        <v>0</v>
      </c>
      <c r="Q94" t="n">
        <v>0</v>
      </c>
      <c r="R94" s="2" t="inlineStr"/>
    </row>
    <row r="95" ht="15" customHeight="1">
      <c r="A95" t="inlineStr">
        <is>
          <t>A 41803-2019</t>
        </is>
      </c>
      <c r="B95" s="1" t="n">
        <v>43700</v>
      </c>
      <c r="C95" s="1" t="n">
        <v>45851</v>
      </c>
      <c r="D95" t="inlineStr">
        <is>
          <t>DALARNAS LÄN</t>
        </is>
      </c>
      <c r="E95" t="inlineStr">
        <is>
          <t>SMEDJEBACKEN</t>
        </is>
      </c>
      <c r="G95" t="n">
        <v>4.8</v>
      </c>
      <c r="H95" t="n">
        <v>0</v>
      </c>
      <c r="I95" t="n">
        <v>0</v>
      </c>
      <c r="J95" t="n">
        <v>0</v>
      </c>
      <c r="K95" t="n">
        <v>0</v>
      </c>
      <c r="L95" t="n">
        <v>0</v>
      </c>
      <c r="M95" t="n">
        <v>0</v>
      </c>
      <c r="N95" t="n">
        <v>0</v>
      </c>
      <c r="O95" t="n">
        <v>0</v>
      </c>
      <c r="P95" t="n">
        <v>0</v>
      </c>
      <c r="Q95" t="n">
        <v>0</v>
      </c>
      <c r="R95" s="2" t="inlineStr"/>
    </row>
    <row r="96" ht="15" customHeight="1">
      <c r="A96" t="inlineStr">
        <is>
          <t>A 41986-2019</t>
        </is>
      </c>
      <c r="B96" s="1" t="n">
        <v>43700</v>
      </c>
      <c r="C96" s="1" t="n">
        <v>45851</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42186-2019</t>
        </is>
      </c>
      <c r="B97" s="1" t="n">
        <v>43703</v>
      </c>
      <c r="C97" s="1" t="n">
        <v>45851</v>
      </c>
      <c r="D97" t="inlineStr">
        <is>
          <t>DALARNAS LÄN</t>
        </is>
      </c>
      <c r="E97" t="inlineStr">
        <is>
          <t>SMEDJEBACKEN</t>
        </is>
      </c>
      <c r="G97" t="n">
        <v>8</v>
      </c>
      <c r="H97" t="n">
        <v>0</v>
      </c>
      <c r="I97" t="n">
        <v>0</v>
      </c>
      <c r="J97" t="n">
        <v>0</v>
      </c>
      <c r="K97" t="n">
        <v>0</v>
      </c>
      <c r="L97" t="n">
        <v>0</v>
      </c>
      <c r="M97" t="n">
        <v>0</v>
      </c>
      <c r="N97" t="n">
        <v>0</v>
      </c>
      <c r="O97" t="n">
        <v>0</v>
      </c>
      <c r="P97" t="n">
        <v>0</v>
      </c>
      <c r="Q97" t="n">
        <v>0</v>
      </c>
      <c r="R97" s="2" t="inlineStr"/>
    </row>
    <row r="98" ht="15" customHeight="1">
      <c r="A98" t="inlineStr">
        <is>
          <t>A 42201-2019</t>
        </is>
      </c>
      <c r="B98" s="1" t="n">
        <v>43703</v>
      </c>
      <c r="C98" s="1" t="n">
        <v>45851</v>
      </c>
      <c r="D98" t="inlineStr">
        <is>
          <t>DALARNAS LÄN</t>
        </is>
      </c>
      <c r="E98" t="inlineStr">
        <is>
          <t>SMEDJEBACKEN</t>
        </is>
      </c>
      <c r="G98" t="n">
        <v>5.4</v>
      </c>
      <c r="H98" t="n">
        <v>0</v>
      </c>
      <c r="I98" t="n">
        <v>0</v>
      </c>
      <c r="J98" t="n">
        <v>0</v>
      </c>
      <c r="K98" t="n">
        <v>0</v>
      </c>
      <c r="L98" t="n">
        <v>0</v>
      </c>
      <c r="M98" t="n">
        <v>0</v>
      </c>
      <c r="N98" t="n">
        <v>0</v>
      </c>
      <c r="O98" t="n">
        <v>0</v>
      </c>
      <c r="P98" t="n">
        <v>0</v>
      </c>
      <c r="Q98" t="n">
        <v>0</v>
      </c>
      <c r="R98" s="2" t="inlineStr"/>
    </row>
    <row r="99" ht="15" customHeight="1">
      <c r="A99" t="inlineStr">
        <is>
          <t>A 42684-2019</t>
        </is>
      </c>
      <c r="B99" s="1" t="n">
        <v>43703</v>
      </c>
      <c r="C99" s="1" t="n">
        <v>45851</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42576-2019</t>
        </is>
      </c>
      <c r="B100" s="1" t="n">
        <v>43704</v>
      </c>
      <c r="C100" s="1" t="n">
        <v>45851</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43510-2019</t>
        </is>
      </c>
      <c r="B101" s="1" t="n">
        <v>43706</v>
      </c>
      <c r="C101" s="1" t="n">
        <v>45851</v>
      </c>
      <c r="D101" t="inlineStr">
        <is>
          <t>DALARNAS LÄN</t>
        </is>
      </c>
      <c r="E101" t="inlineStr">
        <is>
          <t>SMEDJEBACKEN</t>
        </is>
      </c>
      <c r="G101" t="n">
        <v>1.9</v>
      </c>
      <c r="H101" t="n">
        <v>0</v>
      </c>
      <c r="I101" t="n">
        <v>0</v>
      </c>
      <c r="J101" t="n">
        <v>0</v>
      </c>
      <c r="K101" t="n">
        <v>0</v>
      </c>
      <c r="L101" t="n">
        <v>0</v>
      </c>
      <c r="M101" t="n">
        <v>0</v>
      </c>
      <c r="N101" t="n">
        <v>0</v>
      </c>
      <c r="O101" t="n">
        <v>0</v>
      </c>
      <c r="P101" t="n">
        <v>0</v>
      </c>
      <c r="Q101" t="n">
        <v>0</v>
      </c>
      <c r="R101" s="2" t="inlineStr"/>
    </row>
    <row r="102" ht="15" customHeight="1">
      <c r="A102" t="inlineStr">
        <is>
          <t>A 48238-2019</t>
        </is>
      </c>
      <c r="B102" s="1" t="n">
        <v>43726</v>
      </c>
      <c r="C102" s="1" t="n">
        <v>45851</v>
      </c>
      <c r="D102" t="inlineStr">
        <is>
          <t>DALARNAS LÄN</t>
        </is>
      </c>
      <c r="E102" t="inlineStr">
        <is>
          <t>SMEDJEBACKEN</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48251-2019</t>
        </is>
      </c>
      <c r="B103" s="1" t="n">
        <v>43726</v>
      </c>
      <c r="C103" s="1" t="n">
        <v>45851</v>
      </c>
      <c r="D103" t="inlineStr">
        <is>
          <t>DALARNAS LÄN</t>
        </is>
      </c>
      <c r="E103" t="inlineStr">
        <is>
          <t>SMEDJEBACKEN</t>
        </is>
      </c>
      <c r="G103" t="n">
        <v>5.7</v>
      </c>
      <c r="H103" t="n">
        <v>0</v>
      </c>
      <c r="I103" t="n">
        <v>0</v>
      </c>
      <c r="J103" t="n">
        <v>0</v>
      </c>
      <c r="K103" t="n">
        <v>0</v>
      </c>
      <c r="L103" t="n">
        <v>0</v>
      </c>
      <c r="M103" t="n">
        <v>0</v>
      </c>
      <c r="N103" t="n">
        <v>0</v>
      </c>
      <c r="O103" t="n">
        <v>0</v>
      </c>
      <c r="P103" t="n">
        <v>0</v>
      </c>
      <c r="Q103" t="n">
        <v>0</v>
      </c>
      <c r="R103" s="2" t="inlineStr"/>
    </row>
    <row r="104" ht="15" customHeight="1">
      <c r="A104" t="inlineStr">
        <is>
          <t>A 49122-2019</t>
        </is>
      </c>
      <c r="B104" s="1" t="n">
        <v>43731</v>
      </c>
      <c r="C104" s="1" t="n">
        <v>45851</v>
      </c>
      <c r="D104" t="inlineStr">
        <is>
          <t>DALARNAS LÄN</t>
        </is>
      </c>
      <c r="E104" t="inlineStr">
        <is>
          <t>SMEDJEBACKEN</t>
        </is>
      </c>
      <c r="G104" t="n">
        <v>1.6</v>
      </c>
      <c r="H104" t="n">
        <v>0</v>
      </c>
      <c r="I104" t="n">
        <v>0</v>
      </c>
      <c r="J104" t="n">
        <v>0</v>
      </c>
      <c r="K104" t="n">
        <v>0</v>
      </c>
      <c r="L104" t="n">
        <v>0</v>
      </c>
      <c r="M104" t="n">
        <v>0</v>
      </c>
      <c r="N104" t="n">
        <v>0</v>
      </c>
      <c r="O104" t="n">
        <v>0</v>
      </c>
      <c r="P104" t="n">
        <v>0</v>
      </c>
      <c r="Q104" t="n">
        <v>0</v>
      </c>
      <c r="R104" s="2" t="inlineStr"/>
    </row>
    <row r="105" ht="15" customHeight="1">
      <c r="A105" t="inlineStr">
        <is>
          <t>A 49303-2019</t>
        </is>
      </c>
      <c r="B105" s="1" t="n">
        <v>43731</v>
      </c>
      <c r="C105" s="1" t="n">
        <v>45851</v>
      </c>
      <c r="D105" t="inlineStr">
        <is>
          <t>DALARNAS LÄN</t>
        </is>
      </c>
      <c r="E105" t="inlineStr">
        <is>
          <t>SMEDJEBACKEN</t>
        </is>
      </c>
      <c r="G105" t="n">
        <v>2.3</v>
      </c>
      <c r="H105" t="n">
        <v>0</v>
      </c>
      <c r="I105" t="n">
        <v>0</v>
      </c>
      <c r="J105" t="n">
        <v>0</v>
      </c>
      <c r="K105" t="n">
        <v>0</v>
      </c>
      <c r="L105" t="n">
        <v>0</v>
      </c>
      <c r="M105" t="n">
        <v>0</v>
      </c>
      <c r="N105" t="n">
        <v>0</v>
      </c>
      <c r="O105" t="n">
        <v>0</v>
      </c>
      <c r="P105" t="n">
        <v>0</v>
      </c>
      <c r="Q105" t="n">
        <v>0</v>
      </c>
      <c r="R105" s="2" t="inlineStr"/>
    </row>
    <row r="106" ht="15" customHeight="1">
      <c r="A106" t="inlineStr">
        <is>
          <t>A 51146-2019</t>
        </is>
      </c>
      <c r="B106" s="1" t="n">
        <v>43732</v>
      </c>
      <c r="C106" s="1" t="n">
        <v>45851</v>
      </c>
      <c r="D106" t="inlineStr">
        <is>
          <t>DALARNAS LÄN</t>
        </is>
      </c>
      <c r="E106" t="inlineStr">
        <is>
          <t>SMEDJEBACKEN</t>
        </is>
      </c>
      <c r="G106" t="n">
        <v>3.8</v>
      </c>
      <c r="H106" t="n">
        <v>0</v>
      </c>
      <c r="I106" t="n">
        <v>0</v>
      </c>
      <c r="J106" t="n">
        <v>0</v>
      </c>
      <c r="K106" t="n">
        <v>0</v>
      </c>
      <c r="L106" t="n">
        <v>0</v>
      </c>
      <c r="M106" t="n">
        <v>0</v>
      </c>
      <c r="N106" t="n">
        <v>0</v>
      </c>
      <c r="O106" t="n">
        <v>0</v>
      </c>
      <c r="P106" t="n">
        <v>0</v>
      </c>
      <c r="Q106" t="n">
        <v>0</v>
      </c>
      <c r="R106" s="2" t="inlineStr"/>
    </row>
    <row r="107" ht="15" customHeight="1">
      <c r="A107" t="inlineStr">
        <is>
          <t>A 52834-2019</t>
        </is>
      </c>
      <c r="B107" s="1" t="n">
        <v>43739</v>
      </c>
      <c r="C107" s="1" t="n">
        <v>45851</v>
      </c>
      <c r="D107" t="inlineStr">
        <is>
          <t>DALARNAS LÄN</t>
        </is>
      </c>
      <c r="E107" t="inlineStr">
        <is>
          <t>SMEDJEBACKEN</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54239-2019</t>
        </is>
      </c>
      <c r="B108" s="1" t="n">
        <v>43745</v>
      </c>
      <c r="C108" s="1" t="n">
        <v>45851</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54273-2019</t>
        </is>
      </c>
      <c r="B109" s="1" t="n">
        <v>43745</v>
      </c>
      <c r="C109" s="1" t="n">
        <v>45851</v>
      </c>
      <c r="D109" t="inlineStr">
        <is>
          <t>DALARNAS LÄN</t>
        </is>
      </c>
      <c r="E109" t="inlineStr">
        <is>
          <t>SMEDJEBACKEN</t>
        </is>
      </c>
      <c r="F109" t="inlineStr">
        <is>
          <t>Bergvik skog väst AB</t>
        </is>
      </c>
      <c r="G109" t="n">
        <v>7.2</v>
      </c>
      <c r="H109" t="n">
        <v>0</v>
      </c>
      <c r="I109" t="n">
        <v>0</v>
      </c>
      <c r="J109" t="n">
        <v>0</v>
      </c>
      <c r="K109" t="n">
        <v>0</v>
      </c>
      <c r="L109" t="n">
        <v>0</v>
      </c>
      <c r="M109" t="n">
        <v>0</v>
      </c>
      <c r="N109" t="n">
        <v>0</v>
      </c>
      <c r="O109" t="n">
        <v>0</v>
      </c>
      <c r="P109" t="n">
        <v>0</v>
      </c>
      <c r="Q109" t="n">
        <v>0</v>
      </c>
      <c r="R109" s="2" t="inlineStr"/>
    </row>
    <row r="110" ht="15" customHeight="1">
      <c r="A110" t="inlineStr">
        <is>
          <t>A 54250-2019</t>
        </is>
      </c>
      <c r="B110" s="1" t="n">
        <v>43745</v>
      </c>
      <c r="C110" s="1" t="n">
        <v>45851</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55370-2019</t>
        </is>
      </c>
      <c r="B111" s="1" t="n">
        <v>43754</v>
      </c>
      <c r="C111" s="1" t="n">
        <v>45851</v>
      </c>
      <c r="D111" t="inlineStr">
        <is>
          <t>DALARNAS LÄN</t>
        </is>
      </c>
      <c r="E111" t="inlineStr">
        <is>
          <t>SMEDJEBACKEN</t>
        </is>
      </c>
      <c r="G111" t="n">
        <v>1.8</v>
      </c>
      <c r="H111" t="n">
        <v>0</v>
      </c>
      <c r="I111" t="n">
        <v>0</v>
      </c>
      <c r="J111" t="n">
        <v>0</v>
      </c>
      <c r="K111" t="n">
        <v>0</v>
      </c>
      <c r="L111" t="n">
        <v>0</v>
      </c>
      <c r="M111" t="n">
        <v>0</v>
      </c>
      <c r="N111" t="n">
        <v>0</v>
      </c>
      <c r="O111" t="n">
        <v>0</v>
      </c>
      <c r="P111" t="n">
        <v>0</v>
      </c>
      <c r="Q111" t="n">
        <v>0</v>
      </c>
      <c r="R111" s="2" t="inlineStr"/>
    </row>
    <row r="112" ht="15" customHeight="1">
      <c r="A112" t="inlineStr">
        <is>
          <t>A 54441-2019</t>
        </is>
      </c>
      <c r="B112" s="1" t="n">
        <v>43754</v>
      </c>
      <c r="C112" s="1" t="n">
        <v>45851</v>
      </c>
      <c r="D112" t="inlineStr">
        <is>
          <t>DALARNAS LÄN</t>
        </is>
      </c>
      <c r="E112" t="inlineStr">
        <is>
          <t>SMEDJEBACKEN</t>
        </is>
      </c>
      <c r="G112" t="n">
        <v>1.7</v>
      </c>
      <c r="H112" t="n">
        <v>0</v>
      </c>
      <c r="I112" t="n">
        <v>0</v>
      </c>
      <c r="J112" t="n">
        <v>0</v>
      </c>
      <c r="K112" t="n">
        <v>0</v>
      </c>
      <c r="L112" t="n">
        <v>0</v>
      </c>
      <c r="M112" t="n">
        <v>0</v>
      </c>
      <c r="N112" t="n">
        <v>0</v>
      </c>
      <c r="O112" t="n">
        <v>0</v>
      </c>
      <c r="P112" t="n">
        <v>0</v>
      </c>
      <c r="Q112" t="n">
        <v>0</v>
      </c>
      <c r="R112" s="2" t="inlineStr"/>
    </row>
    <row r="113" ht="15" customHeight="1">
      <c r="A113" t="inlineStr">
        <is>
          <t>A 55576-2019</t>
        </is>
      </c>
      <c r="B113" s="1" t="n">
        <v>43760</v>
      </c>
      <c r="C113" s="1" t="n">
        <v>45851</v>
      </c>
      <c r="D113" t="inlineStr">
        <is>
          <t>DALARNAS LÄN</t>
        </is>
      </c>
      <c r="E113" t="inlineStr">
        <is>
          <t>SMEDJEBACKEN</t>
        </is>
      </c>
      <c r="F113" t="inlineStr">
        <is>
          <t>Övriga Aktiebolag</t>
        </is>
      </c>
      <c r="G113" t="n">
        <v>5.2</v>
      </c>
      <c r="H113" t="n">
        <v>0</v>
      </c>
      <c r="I113" t="n">
        <v>0</v>
      </c>
      <c r="J113" t="n">
        <v>0</v>
      </c>
      <c r="K113" t="n">
        <v>0</v>
      </c>
      <c r="L113" t="n">
        <v>0</v>
      </c>
      <c r="M113" t="n">
        <v>0</v>
      </c>
      <c r="N113" t="n">
        <v>0</v>
      </c>
      <c r="O113" t="n">
        <v>0</v>
      </c>
      <c r="P113" t="n">
        <v>0</v>
      </c>
      <c r="Q113" t="n">
        <v>0</v>
      </c>
      <c r="R113" s="2" t="inlineStr"/>
    </row>
    <row r="114" ht="15" customHeight="1">
      <c r="A114" t="inlineStr">
        <is>
          <t>A 55633-2019</t>
        </is>
      </c>
      <c r="B114" s="1" t="n">
        <v>43760</v>
      </c>
      <c r="C114" s="1" t="n">
        <v>45851</v>
      </c>
      <c r="D114" t="inlineStr">
        <is>
          <t>DALARNAS LÄN</t>
        </is>
      </c>
      <c r="E114" t="inlineStr">
        <is>
          <t>SMEDJEBACKEN</t>
        </is>
      </c>
      <c r="G114" t="n">
        <v>0.8</v>
      </c>
      <c r="H114" t="n">
        <v>0</v>
      </c>
      <c r="I114" t="n">
        <v>0</v>
      </c>
      <c r="J114" t="n">
        <v>0</v>
      </c>
      <c r="K114" t="n">
        <v>0</v>
      </c>
      <c r="L114" t="n">
        <v>0</v>
      </c>
      <c r="M114" t="n">
        <v>0</v>
      </c>
      <c r="N114" t="n">
        <v>0</v>
      </c>
      <c r="O114" t="n">
        <v>0</v>
      </c>
      <c r="P114" t="n">
        <v>0</v>
      </c>
      <c r="Q114" t="n">
        <v>0</v>
      </c>
      <c r="R114" s="2" t="inlineStr"/>
    </row>
    <row r="115" ht="15" customHeight="1">
      <c r="A115" t="inlineStr">
        <is>
          <t>A 57067-2019</t>
        </is>
      </c>
      <c r="B115" s="1" t="n">
        <v>43766</v>
      </c>
      <c r="C115" s="1" t="n">
        <v>45851</v>
      </c>
      <c r="D115" t="inlineStr">
        <is>
          <t>DALARNAS LÄN</t>
        </is>
      </c>
      <c r="E115" t="inlineStr">
        <is>
          <t>SMEDJEBACKEN</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57357-2019</t>
        </is>
      </c>
      <c r="B116" s="1" t="n">
        <v>43767</v>
      </c>
      <c r="C116" s="1" t="n">
        <v>45851</v>
      </c>
      <c r="D116" t="inlineStr">
        <is>
          <t>DALARNAS LÄN</t>
        </is>
      </c>
      <c r="E116" t="inlineStr">
        <is>
          <t>SMEDJEBACKEN</t>
        </is>
      </c>
      <c r="G116" t="n">
        <v>5</v>
      </c>
      <c r="H116" t="n">
        <v>0</v>
      </c>
      <c r="I116" t="n">
        <v>0</v>
      </c>
      <c r="J116" t="n">
        <v>0</v>
      </c>
      <c r="K116" t="n">
        <v>0</v>
      </c>
      <c r="L116" t="n">
        <v>0</v>
      </c>
      <c r="M116" t="n">
        <v>0</v>
      </c>
      <c r="N116" t="n">
        <v>0</v>
      </c>
      <c r="O116" t="n">
        <v>0</v>
      </c>
      <c r="P116" t="n">
        <v>0</v>
      </c>
      <c r="Q116" t="n">
        <v>0</v>
      </c>
      <c r="R116" s="2" t="inlineStr"/>
    </row>
    <row r="117" ht="15" customHeight="1">
      <c r="A117" t="inlineStr">
        <is>
          <t>A 58674-2019</t>
        </is>
      </c>
      <c r="B117" s="1" t="n">
        <v>43773</v>
      </c>
      <c r="C117" s="1" t="n">
        <v>45851</v>
      </c>
      <c r="D117" t="inlineStr">
        <is>
          <t>DALARNAS LÄN</t>
        </is>
      </c>
      <c r="E117" t="inlineStr">
        <is>
          <t>SMEDJEBACKEN</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58603-2019</t>
        </is>
      </c>
      <c r="B118" s="1" t="n">
        <v>43773</v>
      </c>
      <c r="C118" s="1" t="n">
        <v>45851</v>
      </c>
      <c r="D118" t="inlineStr">
        <is>
          <t>DALARNAS LÄN</t>
        </is>
      </c>
      <c r="E118" t="inlineStr">
        <is>
          <t>SMEDJEBACKEN</t>
        </is>
      </c>
      <c r="G118" t="n">
        <v>6.2</v>
      </c>
      <c r="H118" t="n">
        <v>0</v>
      </c>
      <c r="I118" t="n">
        <v>0</v>
      </c>
      <c r="J118" t="n">
        <v>0</v>
      </c>
      <c r="K118" t="n">
        <v>0</v>
      </c>
      <c r="L118" t="n">
        <v>0</v>
      </c>
      <c r="M118" t="n">
        <v>0</v>
      </c>
      <c r="N118" t="n">
        <v>0</v>
      </c>
      <c r="O118" t="n">
        <v>0</v>
      </c>
      <c r="P118" t="n">
        <v>0</v>
      </c>
      <c r="Q118" t="n">
        <v>0</v>
      </c>
      <c r="R118" s="2" t="inlineStr"/>
    </row>
    <row r="119" ht="15" customHeight="1">
      <c r="A119" t="inlineStr">
        <is>
          <t>A 59267-2019</t>
        </is>
      </c>
      <c r="B119" s="1" t="n">
        <v>43775</v>
      </c>
      <c r="C119" s="1" t="n">
        <v>45851</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60095-2019</t>
        </is>
      </c>
      <c r="B120" s="1" t="n">
        <v>43777</v>
      </c>
      <c r="C120" s="1" t="n">
        <v>45851</v>
      </c>
      <c r="D120" t="inlineStr">
        <is>
          <t>DALARNAS LÄN</t>
        </is>
      </c>
      <c r="E120" t="inlineStr">
        <is>
          <t>SMEDJEBACKEN</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60148-2019</t>
        </is>
      </c>
      <c r="B121" s="1" t="n">
        <v>43779</v>
      </c>
      <c r="C121" s="1" t="n">
        <v>45851</v>
      </c>
      <c r="D121" t="inlineStr">
        <is>
          <t>DALARNAS LÄN</t>
        </is>
      </c>
      <c r="E121" t="inlineStr">
        <is>
          <t>SMEDJEBACKEN</t>
        </is>
      </c>
      <c r="G121" t="n">
        <v>2.5</v>
      </c>
      <c r="H121" t="n">
        <v>0</v>
      </c>
      <c r="I121" t="n">
        <v>0</v>
      </c>
      <c r="J121" t="n">
        <v>0</v>
      </c>
      <c r="K121" t="n">
        <v>0</v>
      </c>
      <c r="L121" t="n">
        <v>0</v>
      </c>
      <c r="M121" t="n">
        <v>0</v>
      </c>
      <c r="N121" t="n">
        <v>0</v>
      </c>
      <c r="O121" t="n">
        <v>0</v>
      </c>
      <c r="P121" t="n">
        <v>0</v>
      </c>
      <c r="Q121" t="n">
        <v>0</v>
      </c>
      <c r="R121" s="2" t="inlineStr"/>
    </row>
    <row r="122" ht="15" customHeight="1">
      <c r="A122" t="inlineStr">
        <is>
          <t>A 60421-2019</t>
        </is>
      </c>
      <c r="B122" s="1" t="n">
        <v>43780</v>
      </c>
      <c r="C122" s="1" t="n">
        <v>45851</v>
      </c>
      <c r="D122" t="inlineStr">
        <is>
          <t>DALARNAS LÄN</t>
        </is>
      </c>
      <c r="E122" t="inlineStr">
        <is>
          <t>SMEDJEBACKEN</t>
        </is>
      </c>
      <c r="G122" t="n">
        <v>3.1</v>
      </c>
      <c r="H122" t="n">
        <v>0</v>
      </c>
      <c r="I122" t="n">
        <v>0</v>
      </c>
      <c r="J122" t="n">
        <v>0</v>
      </c>
      <c r="K122" t="n">
        <v>0</v>
      </c>
      <c r="L122" t="n">
        <v>0</v>
      </c>
      <c r="M122" t="n">
        <v>0</v>
      </c>
      <c r="N122" t="n">
        <v>0</v>
      </c>
      <c r="O122" t="n">
        <v>0</v>
      </c>
      <c r="P122" t="n">
        <v>0</v>
      </c>
      <c r="Q122" t="n">
        <v>0</v>
      </c>
      <c r="R122" s="2" t="inlineStr"/>
    </row>
    <row r="123" ht="15" customHeight="1">
      <c r="A123" t="inlineStr">
        <is>
          <t>A 63796-2019</t>
        </is>
      </c>
      <c r="B123" s="1" t="n">
        <v>43795</v>
      </c>
      <c r="C123" s="1" t="n">
        <v>45851</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64705-2019</t>
        </is>
      </c>
      <c r="B124" s="1" t="n">
        <v>43798</v>
      </c>
      <c r="C124" s="1" t="n">
        <v>45851</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68938-2019</t>
        </is>
      </c>
      <c r="B125" s="1" t="n">
        <v>43822</v>
      </c>
      <c r="C125" s="1" t="n">
        <v>45851</v>
      </c>
      <c r="D125" t="inlineStr">
        <is>
          <t>DALARNAS LÄN</t>
        </is>
      </c>
      <c r="E125" t="inlineStr">
        <is>
          <t>SMEDJEBACKEN</t>
        </is>
      </c>
      <c r="G125" t="n">
        <v>1.5</v>
      </c>
      <c r="H125" t="n">
        <v>0</v>
      </c>
      <c r="I125" t="n">
        <v>0</v>
      </c>
      <c r="J125" t="n">
        <v>0</v>
      </c>
      <c r="K125" t="n">
        <v>0</v>
      </c>
      <c r="L125" t="n">
        <v>0</v>
      </c>
      <c r="M125" t="n">
        <v>0</v>
      </c>
      <c r="N125" t="n">
        <v>0</v>
      </c>
      <c r="O125" t="n">
        <v>0</v>
      </c>
      <c r="P125" t="n">
        <v>0</v>
      </c>
      <c r="Q125" t="n">
        <v>0</v>
      </c>
      <c r="R125" s="2" t="inlineStr"/>
    </row>
    <row r="126" ht="15" customHeight="1">
      <c r="A126" t="inlineStr">
        <is>
          <t>A 68937-2019</t>
        </is>
      </c>
      <c r="B126" s="1" t="n">
        <v>43822</v>
      </c>
      <c r="C126" s="1" t="n">
        <v>45851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1080-2020</t>
        </is>
      </c>
      <c r="B127" s="1" t="n">
        <v>43840</v>
      </c>
      <c r="C127" s="1" t="n">
        <v>45851</v>
      </c>
      <c r="D127" t="inlineStr">
        <is>
          <t>DALARNAS LÄN</t>
        </is>
      </c>
      <c r="E127" t="inlineStr">
        <is>
          <t>SMEDJEBACKEN</t>
        </is>
      </c>
      <c r="G127" t="n">
        <v>2.9</v>
      </c>
      <c r="H127" t="n">
        <v>0</v>
      </c>
      <c r="I127" t="n">
        <v>0</v>
      </c>
      <c r="J127" t="n">
        <v>0</v>
      </c>
      <c r="K127" t="n">
        <v>0</v>
      </c>
      <c r="L127" t="n">
        <v>0</v>
      </c>
      <c r="M127" t="n">
        <v>0</v>
      </c>
      <c r="N127" t="n">
        <v>0</v>
      </c>
      <c r="O127" t="n">
        <v>0</v>
      </c>
      <c r="P127" t="n">
        <v>0</v>
      </c>
      <c r="Q127" t="n">
        <v>0</v>
      </c>
      <c r="R127" s="2" t="inlineStr"/>
    </row>
    <row r="128" ht="15" customHeight="1">
      <c r="A128" t="inlineStr">
        <is>
          <t>A 2333-2020</t>
        </is>
      </c>
      <c r="B128" s="1" t="n">
        <v>43840</v>
      </c>
      <c r="C128" s="1" t="n">
        <v>45851</v>
      </c>
      <c r="D128" t="inlineStr">
        <is>
          <t>DALARNAS LÄN</t>
        </is>
      </c>
      <c r="E128" t="inlineStr">
        <is>
          <t>SMEDJEBACKEN</t>
        </is>
      </c>
      <c r="G128" t="n">
        <v>4.5</v>
      </c>
      <c r="H128" t="n">
        <v>0</v>
      </c>
      <c r="I128" t="n">
        <v>0</v>
      </c>
      <c r="J128" t="n">
        <v>0</v>
      </c>
      <c r="K128" t="n">
        <v>0</v>
      </c>
      <c r="L128" t="n">
        <v>0</v>
      </c>
      <c r="M128" t="n">
        <v>0</v>
      </c>
      <c r="N128" t="n">
        <v>0</v>
      </c>
      <c r="O128" t="n">
        <v>0</v>
      </c>
      <c r="P128" t="n">
        <v>0</v>
      </c>
      <c r="Q128" t="n">
        <v>0</v>
      </c>
      <c r="R128" s="2" t="inlineStr"/>
    </row>
    <row r="129" ht="15" customHeight="1">
      <c r="A129" t="inlineStr">
        <is>
          <t>A 1119-2020</t>
        </is>
      </c>
      <c r="B129" s="1" t="n">
        <v>43840</v>
      </c>
      <c r="C129" s="1" t="n">
        <v>45851</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1287-2020</t>
        </is>
      </c>
      <c r="B130" s="1" t="n">
        <v>43842</v>
      </c>
      <c r="C130" s="1" t="n">
        <v>45851</v>
      </c>
      <c r="D130" t="inlineStr">
        <is>
          <t>DALARNAS LÄN</t>
        </is>
      </c>
      <c r="E130" t="inlineStr">
        <is>
          <t>SMEDJEBACKEN</t>
        </is>
      </c>
      <c r="G130" t="n">
        <v>1.3</v>
      </c>
      <c r="H130" t="n">
        <v>0</v>
      </c>
      <c r="I130" t="n">
        <v>0</v>
      </c>
      <c r="J130" t="n">
        <v>0</v>
      </c>
      <c r="K130" t="n">
        <v>0</v>
      </c>
      <c r="L130" t="n">
        <v>0</v>
      </c>
      <c r="M130" t="n">
        <v>0</v>
      </c>
      <c r="N130" t="n">
        <v>0</v>
      </c>
      <c r="O130" t="n">
        <v>0</v>
      </c>
      <c r="P130" t="n">
        <v>0</v>
      </c>
      <c r="Q130" t="n">
        <v>0</v>
      </c>
      <c r="R130" s="2" t="inlineStr"/>
    </row>
    <row r="131" ht="15" customHeight="1">
      <c r="A131" t="inlineStr">
        <is>
          <t>A 1470-2020</t>
        </is>
      </c>
      <c r="B131" s="1" t="n">
        <v>43843</v>
      </c>
      <c r="C131" s="1" t="n">
        <v>45851</v>
      </c>
      <c r="D131" t="inlineStr">
        <is>
          <t>DALARNAS LÄN</t>
        </is>
      </c>
      <c r="E131" t="inlineStr">
        <is>
          <t>SMEDJEBACKEN</t>
        </is>
      </c>
      <c r="G131" t="n">
        <v>4</v>
      </c>
      <c r="H131" t="n">
        <v>0</v>
      </c>
      <c r="I131" t="n">
        <v>0</v>
      </c>
      <c r="J131" t="n">
        <v>0</v>
      </c>
      <c r="K131" t="n">
        <v>0</v>
      </c>
      <c r="L131" t="n">
        <v>0</v>
      </c>
      <c r="M131" t="n">
        <v>0</v>
      </c>
      <c r="N131" t="n">
        <v>0</v>
      </c>
      <c r="O131" t="n">
        <v>0</v>
      </c>
      <c r="P131" t="n">
        <v>0</v>
      </c>
      <c r="Q131" t="n">
        <v>0</v>
      </c>
      <c r="R131" s="2" t="inlineStr"/>
    </row>
    <row r="132" ht="15" customHeight="1">
      <c r="A132" t="inlineStr">
        <is>
          <t>A 1466-2020</t>
        </is>
      </c>
      <c r="B132" s="1" t="n">
        <v>43843</v>
      </c>
      <c r="C132" s="1" t="n">
        <v>45851</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2044-2020</t>
        </is>
      </c>
      <c r="B133" s="1" t="n">
        <v>43845</v>
      </c>
      <c r="C133" s="1" t="n">
        <v>45851</v>
      </c>
      <c r="D133" t="inlineStr">
        <is>
          <t>DALARNAS LÄN</t>
        </is>
      </c>
      <c r="E133" t="inlineStr">
        <is>
          <t>SMEDJEBACKEN</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4046-2020</t>
        </is>
      </c>
      <c r="B134" s="1" t="n">
        <v>43846</v>
      </c>
      <c r="C134" s="1" t="n">
        <v>45851</v>
      </c>
      <c r="D134" t="inlineStr">
        <is>
          <t>DALARNAS LÄN</t>
        </is>
      </c>
      <c r="E134" t="inlineStr">
        <is>
          <t>SMEDJEBACKEN</t>
        </is>
      </c>
      <c r="G134" t="n">
        <v>0.8</v>
      </c>
      <c r="H134" t="n">
        <v>0</v>
      </c>
      <c r="I134" t="n">
        <v>0</v>
      </c>
      <c r="J134" t="n">
        <v>0</v>
      </c>
      <c r="K134" t="n">
        <v>0</v>
      </c>
      <c r="L134" t="n">
        <v>0</v>
      </c>
      <c r="M134" t="n">
        <v>0</v>
      </c>
      <c r="N134" t="n">
        <v>0</v>
      </c>
      <c r="O134" t="n">
        <v>0</v>
      </c>
      <c r="P134" t="n">
        <v>0</v>
      </c>
      <c r="Q134" t="n">
        <v>0</v>
      </c>
      <c r="R134" s="2" t="inlineStr"/>
    </row>
    <row r="135" ht="15" customHeight="1">
      <c r="A135" t="inlineStr">
        <is>
          <t>A 2989-2020</t>
        </is>
      </c>
      <c r="B135" s="1" t="n">
        <v>43850</v>
      </c>
      <c r="C135" s="1" t="n">
        <v>45851</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3219-2020</t>
        </is>
      </c>
      <c r="B136" s="1" t="n">
        <v>43851</v>
      </c>
      <c r="C136" s="1" t="n">
        <v>45851</v>
      </c>
      <c r="D136" t="inlineStr">
        <is>
          <t>DALARNAS LÄN</t>
        </is>
      </c>
      <c r="E136" t="inlineStr">
        <is>
          <t>SMEDJEBACKEN</t>
        </is>
      </c>
      <c r="G136" t="n">
        <v>7.2</v>
      </c>
      <c r="H136" t="n">
        <v>0</v>
      </c>
      <c r="I136" t="n">
        <v>0</v>
      </c>
      <c r="J136" t="n">
        <v>0</v>
      </c>
      <c r="K136" t="n">
        <v>0</v>
      </c>
      <c r="L136" t="n">
        <v>0</v>
      </c>
      <c r="M136" t="n">
        <v>0</v>
      </c>
      <c r="N136" t="n">
        <v>0</v>
      </c>
      <c r="O136" t="n">
        <v>0</v>
      </c>
      <c r="P136" t="n">
        <v>0</v>
      </c>
      <c r="Q136" t="n">
        <v>0</v>
      </c>
      <c r="R136" s="2" t="inlineStr"/>
    </row>
    <row r="137" ht="15" customHeight="1">
      <c r="A137" t="inlineStr">
        <is>
          <t>A 3601-2020</t>
        </is>
      </c>
      <c r="B137" s="1" t="n">
        <v>43853</v>
      </c>
      <c r="C137" s="1" t="n">
        <v>45851</v>
      </c>
      <c r="D137" t="inlineStr">
        <is>
          <t>DALARNAS LÄN</t>
        </is>
      </c>
      <c r="E137" t="inlineStr">
        <is>
          <t>SMEDJEBACKEN</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5227-2020</t>
        </is>
      </c>
      <c r="B138" s="1" t="n">
        <v>43854</v>
      </c>
      <c r="C138" s="1" t="n">
        <v>45851</v>
      </c>
      <c r="D138" t="inlineStr">
        <is>
          <t>DALARNAS LÄN</t>
        </is>
      </c>
      <c r="E138" t="inlineStr">
        <is>
          <t>SMEDJEBACKEN</t>
        </is>
      </c>
      <c r="G138" t="n">
        <v>1.6</v>
      </c>
      <c r="H138" t="n">
        <v>0</v>
      </c>
      <c r="I138" t="n">
        <v>0</v>
      </c>
      <c r="J138" t="n">
        <v>0</v>
      </c>
      <c r="K138" t="n">
        <v>0</v>
      </c>
      <c r="L138" t="n">
        <v>0</v>
      </c>
      <c r="M138" t="n">
        <v>0</v>
      </c>
      <c r="N138" t="n">
        <v>0</v>
      </c>
      <c r="O138" t="n">
        <v>0</v>
      </c>
      <c r="P138" t="n">
        <v>0</v>
      </c>
      <c r="Q138" t="n">
        <v>0</v>
      </c>
      <c r="R138" s="2" t="inlineStr"/>
    </row>
    <row r="139" ht="15" customHeight="1">
      <c r="A139" t="inlineStr">
        <is>
          <t>A 5959-2020</t>
        </is>
      </c>
      <c r="B139" s="1" t="n">
        <v>43864</v>
      </c>
      <c r="C139" s="1" t="n">
        <v>45851</v>
      </c>
      <c r="D139" t="inlineStr">
        <is>
          <t>DALARNAS LÄN</t>
        </is>
      </c>
      <c r="E139" t="inlineStr">
        <is>
          <t>SMEDJEBACKEN</t>
        </is>
      </c>
      <c r="G139" t="n">
        <v>2.2</v>
      </c>
      <c r="H139" t="n">
        <v>0</v>
      </c>
      <c r="I139" t="n">
        <v>0</v>
      </c>
      <c r="J139" t="n">
        <v>0</v>
      </c>
      <c r="K139" t="n">
        <v>0</v>
      </c>
      <c r="L139" t="n">
        <v>0</v>
      </c>
      <c r="M139" t="n">
        <v>0</v>
      </c>
      <c r="N139" t="n">
        <v>0</v>
      </c>
      <c r="O139" t="n">
        <v>0</v>
      </c>
      <c r="P139" t="n">
        <v>0</v>
      </c>
      <c r="Q139" t="n">
        <v>0</v>
      </c>
      <c r="R139" s="2" t="inlineStr"/>
    </row>
    <row r="140" ht="15" customHeight="1">
      <c r="A140" t="inlineStr">
        <is>
          <t>A 6312-2020</t>
        </is>
      </c>
      <c r="B140" s="1" t="n">
        <v>43866</v>
      </c>
      <c r="C140" s="1" t="n">
        <v>45851</v>
      </c>
      <c r="D140" t="inlineStr">
        <is>
          <t>DALARNAS LÄN</t>
        </is>
      </c>
      <c r="E140" t="inlineStr">
        <is>
          <t>SMEDJEBACKEN</t>
        </is>
      </c>
      <c r="G140" t="n">
        <v>6.7</v>
      </c>
      <c r="H140" t="n">
        <v>0</v>
      </c>
      <c r="I140" t="n">
        <v>0</v>
      </c>
      <c r="J140" t="n">
        <v>0</v>
      </c>
      <c r="K140" t="n">
        <v>0</v>
      </c>
      <c r="L140" t="n">
        <v>0</v>
      </c>
      <c r="M140" t="n">
        <v>0</v>
      </c>
      <c r="N140" t="n">
        <v>0</v>
      </c>
      <c r="O140" t="n">
        <v>0</v>
      </c>
      <c r="P140" t="n">
        <v>0</v>
      </c>
      <c r="Q140" t="n">
        <v>0</v>
      </c>
      <c r="R140" s="2" t="inlineStr"/>
    </row>
    <row r="141" ht="15" customHeight="1">
      <c r="A141" t="inlineStr">
        <is>
          <t>A 7721-2020</t>
        </is>
      </c>
      <c r="B141" s="1" t="n">
        <v>43872</v>
      </c>
      <c r="C141" s="1" t="n">
        <v>45851</v>
      </c>
      <c r="D141" t="inlineStr">
        <is>
          <t>DALARNAS LÄN</t>
        </is>
      </c>
      <c r="E141" t="inlineStr">
        <is>
          <t>SMEDJEBACKEN</t>
        </is>
      </c>
      <c r="G141" t="n">
        <v>1</v>
      </c>
      <c r="H141" t="n">
        <v>0</v>
      </c>
      <c r="I141" t="n">
        <v>0</v>
      </c>
      <c r="J141" t="n">
        <v>0</v>
      </c>
      <c r="K141" t="n">
        <v>0</v>
      </c>
      <c r="L141" t="n">
        <v>0</v>
      </c>
      <c r="M141" t="n">
        <v>0</v>
      </c>
      <c r="N141" t="n">
        <v>0</v>
      </c>
      <c r="O141" t="n">
        <v>0</v>
      </c>
      <c r="P141" t="n">
        <v>0</v>
      </c>
      <c r="Q141" t="n">
        <v>0</v>
      </c>
      <c r="R141" s="2" t="inlineStr"/>
    </row>
    <row r="142" ht="15" customHeight="1">
      <c r="A142" t="inlineStr">
        <is>
          <t>A 9950-2020</t>
        </is>
      </c>
      <c r="B142" s="1" t="n">
        <v>43882</v>
      </c>
      <c r="C142" s="1" t="n">
        <v>45851</v>
      </c>
      <c r="D142" t="inlineStr">
        <is>
          <t>DALARNAS LÄN</t>
        </is>
      </c>
      <c r="E142" t="inlineStr">
        <is>
          <t>SMEDJEBACKEN</t>
        </is>
      </c>
      <c r="G142" t="n">
        <v>3.4</v>
      </c>
      <c r="H142" t="n">
        <v>0</v>
      </c>
      <c r="I142" t="n">
        <v>0</v>
      </c>
      <c r="J142" t="n">
        <v>0</v>
      </c>
      <c r="K142" t="n">
        <v>0</v>
      </c>
      <c r="L142" t="n">
        <v>0</v>
      </c>
      <c r="M142" t="n">
        <v>0</v>
      </c>
      <c r="N142" t="n">
        <v>0</v>
      </c>
      <c r="O142" t="n">
        <v>0</v>
      </c>
      <c r="P142" t="n">
        <v>0</v>
      </c>
      <c r="Q142" t="n">
        <v>0</v>
      </c>
      <c r="R142" s="2" t="inlineStr"/>
    </row>
    <row r="143" ht="15" customHeight="1">
      <c r="A143" t="inlineStr">
        <is>
          <t>A 10716-2020</t>
        </is>
      </c>
      <c r="B143" s="1" t="n">
        <v>43885</v>
      </c>
      <c r="C143" s="1" t="n">
        <v>45851</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11304-2020</t>
        </is>
      </c>
      <c r="B144" s="1" t="n">
        <v>43886</v>
      </c>
      <c r="C144" s="1" t="n">
        <v>45851</v>
      </c>
      <c r="D144" t="inlineStr">
        <is>
          <t>DALARNAS LÄN</t>
        </is>
      </c>
      <c r="E144" t="inlineStr">
        <is>
          <t>SMEDJEBACKEN</t>
        </is>
      </c>
      <c r="G144" t="n">
        <v>1.8</v>
      </c>
      <c r="H144" t="n">
        <v>0</v>
      </c>
      <c r="I144" t="n">
        <v>0</v>
      </c>
      <c r="J144" t="n">
        <v>0</v>
      </c>
      <c r="K144" t="n">
        <v>0</v>
      </c>
      <c r="L144" t="n">
        <v>0</v>
      </c>
      <c r="M144" t="n">
        <v>0</v>
      </c>
      <c r="N144" t="n">
        <v>0</v>
      </c>
      <c r="O144" t="n">
        <v>0</v>
      </c>
      <c r="P144" t="n">
        <v>0</v>
      </c>
      <c r="Q144" t="n">
        <v>0</v>
      </c>
      <c r="R144" s="2" t="inlineStr"/>
    </row>
    <row r="145" ht="15" customHeight="1">
      <c r="A145" t="inlineStr">
        <is>
          <t>A 10582-2020</t>
        </is>
      </c>
      <c r="B145" s="1" t="n">
        <v>43887</v>
      </c>
      <c r="C145" s="1" t="n">
        <v>45851</v>
      </c>
      <c r="D145" t="inlineStr">
        <is>
          <t>DALARNAS LÄN</t>
        </is>
      </c>
      <c r="E145" t="inlineStr">
        <is>
          <t>SMEDJEBACKEN</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10104-2020</t>
        </is>
      </c>
      <c r="B146" s="1" t="n">
        <v>43887</v>
      </c>
      <c r="C146" s="1" t="n">
        <v>45851</v>
      </c>
      <c r="D146" t="inlineStr">
        <is>
          <t>DALARNAS LÄN</t>
        </is>
      </c>
      <c r="E146" t="inlineStr">
        <is>
          <t>SMEDJEBACKEN</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10605-2020</t>
        </is>
      </c>
      <c r="B147" s="1" t="n">
        <v>43887</v>
      </c>
      <c r="C147" s="1" t="n">
        <v>45851</v>
      </c>
      <c r="D147" t="inlineStr">
        <is>
          <t>DALARNAS LÄN</t>
        </is>
      </c>
      <c r="E147" t="inlineStr">
        <is>
          <t>SMEDJEBACKEN</t>
        </is>
      </c>
      <c r="G147" t="n">
        <v>0.6</v>
      </c>
      <c r="H147" t="n">
        <v>0</v>
      </c>
      <c r="I147" t="n">
        <v>0</v>
      </c>
      <c r="J147" t="n">
        <v>0</v>
      </c>
      <c r="K147" t="n">
        <v>0</v>
      </c>
      <c r="L147" t="n">
        <v>0</v>
      </c>
      <c r="M147" t="n">
        <v>0</v>
      </c>
      <c r="N147" t="n">
        <v>0</v>
      </c>
      <c r="O147" t="n">
        <v>0</v>
      </c>
      <c r="P147" t="n">
        <v>0</v>
      </c>
      <c r="Q147" t="n">
        <v>0</v>
      </c>
      <c r="R147" s="2" t="inlineStr"/>
    </row>
    <row r="148" ht="15" customHeight="1">
      <c r="A148" t="inlineStr">
        <is>
          <t>A 10562-2020</t>
        </is>
      </c>
      <c r="B148" s="1" t="n">
        <v>43887</v>
      </c>
      <c r="C148" s="1" t="n">
        <v>45851</v>
      </c>
      <c r="D148" t="inlineStr">
        <is>
          <t>DALARNAS LÄN</t>
        </is>
      </c>
      <c r="E148" t="inlineStr">
        <is>
          <t>SMEDJEBACKEN</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10772-2020</t>
        </is>
      </c>
      <c r="B149" s="1" t="n">
        <v>43888</v>
      </c>
      <c r="C149" s="1" t="n">
        <v>45851</v>
      </c>
      <c r="D149" t="inlineStr">
        <is>
          <t>DALARNAS LÄN</t>
        </is>
      </c>
      <c r="E149" t="inlineStr">
        <is>
          <t>SMEDJEBACKEN</t>
        </is>
      </c>
      <c r="F149" t="inlineStr">
        <is>
          <t>Övriga Aktiebolag</t>
        </is>
      </c>
      <c r="G149" t="n">
        <v>1.9</v>
      </c>
      <c r="H149" t="n">
        <v>0</v>
      </c>
      <c r="I149" t="n">
        <v>0</v>
      </c>
      <c r="J149" t="n">
        <v>0</v>
      </c>
      <c r="K149" t="n">
        <v>0</v>
      </c>
      <c r="L149" t="n">
        <v>0</v>
      </c>
      <c r="M149" t="n">
        <v>0</v>
      </c>
      <c r="N149" t="n">
        <v>0</v>
      </c>
      <c r="O149" t="n">
        <v>0</v>
      </c>
      <c r="P149" t="n">
        <v>0</v>
      </c>
      <c r="Q149" t="n">
        <v>0</v>
      </c>
      <c r="R149" s="2" t="inlineStr"/>
    </row>
    <row r="150" ht="15" customHeight="1">
      <c r="A150" t="inlineStr">
        <is>
          <t>A 12381-2020</t>
        </is>
      </c>
      <c r="B150" s="1" t="n">
        <v>43896</v>
      </c>
      <c r="C150" s="1" t="n">
        <v>45851</v>
      </c>
      <c r="D150" t="inlineStr">
        <is>
          <t>DALARNAS LÄN</t>
        </is>
      </c>
      <c r="E150" t="inlineStr">
        <is>
          <t>SMEDJEBACKEN</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14636-2020</t>
        </is>
      </c>
      <c r="B151" s="1" t="n">
        <v>43902</v>
      </c>
      <c r="C151" s="1" t="n">
        <v>45851</v>
      </c>
      <c r="D151" t="inlineStr">
        <is>
          <t>DALARNAS LÄN</t>
        </is>
      </c>
      <c r="E151" t="inlineStr">
        <is>
          <t>SMEDJEBACKEN</t>
        </is>
      </c>
      <c r="G151" t="n">
        <v>9.6</v>
      </c>
      <c r="H151" t="n">
        <v>0</v>
      </c>
      <c r="I151" t="n">
        <v>0</v>
      </c>
      <c r="J151" t="n">
        <v>0</v>
      </c>
      <c r="K151" t="n">
        <v>0</v>
      </c>
      <c r="L151" t="n">
        <v>0</v>
      </c>
      <c r="M151" t="n">
        <v>0</v>
      </c>
      <c r="N151" t="n">
        <v>0</v>
      </c>
      <c r="O151" t="n">
        <v>0</v>
      </c>
      <c r="P151" t="n">
        <v>0</v>
      </c>
      <c r="Q151" t="n">
        <v>0</v>
      </c>
      <c r="R151" s="2" t="inlineStr"/>
    </row>
    <row r="152" ht="15" customHeight="1">
      <c r="A152" t="inlineStr">
        <is>
          <t>A 15772-2020</t>
        </is>
      </c>
      <c r="B152" s="1" t="n">
        <v>43915</v>
      </c>
      <c r="C152" s="1" t="n">
        <v>45851</v>
      </c>
      <c r="D152" t="inlineStr">
        <is>
          <t>DALARNAS LÄN</t>
        </is>
      </c>
      <c r="E152" t="inlineStr">
        <is>
          <t>SMEDJEBACKEN</t>
        </is>
      </c>
      <c r="G152" t="n">
        <v>1.2</v>
      </c>
      <c r="H152" t="n">
        <v>0</v>
      </c>
      <c r="I152" t="n">
        <v>0</v>
      </c>
      <c r="J152" t="n">
        <v>0</v>
      </c>
      <c r="K152" t="n">
        <v>0</v>
      </c>
      <c r="L152" t="n">
        <v>0</v>
      </c>
      <c r="M152" t="n">
        <v>0</v>
      </c>
      <c r="N152" t="n">
        <v>0</v>
      </c>
      <c r="O152" t="n">
        <v>0</v>
      </c>
      <c r="P152" t="n">
        <v>0</v>
      </c>
      <c r="Q152" t="n">
        <v>0</v>
      </c>
      <c r="R152" s="2" t="inlineStr"/>
    </row>
    <row r="153" ht="15" customHeight="1">
      <c r="A153" t="inlineStr">
        <is>
          <t>A 15668-2020</t>
        </is>
      </c>
      <c r="B153" s="1" t="n">
        <v>43915</v>
      </c>
      <c r="C153" s="1" t="n">
        <v>45851</v>
      </c>
      <c r="D153" t="inlineStr">
        <is>
          <t>DALARNAS LÄN</t>
        </is>
      </c>
      <c r="E153" t="inlineStr">
        <is>
          <t>SMEDJEBACKEN</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16415-2020</t>
        </is>
      </c>
      <c r="B154" s="1" t="n">
        <v>43919</v>
      </c>
      <c r="C154" s="1" t="n">
        <v>45851</v>
      </c>
      <c r="D154" t="inlineStr">
        <is>
          <t>DALARNAS LÄN</t>
        </is>
      </c>
      <c r="E154" t="inlineStr">
        <is>
          <t>SMEDJEBACKEN</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16614-2020</t>
        </is>
      </c>
      <c r="B155" s="1" t="n">
        <v>43920</v>
      </c>
      <c r="C155" s="1" t="n">
        <v>45851</v>
      </c>
      <c r="D155" t="inlineStr">
        <is>
          <t>DALARNAS LÄN</t>
        </is>
      </c>
      <c r="E155" t="inlineStr">
        <is>
          <t>SMEDJEBACKEN</t>
        </is>
      </c>
      <c r="F155" t="inlineStr">
        <is>
          <t>Övriga Aktiebolag</t>
        </is>
      </c>
      <c r="G155" t="n">
        <v>7.7</v>
      </c>
      <c r="H155" t="n">
        <v>0</v>
      </c>
      <c r="I155" t="n">
        <v>0</v>
      </c>
      <c r="J155" t="n">
        <v>0</v>
      </c>
      <c r="K155" t="n">
        <v>0</v>
      </c>
      <c r="L155" t="n">
        <v>0</v>
      </c>
      <c r="M155" t="n">
        <v>0</v>
      </c>
      <c r="N155" t="n">
        <v>0</v>
      </c>
      <c r="O155" t="n">
        <v>0</v>
      </c>
      <c r="P155" t="n">
        <v>0</v>
      </c>
      <c r="Q155" t="n">
        <v>0</v>
      </c>
      <c r="R155" s="2" t="inlineStr"/>
    </row>
    <row r="156" ht="15" customHeight="1">
      <c r="A156" t="inlineStr">
        <is>
          <t>A 16861-2020</t>
        </is>
      </c>
      <c r="B156" s="1" t="n">
        <v>43921</v>
      </c>
      <c r="C156" s="1" t="n">
        <v>45851</v>
      </c>
      <c r="D156" t="inlineStr">
        <is>
          <t>DALARNAS LÄN</t>
        </is>
      </c>
      <c r="E156" t="inlineStr">
        <is>
          <t>SMEDJEBACKEN</t>
        </is>
      </c>
      <c r="F156" t="inlineStr">
        <is>
          <t>Övriga Aktiebolag</t>
        </is>
      </c>
      <c r="G156" t="n">
        <v>3.6</v>
      </c>
      <c r="H156" t="n">
        <v>0</v>
      </c>
      <c r="I156" t="n">
        <v>0</v>
      </c>
      <c r="J156" t="n">
        <v>0</v>
      </c>
      <c r="K156" t="n">
        <v>0</v>
      </c>
      <c r="L156" t="n">
        <v>0</v>
      </c>
      <c r="M156" t="n">
        <v>0</v>
      </c>
      <c r="N156" t="n">
        <v>0</v>
      </c>
      <c r="O156" t="n">
        <v>0</v>
      </c>
      <c r="P156" t="n">
        <v>0</v>
      </c>
      <c r="Q156" t="n">
        <v>0</v>
      </c>
      <c r="R156" s="2" t="inlineStr"/>
    </row>
    <row r="157" ht="15" customHeight="1">
      <c r="A157" t="inlineStr">
        <is>
          <t>A 17031-2020</t>
        </is>
      </c>
      <c r="B157" s="1" t="n">
        <v>43921</v>
      </c>
      <c r="C157" s="1" t="n">
        <v>45851</v>
      </c>
      <c r="D157" t="inlineStr">
        <is>
          <t>DALARNAS LÄN</t>
        </is>
      </c>
      <c r="E157" t="inlineStr">
        <is>
          <t>SMEDJEBACKEN</t>
        </is>
      </c>
      <c r="G157" t="n">
        <v>0.8</v>
      </c>
      <c r="H157" t="n">
        <v>0</v>
      </c>
      <c r="I157" t="n">
        <v>0</v>
      </c>
      <c r="J157" t="n">
        <v>0</v>
      </c>
      <c r="K157" t="n">
        <v>0</v>
      </c>
      <c r="L157" t="n">
        <v>0</v>
      </c>
      <c r="M157" t="n">
        <v>0</v>
      </c>
      <c r="N157" t="n">
        <v>0</v>
      </c>
      <c r="O157" t="n">
        <v>0</v>
      </c>
      <c r="P157" t="n">
        <v>0</v>
      </c>
      <c r="Q157" t="n">
        <v>0</v>
      </c>
      <c r="R157" s="2" t="inlineStr"/>
    </row>
    <row r="158" ht="15" customHeight="1">
      <c r="A158" t="inlineStr">
        <is>
          <t>A 18065-2020</t>
        </is>
      </c>
      <c r="B158" s="1" t="n">
        <v>43927</v>
      </c>
      <c r="C158" s="1" t="n">
        <v>45851</v>
      </c>
      <c r="D158" t="inlineStr">
        <is>
          <t>DALARNAS LÄN</t>
        </is>
      </c>
      <c r="E158" t="inlineStr">
        <is>
          <t>SMEDJEBACKEN</t>
        </is>
      </c>
      <c r="G158" t="n">
        <v>2.6</v>
      </c>
      <c r="H158" t="n">
        <v>0</v>
      </c>
      <c r="I158" t="n">
        <v>0</v>
      </c>
      <c r="J158" t="n">
        <v>0</v>
      </c>
      <c r="K158" t="n">
        <v>0</v>
      </c>
      <c r="L158" t="n">
        <v>0</v>
      </c>
      <c r="M158" t="n">
        <v>0</v>
      </c>
      <c r="N158" t="n">
        <v>0</v>
      </c>
      <c r="O158" t="n">
        <v>0</v>
      </c>
      <c r="P158" t="n">
        <v>0</v>
      </c>
      <c r="Q158" t="n">
        <v>0</v>
      </c>
      <c r="R158" s="2" t="inlineStr"/>
    </row>
    <row r="159" ht="15" customHeight="1">
      <c r="A159" t="inlineStr">
        <is>
          <t>A 18068-2020</t>
        </is>
      </c>
      <c r="B159" s="1" t="n">
        <v>43927</v>
      </c>
      <c r="C159" s="1" t="n">
        <v>45851</v>
      </c>
      <c r="D159" t="inlineStr">
        <is>
          <t>DALARNAS LÄN</t>
        </is>
      </c>
      <c r="E159" t="inlineStr">
        <is>
          <t>SMEDJEBACKEN</t>
        </is>
      </c>
      <c r="G159" t="n">
        <v>3.5</v>
      </c>
      <c r="H159" t="n">
        <v>0</v>
      </c>
      <c r="I159" t="n">
        <v>0</v>
      </c>
      <c r="J159" t="n">
        <v>0</v>
      </c>
      <c r="K159" t="n">
        <v>0</v>
      </c>
      <c r="L159" t="n">
        <v>0</v>
      </c>
      <c r="M159" t="n">
        <v>0</v>
      </c>
      <c r="N159" t="n">
        <v>0</v>
      </c>
      <c r="O159" t="n">
        <v>0</v>
      </c>
      <c r="P159" t="n">
        <v>0</v>
      </c>
      <c r="Q159" t="n">
        <v>0</v>
      </c>
      <c r="R159" s="2" t="inlineStr"/>
    </row>
    <row r="160" ht="15" customHeight="1">
      <c r="A160" t="inlineStr">
        <is>
          <t>A 18500-2020</t>
        </is>
      </c>
      <c r="B160" s="1" t="n">
        <v>43929</v>
      </c>
      <c r="C160" s="1" t="n">
        <v>45851</v>
      </c>
      <c r="D160" t="inlineStr">
        <is>
          <t>DALARNAS LÄN</t>
        </is>
      </c>
      <c r="E160" t="inlineStr">
        <is>
          <t>SMEDJEBACKEN</t>
        </is>
      </c>
      <c r="G160" t="n">
        <v>4.3</v>
      </c>
      <c r="H160" t="n">
        <v>0</v>
      </c>
      <c r="I160" t="n">
        <v>0</v>
      </c>
      <c r="J160" t="n">
        <v>0</v>
      </c>
      <c r="K160" t="n">
        <v>0</v>
      </c>
      <c r="L160" t="n">
        <v>0</v>
      </c>
      <c r="M160" t="n">
        <v>0</v>
      </c>
      <c r="N160" t="n">
        <v>0</v>
      </c>
      <c r="O160" t="n">
        <v>0</v>
      </c>
      <c r="P160" t="n">
        <v>0</v>
      </c>
      <c r="Q160" t="n">
        <v>0</v>
      </c>
      <c r="R160" s="2" t="inlineStr"/>
    </row>
    <row r="161" ht="15" customHeight="1">
      <c r="A161" t="inlineStr">
        <is>
          <t>A 19633-2020</t>
        </is>
      </c>
      <c r="B161" s="1" t="n">
        <v>43941</v>
      </c>
      <c r="C161" s="1" t="n">
        <v>45851</v>
      </c>
      <c r="D161" t="inlineStr">
        <is>
          <t>DALARNAS LÄN</t>
        </is>
      </c>
      <c r="E161" t="inlineStr">
        <is>
          <t>SMEDJEBACKEN</t>
        </is>
      </c>
      <c r="F161" t="inlineStr">
        <is>
          <t>Övriga Aktiebolag</t>
        </is>
      </c>
      <c r="G161" t="n">
        <v>6.6</v>
      </c>
      <c r="H161" t="n">
        <v>0</v>
      </c>
      <c r="I161" t="n">
        <v>0</v>
      </c>
      <c r="J161" t="n">
        <v>0</v>
      </c>
      <c r="K161" t="n">
        <v>0</v>
      </c>
      <c r="L161" t="n">
        <v>0</v>
      </c>
      <c r="M161" t="n">
        <v>0</v>
      </c>
      <c r="N161" t="n">
        <v>0</v>
      </c>
      <c r="O161" t="n">
        <v>0</v>
      </c>
      <c r="P161" t="n">
        <v>0</v>
      </c>
      <c r="Q161" t="n">
        <v>0</v>
      </c>
      <c r="R161" s="2" t="inlineStr"/>
    </row>
    <row r="162" ht="15" customHeight="1">
      <c r="A162" t="inlineStr">
        <is>
          <t>A 19850-2020</t>
        </is>
      </c>
      <c r="B162" s="1" t="n">
        <v>43942</v>
      </c>
      <c r="C162" s="1" t="n">
        <v>45851</v>
      </c>
      <c r="D162" t="inlineStr">
        <is>
          <t>DALARNAS LÄN</t>
        </is>
      </c>
      <c r="E162" t="inlineStr">
        <is>
          <t>SMEDJEBACKEN</t>
        </is>
      </c>
      <c r="G162" t="n">
        <v>4.2</v>
      </c>
      <c r="H162" t="n">
        <v>0</v>
      </c>
      <c r="I162" t="n">
        <v>0</v>
      </c>
      <c r="J162" t="n">
        <v>0</v>
      </c>
      <c r="K162" t="n">
        <v>0</v>
      </c>
      <c r="L162" t="n">
        <v>0</v>
      </c>
      <c r="M162" t="n">
        <v>0</v>
      </c>
      <c r="N162" t="n">
        <v>0</v>
      </c>
      <c r="O162" t="n">
        <v>0</v>
      </c>
      <c r="P162" t="n">
        <v>0</v>
      </c>
      <c r="Q162" t="n">
        <v>0</v>
      </c>
      <c r="R162" s="2" t="inlineStr"/>
    </row>
    <row r="163" ht="15" customHeight="1">
      <c r="A163" t="inlineStr">
        <is>
          <t>A 24298-2020</t>
        </is>
      </c>
      <c r="B163" s="1" t="n">
        <v>43976</v>
      </c>
      <c r="C163" s="1" t="n">
        <v>45851</v>
      </c>
      <c r="D163" t="inlineStr">
        <is>
          <t>DALARNAS LÄN</t>
        </is>
      </c>
      <c r="E163" t="inlineStr">
        <is>
          <t>SMEDJEBACKEN</t>
        </is>
      </c>
      <c r="G163" t="n">
        <v>1.1</v>
      </c>
      <c r="H163" t="n">
        <v>0</v>
      </c>
      <c r="I163" t="n">
        <v>0</v>
      </c>
      <c r="J163" t="n">
        <v>0</v>
      </c>
      <c r="K163" t="n">
        <v>0</v>
      </c>
      <c r="L163" t="n">
        <v>0</v>
      </c>
      <c r="M163" t="n">
        <v>0</v>
      </c>
      <c r="N163" t="n">
        <v>0</v>
      </c>
      <c r="O163" t="n">
        <v>0</v>
      </c>
      <c r="P163" t="n">
        <v>0</v>
      </c>
      <c r="Q163" t="n">
        <v>0</v>
      </c>
      <c r="R163" s="2" t="inlineStr"/>
    </row>
    <row r="164" ht="15" customHeight="1">
      <c r="A164" t="inlineStr">
        <is>
          <t>A 24517-2020</t>
        </is>
      </c>
      <c r="B164" s="1" t="n">
        <v>43977</v>
      </c>
      <c r="C164" s="1" t="n">
        <v>45851</v>
      </c>
      <c r="D164" t="inlineStr">
        <is>
          <t>DALARNAS LÄN</t>
        </is>
      </c>
      <c r="E164" t="inlineStr">
        <is>
          <t>SMEDJEBACKEN</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24911-2020</t>
        </is>
      </c>
      <c r="B165" s="1" t="n">
        <v>43979</v>
      </c>
      <c r="C165" s="1" t="n">
        <v>45851</v>
      </c>
      <c r="D165" t="inlineStr">
        <is>
          <t>DALARNAS LÄN</t>
        </is>
      </c>
      <c r="E165" t="inlineStr">
        <is>
          <t>SMEDJEBACKEN</t>
        </is>
      </c>
      <c r="G165" t="n">
        <v>1.7</v>
      </c>
      <c r="H165" t="n">
        <v>0</v>
      </c>
      <c r="I165" t="n">
        <v>0</v>
      </c>
      <c r="J165" t="n">
        <v>0</v>
      </c>
      <c r="K165" t="n">
        <v>0</v>
      </c>
      <c r="L165" t="n">
        <v>0</v>
      </c>
      <c r="M165" t="n">
        <v>0</v>
      </c>
      <c r="N165" t="n">
        <v>0</v>
      </c>
      <c r="O165" t="n">
        <v>0</v>
      </c>
      <c r="P165" t="n">
        <v>0</v>
      </c>
      <c r="Q165" t="n">
        <v>0</v>
      </c>
      <c r="R165" s="2" t="inlineStr"/>
    </row>
    <row r="166" ht="15" customHeight="1">
      <c r="A166" t="inlineStr">
        <is>
          <t>A 25875-2020</t>
        </is>
      </c>
      <c r="B166" s="1" t="n">
        <v>43984</v>
      </c>
      <c r="C166" s="1" t="n">
        <v>45851</v>
      </c>
      <c r="D166" t="inlineStr">
        <is>
          <t>DALARNAS LÄN</t>
        </is>
      </c>
      <c r="E166" t="inlineStr">
        <is>
          <t>SMEDJEBACKEN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25878-2020</t>
        </is>
      </c>
      <c r="B167" s="1" t="n">
        <v>43984</v>
      </c>
      <c r="C167" s="1" t="n">
        <v>45851</v>
      </c>
      <c r="D167" t="inlineStr">
        <is>
          <t>DALARNAS LÄN</t>
        </is>
      </c>
      <c r="E167" t="inlineStr">
        <is>
          <t>SMEDJEBACKEN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26309-2020</t>
        </is>
      </c>
      <c r="B168" s="1" t="n">
        <v>43986</v>
      </c>
      <c r="C168" s="1" t="n">
        <v>45851</v>
      </c>
      <c r="D168" t="inlineStr">
        <is>
          <t>DALARNAS LÄN</t>
        </is>
      </c>
      <c r="E168" t="inlineStr">
        <is>
          <t>SMEDJEBACKEN</t>
        </is>
      </c>
      <c r="G168" t="n">
        <v>0.7</v>
      </c>
      <c r="H168" t="n">
        <v>0</v>
      </c>
      <c r="I168" t="n">
        <v>0</v>
      </c>
      <c r="J168" t="n">
        <v>0</v>
      </c>
      <c r="K168" t="n">
        <v>0</v>
      </c>
      <c r="L168" t="n">
        <v>0</v>
      </c>
      <c r="M168" t="n">
        <v>0</v>
      </c>
      <c r="N168" t="n">
        <v>0</v>
      </c>
      <c r="O168" t="n">
        <v>0</v>
      </c>
      <c r="P168" t="n">
        <v>0</v>
      </c>
      <c r="Q168" t="n">
        <v>0</v>
      </c>
      <c r="R168" s="2" t="inlineStr"/>
    </row>
    <row r="169" ht="15" customHeight="1">
      <c r="A169" t="inlineStr">
        <is>
          <t>A 27961-2020</t>
        </is>
      </c>
      <c r="B169" s="1" t="n">
        <v>43997</v>
      </c>
      <c r="C169" s="1" t="n">
        <v>45851</v>
      </c>
      <c r="D169" t="inlineStr">
        <is>
          <t>DALARNAS LÄN</t>
        </is>
      </c>
      <c r="E169" t="inlineStr">
        <is>
          <t>SMEDJEBACKEN</t>
        </is>
      </c>
      <c r="G169" t="n">
        <v>0.6</v>
      </c>
      <c r="H169" t="n">
        <v>0</v>
      </c>
      <c r="I169" t="n">
        <v>0</v>
      </c>
      <c r="J169" t="n">
        <v>0</v>
      </c>
      <c r="K169" t="n">
        <v>0</v>
      </c>
      <c r="L169" t="n">
        <v>0</v>
      </c>
      <c r="M169" t="n">
        <v>0</v>
      </c>
      <c r="N169" t="n">
        <v>0</v>
      </c>
      <c r="O169" t="n">
        <v>0</v>
      </c>
      <c r="P169" t="n">
        <v>0</v>
      </c>
      <c r="Q169" t="n">
        <v>0</v>
      </c>
      <c r="R169" s="2" t="inlineStr"/>
    </row>
    <row r="170" ht="15" customHeight="1">
      <c r="A170" t="inlineStr">
        <is>
          <t>A 28085-2020</t>
        </is>
      </c>
      <c r="B170" s="1" t="n">
        <v>43997</v>
      </c>
      <c r="C170" s="1" t="n">
        <v>45851</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28916-2020</t>
        </is>
      </c>
      <c r="B171" s="1" t="n">
        <v>44000</v>
      </c>
      <c r="C171" s="1" t="n">
        <v>45851</v>
      </c>
      <c r="D171" t="inlineStr">
        <is>
          <t>DALARNAS LÄN</t>
        </is>
      </c>
      <c r="E171" t="inlineStr">
        <is>
          <t>SMEDJEBACKEN</t>
        </is>
      </c>
      <c r="G171" t="n">
        <v>4.6</v>
      </c>
      <c r="H171" t="n">
        <v>0</v>
      </c>
      <c r="I171" t="n">
        <v>0</v>
      </c>
      <c r="J171" t="n">
        <v>0</v>
      </c>
      <c r="K171" t="n">
        <v>0</v>
      </c>
      <c r="L171" t="n">
        <v>0</v>
      </c>
      <c r="M171" t="n">
        <v>0</v>
      </c>
      <c r="N171" t="n">
        <v>0</v>
      </c>
      <c r="O171" t="n">
        <v>0</v>
      </c>
      <c r="P171" t="n">
        <v>0</v>
      </c>
      <c r="Q171" t="n">
        <v>0</v>
      </c>
      <c r="R171" s="2" t="inlineStr"/>
    </row>
    <row r="172" ht="15" customHeight="1">
      <c r="A172" t="inlineStr">
        <is>
          <t>A 30288-2020</t>
        </is>
      </c>
      <c r="B172" s="1" t="n">
        <v>44007</v>
      </c>
      <c r="C172" s="1" t="n">
        <v>45851</v>
      </c>
      <c r="D172" t="inlineStr">
        <is>
          <t>DALARNAS LÄN</t>
        </is>
      </c>
      <c r="E172" t="inlineStr">
        <is>
          <t>SMEDJEBACKEN</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30637-2020</t>
        </is>
      </c>
      <c r="B173" s="1" t="n">
        <v>44008</v>
      </c>
      <c r="C173" s="1" t="n">
        <v>45851</v>
      </c>
      <c r="D173" t="inlineStr">
        <is>
          <t>DALARNAS LÄN</t>
        </is>
      </c>
      <c r="E173" t="inlineStr">
        <is>
          <t>SMEDJEBACKEN</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32177-2020</t>
        </is>
      </c>
      <c r="B174" s="1" t="n">
        <v>44015</v>
      </c>
      <c r="C174" s="1" t="n">
        <v>45851</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33655-2020</t>
        </is>
      </c>
      <c r="B175" s="1" t="n">
        <v>44026</v>
      </c>
      <c r="C175" s="1" t="n">
        <v>45851</v>
      </c>
      <c r="D175" t="inlineStr">
        <is>
          <t>DALARNAS LÄN</t>
        </is>
      </c>
      <c r="E175" t="inlineStr">
        <is>
          <t>SMEDJEBACKEN</t>
        </is>
      </c>
      <c r="F175" t="inlineStr">
        <is>
          <t>Kyrkan</t>
        </is>
      </c>
      <c r="G175" t="n">
        <v>7.7</v>
      </c>
      <c r="H175" t="n">
        <v>0</v>
      </c>
      <c r="I175" t="n">
        <v>0</v>
      </c>
      <c r="J175" t="n">
        <v>0</v>
      </c>
      <c r="K175" t="n">
        <v>0</v>
      </c>
      <c r="L175" t="n">
        <v>0</v>
      </c>
      <c r="M175" t="n">
        <v>0</v>
      </c>
      <c r="N175" t="n">
        <v>0</v>
      </c>
      <c r="O175" t="n">
        <v>0</v>
      </c>
      <c r="P175" t="n">
        <v>0</v>
      </c>
      <c r="Q175" t="n">
        <v>0</v>
      </c>
      <c r="R175" s="2" t="inlineStr"/>
    </row>
    <row r="176" ht="15" customHeight="1">
      <c r="A176" t="inlineStr">
        <is>
          <t>A 34618-2020</t>
        </is>
      </c>
      <c r="B176" s="1" t="n">
        <v>44034</v>
      </c>
      <c r="C176" s="1" t="n">
        <v>45851</v>
      </c>
      <c r="D176" t="inlineStr">
        <is>
          <t>DALARNAS LÄN</t>
        </is>
      </c>
      <c r="E176" t="inlineStr">
        <is>
          <t>SMEDJEBACKEN</t>
        </is>
      </c>
      <c r="G176" t="n">
        <v>1.8</v>
      </c>
      <c r="H176" t="n">
        <v>0</v>
      </c>
      <c r="I176" t="n">
        <v>0</v>
      </c>
      <c r="J176" t="n">
        <v>0</v>
      </c>
      <c r="K176" t="n">
        <v>0</v>
      </c>
      <c r="L176" t="n">
        <v>0</v>
      </c>
      <c r="M176" t="n">
        <v>0</v>
      </c>
      <c r="N176" t="n">
        <v>0</v>
      </c>
      <c r="O176" t="n">
        <v>0</v>
      </c>
      <c r="P176" t="n">
        <v>0</v>
      </c>
      <c r="Q176" t="n">
        <v>0</v>
      </c>
      <c r="R176" s="2" t="inlineStr"/>
    </row>
    <row r="177" ht="15" customHeight="1">
      <c r="A177" t="inlineStr">
        <is>
          <t>A 35961-2020</t>
        </is>
      </c>
      <c r="B177" s="1" t="n">
        <v>44047</v>
      </c>
      <c r="C177" s="1" t="n">
        <v>45851</v>
      </c>
      <c r="D177" t="inlineStr">
        <is>
          <t>DALARNAS LÄN</t>
        </is>
      </c>
      <c r="E177" t="inlineStr">
        <is>
          <t>SMEDJEBACKEN</t>
        </is>
      </c>
      <c r="G177" t="n">
        <v>1.3</v>
      </c>
      <c r="H177" t="n">
        <v>0</v>
      </c>
      <c r="I177" t="n">
        <v>0</v>
      </c>
      <c r="J177" t="n">
        <v>0</v>
      </c>
      <c r="K177" t="n">
        <v>0</v>
      </c>
      <c r="L177" t="n">
        <v>0</v>
      </c>
      <c r="M177" t="n">
        <v>0</v>
      </c>
      <c r="N177" t="n">
        <v>0</v>
      </c>
      <c r="O177" t="n">
        <v>0</v>
      </c>
      <c r="P177" t="n">
        <v>0</v>
      </c>
      <c r="Q177" t="n">
        <v>0</v>
      </c>
      <c r="R177" s="2" t="inlineStr"/>
    </row>
    <row r="178" ht="15" customHeight="1">
      <c r="A178" t="inlineStr">
        <is>
          <t>A 36605-2020</t>
        </is>
      </c>
      <c r="B178" s="1" t="n">
        <v>44050</v>
      </c>
      <c r="C178" s="1" t="n">
        <v>45851</v>
      </c>
      <c r="D178" t="inlineStr">
        <is>
          <t>DALARNAS LÄN</t>
        </is>
      </c>
      <c r="E178" t="inlineStr">
        <is>
          <t>SMEDJEBACKEN</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36603-2020</t>
        </is>
      </c>
      <c r="B179" s="1" t="n">
        <v>44050</v>
      </c>
      <c r="C179" s="1" t="n">
        <v>45851</v>
      </c>
      <c r="D179" t="inlineStr">
        <is>
          <t>DALARNAS LÄN</t>
        </is>
      </c>
      <c r="E179" t="inlineStr">
        <is>
          <t>SMEDJEBACKEN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38919-2020</t>
        </is>
      </c>
      <c r="B180" s="1" t="n">
        <v>44062</v>
      </c>
      <c r="C180" s="1" t="n">
        <v>45851</v>
      </c>
      <c r="D180" t="inlineStr">
        <is>
          <t>DALARNAS LÄN</t>
        </is>
      </c>
      <c r="E180" t="inlineStr">
        <is>
          <t>SMEDJEBACKEN</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38971-2020</t>
        </is>
      </c>
      <c r="B181" s="1" t="n">
        <v>44062</v>
      </c>
      <c r="C181" s="1" t="n">
        <v>45851</v>
      </c>
      <c r="D181" t="inlineStr">
        <is>
          <t>DALARNAS LÄN</t>
        </is>
      </c>
      <c r="E181" t="inlineStr">
        <is>
          <t>SMEDJEBACKEN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38986-2020</t>
        </is>
      </c>
      <c r="B182" s="1" t="n">
        <v>44062</v>
      </c>
      <c r="C182" s="1" t="n">
        <v>45851</v>
      </c>
      <c r="D182" t="inlineStr">
        <is>
          <t>DALARNAS LÄN</t>
        </is>
      </c>
      <c r="E182" t="inlineStr">
        <is>
          <t>SMEDJEBACKEN</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39605-2020</t>
        </is>
      </c>
      <c r="B183" s="1" t="n">
        <v>44064</v>
      </c>
      <c r="C183" s="1" t="n">
        <v>45851</v>
      </c>
      <c r="D183" t="inlineStr">
        <is>
          <t>DALARNAS LÄN</t>
        </is>
      </c>
      <c r="E183" t="inlineStr">
        <is>
          <t>SMEDJEBACKEN</t>
        </is>
      </c>
      <c r="G183" t="n">
        <v>0.9</v>
      </c>
      <c r="H183" t="n">
        <v>0</v>
      </c>
      <c r="I183" t="n">
        <v>0</v>
      </c>
      <c r="J183" t="n">
        <v>0</v>
      </c>
      <c r="K183" t="n">
        <v>0</v>
      </c>
      <c r="L183" t="n">
        <v>0</v>
      </c>
      <c r="M183" t="n">
        <v>0</v>
      </c>
      <c r="N183" t="n">
        <v>0</v>
      </c>
      <c r="O183" t="n">
        <v>0</v>
      </c>
      <c r="P183" t="n">
        <v>0</v>
      </c>
      <c r="Q183" t="n">
        <v>0</v>
      </c>
      <c r="R183" s="2" t="inlineStr"/>
    </row>
    <row r="184" ht="15" customHeight="1">
      <c r="A184" t="inlineStr">
        <is>
          <t>A 39710-2020</t>
        </is>
      </c>
      <c r="B184" s="1" t="n">
        <v>44066</v>
      </c>
      <c r="C184" s="1" t="n">
        <v>45851</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42429-2020</t>
        </is>
      </c>
      <c r="B185" s="1" t="n">
        <v>44075</v>
      </c>
      <c r="C185" s="1" t="n">
        <v>45851</v>
      </c>
      <c r="D185" t="inlineStr">
        <is>
          <t>DALARNAS LÄN</t>
        </is>
      </c>
      <c r="E185" t="inlineStr">
        <is>
          <t>SMEDJEBACKEN</t>
        </is>
      </c>
      <c r="G185" t="n">
        <v>2.8</v>
      </c>
      <c r="H185" t="n">
        <v>0</v>
      </c>
      <c r="I185" t="n">
        <v>0</v>
      </c>
      <c r="J185" t="n">
        <v>0</v>
      </c>
      <c r="K185" t="n">
        <v>0</v>
      </c>
      <c r="L185" t="n">
        <v>0</v>
      </c>
      <c r="M185" t="n">
        <v>0</v>
      </c>
      <c r="N185" t="n">
        <v>0</v>
      </c>
      <c r="O185" t="n">
        <v>0</v>
      </c>
      <c r="P185" t="n">
        <v>0</v>
      </c>
      <c r="Q185" t="n">
        <v>0</v>
      </c>
      <c r="R185" s="2" t="inlineStr"/>
    </row>
    <row r="186" ht="15" customHeight="1">
      <c r="A186" t="inlineStr">
        <is>
          <t>A 42426-2020</t>
        </is>
      </c>
      <c r="B186" s="1" t="n">
        <v>44075</v>
      </c>
      <c r="C186" s="1" t="n">
        <v>45851</v>
      </c>
      <c r="D186" t="inlineStr">
        <is>
          <t>DALARNAS LÄN</t>
        </is>
      </c>
      <c r="E186" t="inlineStr">
        <is>
          <t>SMEDJEBACKEN</t>
        </is>
      </c>
      <c r="G186" t="n">
        <v>7.3</v>
      </c>
      <c r="H186" t="n">
        <v>0</v>
      </c>
      <c r="I186" t="n">
        <v>0</v>
      </c>
      <c r="J186" t="n">
        <v>0</v>
      </c>
      <c r="K186" t="n">
        <v>0</v>
      </c>
      <c r="L186" t="n">
        <v>0</v>
      </c>
      <c r="M186" t="n">
        <v>0</v>
      </c>
      <c r="N186" t="n">
        <v>0</v>
      </c>
      <c r="O186" t="n">
        <v>0</v>
      </c>
      <c r="P186" t="n">
        <v>0</v>
      </c>
      <c r="Q186" t="n">
        <v>0</v>
      </c>
      <c r="R186" s="2" t="inlineStr"/>
    </row>
    <row r="187" ht="15" customHeight="1">
      <c r="A187" t="inlineStr">
        <is>
          <t>A 43214-2020</t>
        </is>
      </c>
      <c r="B187" s="1" t="n">
        <v>44076</v>
      </c>
      <c r="C187" s="1" t="n">
        <v>45851</v>
      </c>
      <c r="D187" t="inlineStr">
        <is>
          <t>DALARNAS LÄN</t>
        </is>
      </c>
      <c r="E187" t="inlineStr">
        <is>
          <t>SMEDJEBACKEN</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43277-2020</t>
        </is>
      </c>
      <c r="B188" s="1" t="n">
        <v>44076</v>
      </c>
      <c r="C188" s="1" t="n">
        <v>45851</v>
      </c>
      <c r="D188" t="inlineStr">
        <is>
          <t>DALARNAS LÄN</t>
        </is>
      </c>
      <c r="E188" t="inlineStr">
        <is>
          <t>SMEDJEBACKEN</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48943-2020</t>
        </is>
      </c>
      <c r="B189" s="1" t="n">
        <v>44102</v>
      </c>
      <c r="C189" s="1" t="n">
        <v>45851</v>
      </c>
      <c r="D189" t="inlineStr">
        <is>
          <t>DALARNAS LÄN</t>
        </is>
      </c>
      <c r="E189" t="inlineStr">
        <is>
          <t>SMEDJEBACKEN</t>
        </is>
      </c>
      <c r="F189" t="inlineStr">
        <is>
          <t>Kommuner</t>
        </is>
      </c>
      <c r="G189" t="n">
        <v>5.6</v>
      </c>
      <c r="H189" t="n">
        <v>0</v>
      </c>
      <c r="I189" t="n">
        <v>0</v>
      </c>
      <c r="J189" t="n">
        <v>0</v>
      </c>
      <c r="K189" t="n">
        <v>0</v>
      </c>
      <c r="L189" t="n">
        <v>0</v>
      </c>
      <c r="M189" t="n">
        <v>0</v>
      </c>
      <c r="N189" t="n">
        <v>0</v>
      </c>
      <c r="O189" t="n">
        <v>0</v>
      </c>
      <c r="P189" t="n">
        <v>0</v>
      </c>
      <c r="Q189" t="n">
        <v>0</v>
      </c>
      <c r="R189" s="2" t="inlineStr"/>
    </row>
    <row r="190" ht="15" customHeight="1">
      <c r="A190" t="inlineStr">
        <is>
          <t>A 48634-2020</t>
        </is>
      </c>
      <c r="B190" s="1" t="n">
        <v>44103</v>
      </c>
      <c r="C190" s="1" t="n">
        <v>45851</v>
      </c>
      <c r="D190" t="inlineStr">
        <is>
          <t>DALARNAS LÄN</t>
        </is>
      </c>
      <c r="E190" t="inlineStr">
        <is>
          <t>SMEDJEBACKEN</t>
        </is>
      </c>
      <c r="G190" t="n">
        <v>6.4</v>
      </c>
      <c r="H190" t="n">
        <v>0</v>
      </c>
      <c r="I190" t="n">
        <v>0</v>
      </c>
      <c r="J190" t="n">
        <v>0</v>
      </c>
      <c r="K190" t="n">
        <v>0</v>
      </c>
      <c r="L190" t="n">
        <v>0</v>
      </c>
      <c r="M190" t="n">
        <v>0</v>
      </c>
      <c r="N190" t="n">
        <v>0</v>
      </c>
      <c r="O190" t="n">
        <v>0</v>
      </c>
      <c r="P190" t="n">
        <v>0</v>
      </c>
      <c r="Q190" t="n">
        <v>0</v>
      </c>
      <c r="R190" s="2" t="inlineStr"/>
    </row>
    <row r="191" ht="15" customHeight="1">
      <c r="A191" t="inlineStr">
        <is>
          <t>A 50432-2020</t>
        </is>
      </c>
      <c r="B191" s="1" t="n">
        <v>44105</v>
      </c>
      <c r="C191" s="1" t="n">
        <v>45851</v>
      </c>
      <c r="D191" t="inlineStr">
        <is>
          <t>DALARNAS LÄN</t>
        </is>
      </c>
      <c r="E191" t="inlineStr">
        <is>
          <t>SMEDJEBACKEN</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50446-2020</t>
        </is>
      </c>
      <c r="B192" s="1" t="n">
        <v>44105</v>
      </c>
      <c r="C192" s="1" t="n">
        <v>45851</v>
      </c>
      <c r="D192" t="inlineStr">
        <is>
          <t>DALARNAS LÄN</t>
        </is>
      </c>
      <c r="E192" t="inlineStr">
        <is>
          <t>SMEDJEBACKEN</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50463-2020</t>
        </is>
      </c>
      <c r="B193" s="1" t="n">
        <v>44105</v>
      </c>
      <c r="C193" s="1" t="n">
        <v>45851</v>
      </c>
      <c r="D193" t="inlineStr">
        <is>
          <t>DALARNAS LÄN</t>
        </is>
      </c>
      <c r="E193" t="inlineStr">
        <is>
          <t>SMEDJEBACKEN</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51199-2020</t>
        </is>
      </c>
      <c r="B194" s="1" t="n">
        <v>44106</v>
      </c>
      <c r="C194" s="1" t="n">
        <v>45851</v>
      </c>
      <c r="D194" t="inlineStr">
        <is>
          <t>DALARNAS LÄN</t>
        </is>
      </c>
      <c r="E194" t="inlineStr">
        <is>
          <t>SMEDJEBACKEN</t>
        </is>
      </c>
      <c r="G194" t="n">
        <v>1.4</v>
      </c>
      <c r="H194" t="n">
        <v>0</v>
      </c>
      <c r="I194" t="n">
        <v>0</v>
      </c>
      <c r="J194" t="n">
        <v>0</v>
      </c>
      <c r="K194" t="n">
        <v>0</v>
      </c>
      <c r="L194" t="n">
        <v>0</v>
      </c>
      <c r="M194" t="n">
        <v>0</v>
      </c>
      <c r="N194" t="n">
        <v>0</v>
      </c>
      <c r="O194" t="n">
        <v>0</v>
      </c>
      <c r="P194" t="n">
        <v>0</v>
      </c>
      <c r="Q194" t="n">
        <v>0</v>
      </c>
      <c r="R194" s="2" t="inlineStr"/>
    </row>
    <row r="195" ht="15" customHeight="1">
      <c r="A195" t="inlineStr">
        <is>
          <t>A 51205-2020</t>
        </is>
      </c>
      <c r="B195" s="1" t="n">
        <v>44106</v>
      </c>
      <c r="C195" s="1" t="n">
        <v>45851</v>
      </c>
      <c r="D195" t="inlineStr">
        <is>
          <t>DALARNAS LÄN</t>
        </is>
      </c>
      <c r="E195" t="inlineStr">
        <is>
          <t>SMEDJEBACKEN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49895-2020</t>
        </is>
      </c>
      <c r="B196" s="1" t="n">
        <v>44108</v>
      </c>
      <c r="C196" s="1" t="n">
        <v>45851</v>
      </c>
      <c r="D196" t="inlineStr">
        <is>
          <t>DALARNAS LÄN</t>
        </is>
      </c>
      <c r="E196" t="inlineStr">
        <is>
          <t>SMEDJEBACKEN</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49888-2020</t>
        </is>
      </c>
      <c r="B197" s="1" t="n">
        <v>44108</v>
      </c>
      <c r="C197" s="1" t="n">
        <v>45851</v>
      </c>
      <c r="D197" t="inlineStr">
        <is>
          <t>DALARNAS LÄN</t>
        </is>
      </c>
      <c r="E197" t="inlineStr">
        <is>
          <t>SMEDJEBACKEN</t>
        </is>
      </c>
      <c r="G197" t="n">
        <v>7.7</v>
      </c>
      <c r="H197" t="n">
        <v>0</v>
      </c>
      <c r="I197" t="n">
        <v>0</v>
      </c>
      <c r="J197" t="n">
        <v>0</v>
      </c>
      <c r="K197" t="n">
        <v>0</v>
      </c>
      <c r="L197" t="n">
        <v>0</v>
      </c>
      <c r="M197" t="n">
        <v>0</v>
      </c>
      <c r="N197" t="n">
        <v>0</v>
      </c>
      <c r="O197" t="n">
        <v>0</v>
      </c>
      <c r="P197" t="n">
        <v>0</v>
      </c>
      <c r="Q197" t="n">
        <v>0</v>
      </c>
      <c r="R197" s="2" t="inlineStr"/>
    </row>
    <row r="198" ht="15" customHeight="1">
      <c r="A198" t="inlineStr">
        <is>
          <t>A 49896-2020</t>
        </is>
      </c>
      <c r="B198" s="1" t="n">
        <v>44108</v>
      </c>
      <c r="C198" s="1" t="n">
        <v>45851</v>
      </c>
      <c r="D198" t="inlineStr">
        <is>
          <t>DALARNAS LÄN</t>
        </is>
      </c>
      <c r="E198" t="inlineStr">
        <is>
          <t>SMEDJEBACKEN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51761-2020</t>
        </is>
      </c>
      <c r="B199" s="1" t="n">
        <v>44115</v>
      </c>
      <c r="C199" s="1" t="n">
        <v>45851</v>
      </c>
      <c r="D199" t="inlineStr">
        <is>
          <t>DALARNAS LÄN</t>
        </is>
      </c>
      <c r="E199" t="inlineStr">
        <is>
          <t>SMEDJEBACKEN</t>
        </is>
      </c>
      <c r="G199" t="n">
        <v>10.6</v>
      </c>
      <c r="H199" t="n">
        <v>0</v>
      </c>
      <c r="I199" t="n">
        <v>0</v>
      </c>
      <c r="J199" t="n">
        <v>0</v>
      </c>
      <c r="K199" t="n">
        <v>0</v>
      </c>
      <c r="L199" t="n">
        <v>0</v>
      </c>
      <c r="M199" t="n">
        <v>0</v>
      </c>
      <c r="N199" t="n">
        <v>0</v>
      </c>
      <c r="O199" t="n">
        <v>0</v>
      </c>
      <c r="P199" t="n">
        <v>0</v>
      </c>
      <c r="Q199" t="n">
        <v>0</v>
      </c>
      <c r="R199" s="2" t="inlineStr"/>
    </row>
    <row r="200" ht="15" customHeight="1">
      <c r="A200" t="inlineStr">
        <is>
          <t>A 51770-2020</t>
        </is>
      </c>
      <c r="B200" s="1" t="n">
        <v>44115</v>
      </c>
      <c r="C200" s="1" t="n">
        <v>45851</v>
      </c>
      <c r="D200" t="inlineStr">
        <is>
          <t>DALARNAS LÄN</t>
        </is>
      </c>
      <c r="E200" t="inlineStr">
        <is>
          <t>SMEDJEBACKEN</t>
        </is>
      </c>
      <c r="G200" t="n">
        <v>0.8</v>
      </c>
      <c r="H200" t="n">
        <v>0</v>
      </c>
      <c r="I200" t="n">
        <v>0</v>
      </c>
      <c r="J200" t="n">
        <v>0</v>
      </c>
      <c r="K200" t="n">
        <v>0</v>
      </c>
      <c r="L200" t="n">
        <v>0</v>
      </c>
      <c r="M200" t="n">
        <v>0</v>
      </c>
      <c r="N200" t="n">
        <v>0</v>
      </c>
      <c r="O200" t="n">
        <v>0</v>
      </c>
      <c r="P200" t="n">
        <v>0</v>
      </c>
      <c r="Q200" t="n">
        <v>0</v>
      </c>
      <c r="R200" s="2" t="inlineStr"/>
    </row>
    <row r="201" ht="15" customHeight="1">
      <c r="A201" t="inlineStr">
        <is>
          <t>A 51775-2020</t>
        </is>
      </c>
      <c r="B201" s="1" t="n">
        <v>44115</v>
      </c>
      <c r="C201" s="1" t="n">
        <v>45851</v>
      </c>
      <c r="D201" t="inlineStr">
        <is>
          <t>DALARNAS LÄN</t>
        </is>
      </c>
      <c r="E201" t="inlineStr">
        <is>
          <t>SMEDJEBACKEN</t>
        </is>
      </c>
      <c r="G201" t="n">
        <v>0.5</v>
      </c>
      <c r="H201" t="n">
        <v>0</v>
      </c>
      <c r="I201" t="n">
        <v>0</v>
      </c>
      <c r="J201" t="n">
        <v>0</v>
      </c>
      <c r="K201" t="n">
        <v>0</v>
      </c>
      <c r="L201" t="n">
        <v>0</v>
      </c>
      <c r="M201" t="n">
        <v>0</v>
      </c>
      <c r="N201" t="n">
        <v>0</v>
      </c>
      <c r="O201" t="n">
        <v>0</v>
      </c>
      <c r="P201" t="n">
        <v>0</v>
      </c>
      <c r="Q201" t="n">
        <v>0</v>
      </c>
      <c r="R201" s="2" t="inlineStr"/>
    </row>
    <row r="202" ht="15" customHeight="1">
      <c r="A202" t="inlineStr">
        <is>
          <t>A 51774-2020</t>
        </is>
      </c>
      <c r="B202" s="1" t="n">
        <v>44115</v>
      </c>
      <c r="C202" s="1" t="n">
        <v>45851</v>
      </c>
      <c r="D202" t="inlineStr">
        <is>
          <t>DALARNAS LÄN</t>
        </is>
      </c>
      <c r="E202" t="inlineStr">
        <is>
          <t>SMEDJEBACKEN</t>
        </is>
      </c>
      <c r="G202" t="n">
        <v>0.3</v>
      </c>
      <c r="H202" t="n">
        <v>0</v>
      </c>
      <c r="I202" t="n">
        <v>0</v>
      </c>
      <c r="J202" t="n">
        <v>0</v>
      </c>
      <c r="K202" t="n">
        <v>0</v>
      </c>
      <c r="L202" t="n">
        <v>0</v>
      </c>
      <c r="M202" t="n">
        <v>0</v>
      </c>
      <c r="N202" t="n">
        <v>0</v>
      </c>
      <c r="O202" t="n">
        <v>0</v>
      </c>
      <c r="P202" t="n">
        <v>0</v>
      </c>
      <c r="Q202" t="n">
        <v>0</v>
      </c>
      <c r="R202" s="2" t="inlineStr"/>
    </row>
    <row r="203" ht="15" customHeight="1">
      <c r="A203" t="inlineStr">
        <is>
          <t>A 51776-2020</t>
        </is>
      </c>
      <c r="B203" s="1" t="n">
        <v>44116</v>
      </c>
      <c r="C203" s="1" t="n">
        <v>45851</v>
      </c>
      <c r="D203" t="inlineStr">
        <is>
          <t>DALARNAS LÄN</t>
        </is>
      </c>
      <c r="E203" t="inlineStr">
        <is>
          <t>SMEDJEBACKEN</t>
        </is>
      </c>
      <c r="G203" t="n">
        <v>2.5</v>
      </c>
      <c r="H203" t="n">
        <v>0</v>
      </c>
      <c r="I203" t="n">
        <v>0</v>
      </c>
      <c r="J203" t="n">
        <v>0</v>
      </c>
      <c r="K203" t="n">
        <v>0</v>
      </c>
      <c r="L203" t="n">
        <v>0</v>
      </c>
      <c r="M203" t="n">
        <v>0</v>
      </c>
      <c r="N203" t="n">
        <v>0</v>
      </c>
      <c r="O203" t="n">
        <v>0</v>
      </c>
      <c r="P203" t="n">
        <v>0</v>
      </c>
      <c r="Q203" t="n">
        <v>0</v>
      </c>
      <c r="R203" s="2" t="inlineStr"/>
    </row>
    <row r="204" ht="15" customHeight="1">
      <c r="A204" t="inlineStr">
        <is>
          <t>A 53575-2020</t>
        </is>
      </c>
      <c r="B204" s="1" t="n">
        <v>44124</v>
      </c>
      <c r="C204" s="1" t="n">
        <v>45851</v>
      </c>
      <c r="D204" t="inlineStr">
        <is>
          <t>DALARNAS LÄN</t>
        </is>
      </c>
      <c r="E204" t="inlineStr">
        <is>
          <t>SMEDJEBACKEN</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53572-2020</t>
        </is>
      </c>
      <c r="B205" s="1" t="n">
        <v>44124</v>
      </c>
      <c r="C205" s="1" t="n">
        <v>45851</v>
      </c>
      <c r="D205" t="inlineStr">
        <is>
          <t>DALARNAS LÄN</t>
        </is>
      </c>
      <c r="E205" t="inlineStr">
        <is>
          <t>SMEDJEBACKEN</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53577-2020</t>
        </is>
      </c>
      <c r="B206" s="1" t="n">
        <v>44124</v>
      </c>
      <c r="C206" s="1" t="n">
        <v>45851</v>
      </c>
      <c r="D206" t="inlineStr">
        <is>
          <t>DALARNAS LÄN</t>
        </is>
      </c>
      <c r="E206" t="inlineStr">
        <is>
          <t>SMEDJEBACKEN</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53570-2020</t>
        </is>
      </c>
      <c r="B207" s="1" t="n">
        <v>44124</v>
      </c>
      <c r="C207" s="1" t="n">
        <v>45851</v>
      </c>
      <c r="D207" t="inlineStr">
        <is>
          <t>DALARNAS LÄN</t>
        </is>
      </c>
      <c r="E207" t="inlineStr">
        <is>
          <t>SMEDJEBACKEN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53576-2020</t>
        </is>
      </c>
      <c r="B208" s="1" t="n">
        <v>44124</v>
      </c>
      <c r="C208" s="1" t="n">
        <v>45851</v>
      </c>
      <c r="D208" t="inlineStr">
        <is>
          <t>DALARNAS LÄN</t>
        </is>
      </c>
      <c r="E208" t="inlineStr">
        <is>
          <t>SMEDJEBACKEN</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53919-2020</t>
        </is>
      </c>
      <c r="B209" s="1" t="n">
        <v>44125</v>
      </c>
      <c r="C209" s="1" t="n">
        <v>45851</v>
      </c>
      <c r="D209" t="inlineStr">
        <is>
          <t>DALARNAS LÄN</t>
        </is>
      </c>
      <c r="E209" t="inlineStr">
        <is>
          <t>SMEDJEBACKEN</t>
        </is>
      </c>
      <c r="G209" t="n">
        <v>4</v>
      </c>
      <c r="H209" t="n">
        <v>0</v>
      </c>
      <c r="I209" t="n">
        <v>0</v>
      </c>
      <c r="J209" t="n">
        <v>0</v>
      </c>
      <c r="K209" t="n">
        <v>0</v>
      </c>
      <c r="L209" t="n">
        <v>0</v>
      </c>
      <c r="M209" t="n">
        <v>0</v>
      </c>
      <c r="N209" t="n">
        <v>0</v>
      </c>
      <c r="O209" t="n">
        <v>0</v>
      </c>
      <c r="P209" t="n">
        <v>0</v>
      </c>
      <c r="Q209" t="n">
        <v>0</v>
      </c>
      <c r="R209" s="2" t="inlineStr"/>
    </row>
    <row r="210" ht="15" customHeight="1">
      <c r="A210" t="inlineStr">
        <is>
          <t>A 54889-2020</t>
        </is>
      </c>
      <c r="B210" s="1" t="n">
        <v>44126</v>
      </c>
      <c r="C210" s="1" t="n">
        <v>45851</v>
      </c>
      <c r="D210" t="inlineStr">
        <is>
          <t>DALARNAS LÄN</t>
        </is>
      </c>
      <c r="E210" t="inlineStr">
        <is>
          <t>SMEDJEBACKEN</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54868-2020</t>
        </is>
      </c>
      <c r="B211" s="1" t="n">
        <v>44126</v>
      </c>
      <c r="C211" s="1" t="n">
        <v>45851</v>
      </c>
      <c r="D211" t="inlineStr">
        <is>
          <t>DALARNAS LÄN</t>
        </is>
      </c>
      <c r="E211" t="inlineStr">
        <is>
          <t>SMEDJEBACKEN</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54886-2020</t>
        </is>
      </c>
      <c r="B212" s="1" t="n">
        <v>44126</v>
      </c>
      <c r="C212" s="1" t="n">
        <v>45851</v>
      </c>
      <c r="D212" t="inlineStr">
        <is>
          <t>DALARNAS LÄN</t>
        </is>
      </c>
      <c r="E212" t="inlineStr">
        <is>
          <t>SMEDJEBACKEN</t>
        </is>
      </c>
      <c r="F212" t="inlineStr">
        <is>
          <t>Bergvik skog väst AB</t>
        </is>
      </c>
      <c r="G212" t="n">
        <v>8</v>
      </c>
      <c r="H212" t="n">
        <v>0</v>
      </c>
      <c r="I212" t="n">
        <v>0</v>
      </c>
      <c r="J212" t="n">
        <v>0</v>
      </c>
      <c r="K212" t="n">
        <v>0</v>
      </c>
      <c r="L212" t="n">
        <v>0</v>
      </c>
      <c r="M212" t="n">
        <v>0</v>
      </c>
      <c r="N212" t="n">
        <v>0</v>
      </c>
      <c r="O212" t="n">
        <v>0</v>
      </c>
      <c r="P212" t="n">
        <v>0</v>
      </c>
      <c r="Q212" t="n">
        <v>0</v>
      </c>
      <c r="R212" s="2" t="inlineStr"/>
    </row>
    <row r="213" ht="15" customHeight="1">
      <c r="A213" t="inlineStr">
        <is>
          <t>A 54867-2020</t>
        </is>
      </c>
      <c r="B213" s="1" t="n">
        <v>44126</v>
      </c>
      <c r="C213" s="1" t="n">
        <v>45851</v>
      </c>
      <c r="D213" t="inlineStr">
        <is>
          <t>DALARNAS LÄN</t>
        </is>
      </c>
      <c r="E213" t="inlineStr">
        <is>
          <t>SMEDJEBACKEN</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54894-2020</t>
        </is>
      </c>
      <c r="B214" s="1" t="n">
        <v>44126</v>
      </c>
      <c r="C214" s="1" t="n">
        <v>45851</v>
      </c>
      <c r="D214" t="inlineStr">
        <is>
          <t>DALARNAS LÄN</t>
        </is>
      </c>
      <c r="E214" t="inlineStr">
        <is>
          <t>SMEDJEBACKEN</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56372-2020</t>
        </is>
      </c>
      <c r="B215" s="1" t="n">
        <v>44136</v>
      </c>
      <c r="C215" s="1" t="n">
        <v>45851</v>
      </c>
      <c r="D215" t="inlineStr">
        <is>
          <t>DALARNAS LÄN</t>
        </is>
      </c>
      <c r="E215" t="inlineStr">
        <is>
          <t>SMEDJEBACKEN</t>
        </is>
      </c>
      <c r="F215" t="inlineStr">
        <is>
          <t>Kyrkan</t>
        </is>
      </c>
      <c r="G215" t="n">
        <v>1.5</v>
      </c>
      <c r="H215" t="n">
        <v>0</v>
      </c>
      <c r="I215" t="n">
        <v>0</v>
      </c>
      <c r="J215" t="n">
        <v>0</v>
      </c>
      <c r="K215" t="n">
        <v>0</v>
      </c>
      <c r="L215" t="n">
        <v>0</v>
      </c>
      <c r="M215" t="n">
        <v>0</v>
      </c>
      <c r="N215" t="n">
        <v>0</v>
      </c>
      <c r="O215" t="n">
        <v>0</v>
      </c>
      <c r="P215" t="n">
        <v>0</v>
      </c>
      <c r="Q215" t="n">
        <v>0</v>
      </c>
      <c r="R215" s="2" t="inlineStr"/>
    </row>
    <row r="216" ht="15" customHeight="1">
      <c r="A216" t="inlineStr">
        <is>
          <t>A 57904-2020</t>
        </is>
      </c>
      <c r="B216" s="1" t="n">
        <v>44141</v>
      </c>
      <c r="C216" s="1" t="n">
        <v>45851</v>
      </c>
      <c r="D216" t="inlineStr">
        <is>
          <t>DALARNAS LÄN</t>
        </is>
      </c>
      <c r="E216" t="inlineStr">
        <is>
          <t>SMEDJEBACKEN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59324-2020</t>
        </is>
      </c>
      <c r="B217" s="1" t="n">
        <v>44147</v>
      </c>
      <c r="C217" s="1" t="n">
        <v>45851</v>
      </c>
      <c r="D217" t="inlineStr">
        <is>
          <t>DALARNAS LÄN</t>
        </is>
      </c>
      <c r="E217" t="inlineStr">
        <is>
          <t>SMEDJEBACKEN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59381-2020</t>
        </is>
      </c>
      <c r="B218" s="1" t="n">
        <v>44148</v>
      </c>
      <c r="C218" s="1" t="n">
        <v>45851</v>
      </c>
      <c r="D218" t="inlineStr">
        <is>
          <t>DALARNAS LÄN</t>
        </is>
      </c>
      <c r="E218" t="inlineStr">
        <is>
          <t>SMEDJEBACKEN</t>
        </is>
      </c>
      <c r="F218" t="inlineStr">
        <is>
          <t>Sveaskog</t>
        </is>
      </c>
      <c r="G218" t="n">
        <v>6.2</v>
      </c>
      <c r="H218" t="n">
        <v>0</v>
      </c>
      <c r="I218" t="n">
        <v>0</v>
      </c>
      <c r="J218" t="n">
        <v>0</v>
      </c>
      <c r="K218" t="n">
        <v>0</v>
      </c>
      <c r="L218" t="n">
        <v>0</v>
      </c>
      <c r="M218" t="n">
        <v>0</v>
      </c>
      <c r="N218" t="n">
        <v>0</v>
      </c>
      <c r="O218" t="n">
        <v>0</v>
      </c>
      <c r="P218" t="n">
        <v>0</v>
      </c>
      <c r="Q218" t="n">
        <v>0</v>
      </c>
      <c r="R218" s="2" t="inlineStr"/>
    </row>
    <row r="219" ht="15" customHeight="1">
      <c r="A219" t="inlineStr">
        <is>
          <t>A 59536-2020</t>
        </is>
      </c>
      <c r="B219" s="1" t="n">
        <v>44148</v>
      </c>
      <c r="C219" s="1" t="n">
        <v>45851</v>
      </c>
      <c r="D219" t="inlineStr">
        <is>
          <t>DALARNAS LÄN</t>
        </is>
      </c>
      <c r="E219" t="inlineStr">
        <is>
          <t>SMEDJEBACKEN</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62215-2020</t>
        </is>
      </c>
      <c r="B220" s="1" t="n">
        <v>44159</v>
      </c>
      <c r="C220" s="1" t="n">
        <v>45851</v>
      </c>
      <c r="D220" t="inlineStr">
        <is>
          <t>DALARNAS LÄN</t>
        </is>
      </c>
      <c r="E220" t="inlineStr">
        <is>
          <t>SMEDJEBACKEN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62690-2020</t>
        </is>
      </c>
      <c r="B221" s="1" t="n">
        <v>44161</v>
      </c>
      <c r="C221" s="1" t="n">
        <v>45851</v>
      </c>
      <c r="D221" t="inlineStr">
        <is>
          <t>DALARNAS LÄN</t>
        </is>
      </c>
      <c r="E221" t="inlineStr">
        <is>
          <t>SMEDJEBACKEN</t>
        </is>
      </c>
      <c r="G221" t="n">
        <v>4.5</v>
      </c>
      <c r="H221" t="n">
        <v>0</v>
      </c>
      <c r="I221" t="n">
        <v>0</v>
      </c>
      <c r="J221" t="n">
        <v>0</v>
      </c>
      <c r="K221" t="n">
        <v>0</v>
      </c>
      <c r="L221" t="n">
        <v>0</v>
      </c>
      <c r="M221" t="n">
        <v>0</v>
      </c>
      <c r="N221" t="n">
        <v>0</v>
      </c>
      <c r="O221" t="n">
        <v>0</v>
      </c>
      <c r="P221" t="n">
        <v>0</v>
      </c>
      <c r="Q221" t="n">
        <v>0</v>
      </c>
      <c r="R221" s="2" t="inlineStr"/>
    </row>
    <row r="222" ht="15" customHeight="1">
      <c r="A222" t="inlineStr">
        <is>
          <t>A 63255-2020</t>
        </is>
      </c>
      <c r="B222" s="1" t="n">
        <v>44164</v>
      </c>
      <c r="C222" s="1" t="n">
        <v>45851</v>
      </c>
      <c r="D222" t="inlineStr">
        <is>
          <t>DALARNAS LÄN</t>
        </is>
      </c>
      <c r="E222" t="inlineStr">
        <is>
          <t>SMEDJEBACKEN</t>
        </is>
      </c>
      <c r="G222" t="n">
        <v>0.6</v>
      </c>
      <c r="H222" t="n">
        <v>0</v>
      </c>
      <c r="I222" t="n">
        <v>0</v>
      </c>
      <c r="J222" t="n">
        <v>0</v>
      </c>
      <c r="K222" t="n">
        <v>0</v>
      </c>
      <c r="L222" t="n">
        <v>0</v>
      </c>
      <c r="M222" t="n">
        <v>0</v>
      </c>
      <c r="N222" t="n">
        <v>0</v>
      </c>
      <c r="O222" t="n">
        <v>0</v>
      </c>
      <c r="P222" t="n">
        <v>0</v>
      </c>
      <c r="Q222" t="n">
        <v>0</v>
      </c>
      <c r="R222" s="2" t="inlineStr"/>
    </row>
    <row r="223" ht="15" customHeight="1">
      <c r="A223" t="inlineStr">
        <is>
          <t>A 63249-2020</t>
        </is>
      </c>
      <c r="B223" s="1" t="n">
        <v>44164</v>
      </c>
      <c r="C223" s="1" t="n">
        <v>45851</v>
      </c>
      <c r="D223" t="inlineStr">
        <is>
          <t>DALARNAS LÄN</t>
        </is>
      </c>
      <c r="E223" t="inlineStr">
        <is>
          <t>SMEDJEBACKEN</t>
        </is>
      </c>
      <c r="G223" t="n">
        <v>1.3</v>
      </c>
      <c r="H223" t="n">
        <v>0</v>
      </c>
      <c r="I223" t="n">
        <v>0</v>
      </c>
      <c r="J223" t="n">
        <v>0</v>
      </c>
      <c r="K223" t="n">
        <v>0</v>
      </c>
      <c r="L223" t="n">
        <v>0</v>
      </c>
      <c r="M223" t="n">
        <v>0</v>
      </c>
      <c r="N223" t="n">
        <v>0</v>
      </c>
      <c r="O223" t="n">
        <v>0</v>
      </c>
      <c r="P223" t="n">
        <v>0</v>
      </c>
      <c r="Q223" t="n">
        <v>0</v>
      </c>
      <c r="R223" s="2" t="inlineStr"/>
    </row>
    <row r="224" ht="15" customHeight="1">
      <c r="A224" t="inlineStr">
        <is>
          <t>A 63248-2020</t>
        </is>
      </c>
      <c r="B224" s="1" t="n">
        <v>44164</v>
      </c>
      <c r="C224" s="1" t="n">
        <v>45851</v>
      </c>
      <c r="D224" t="inlineStr">
        <is>
          <t>DALARNAS LÄN</t>
        </is>
      </c>
      <c r="E224" t="inlineStr">
        <is>
          <t>SMEDJEBACKEN</t>
        </is>
      </c>
      <c r="G224" t="n">
        <v>0.3</v>
      </c>
      <c r="H224" t="n">
        <v>0</v>
      </c>
      <c r="I224" t="n">
        <v>0</v>
      </c>
      <c r="J224" t="n">
        <v>0</v>
      </c>
      <c r="K224" t="n">
        <v>0</v>
      </c>
      <c r="L224" t="n">
        <v>0</v>
      </c>
      <c r="M224" t="n">
        <v>0</v>
      </c>
      <c r="N224" t="n">
        <v>0</v>
      </c>
      <c r="O224" t="n">
        <v>0</v>
      </c>
      <c r="P224" t="n">
        <v>0</v>
      </c>
      <c r="Q224" t="n">
        <v>0</v>
      </c>
      <c r="R224" s="2" t="inlineStr"/>
    </row>
    <row r="225" ht="15" customHeight="1">
      <c r="A225" t="inlineStr">
        <is>
          <t>A 63854-2020</t>
        </is>
      </c>
      <c r="B225" s="1" t="n">
        <v>44165</v>
      </c>
      <c r="C225" s="1" t="n">
        <v>45851</v>
      </c>
      <c r="D225" t="inlineStr">
        <is>
          <t>DALARNAS LÄN</t>
        </is>
      </c>
      <c r="E225" t="inlineStr">
        <is>
          <t>SMEDJEBACKEN</t>
        </is>
      </c>
      <c r="G225" t="n">
        <v>22.4</v>
      </c>
      <c r="H225" t="n">
        <v>0</v>
      </c>
      <c r="I225" t="n">
        <v>0</v>
      </c>
      <c r="J225" t="n">
        <v>0</v>
      </c>
      <c r="K225" t="n">
        <v>0</v>
      </c>
      <c r="L225" t="n">
        <v>0</v>
      </c>
      <c r="M225" t="n">
        <v>0</v>
      </c>
      <c r="N225" t="n">
        <v>0</v>
      </c>
      <c r="O225" t="n">
        <v>0</v>
      </c>
      <c r="P225" t="n">
        <v>0</v>
      </c>
      <c r="Q225" t="n">
        <v>0</v>
      </c>
      <c r="R225" s="2" t="inlineStr"/>
    </row>
    <row r="226" ht="15" customHeight="1">
      <c r="A226" t="inlineStr">
        <is>
          <t>A 66730-2020</t>
        </is>
      </c>
      <c r="B226" s="1" t="n">
        <v>44179</v>
      </c>
      <c r="C226" s="1" t="n">
        <v>45851</v>
      </c>
      <c r="D226" t="inlineStr">
        <is>
          <t>DALARNAS LÄN</t>
        </is>
      </c>
      <c r="E226" t="inlineStr">
        <is>
          <t>SMEDJEBACKEN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68784-2020</t>
        </is>
      </c>
      <c r="B227" s="1" t="n">
        <v>44187</v>
      </c>
      <c r="C227" s="1" t="n">
        <v>45851</v>
      </c>
      <c r="D227" t="inlineStr">
        <is>
          <t>DALARNAS LÄN</t>
        </is>
      </c>
      <c r="E227" t="inlineStr">
        <is>
          <t>SMEDJEBACKEN</t>
        </is>
      </c>
      <c r="G227" t="n">
        <v>2.5</v>
      </c>
      <c r="H227" t="n">
        <v>0</v>
      </c>
      <c r="I227" t="n">
        <v>0</v>
      </c>
      <c r="J227" t="n">
        <v>0</v>
      </c>
      <c r="K227" t="n">
        <v>0</v>
      </c>
      <c r="L227" t="n">
        <v>0</v>
      </c>
      <c r="M227" t="n">
        <v>0</v>
      </c>
      <c r="N227" t="n">
        <v>0</v>
      </c>
      <c r="O227" t="n">
        <v>0</v>
      </c>
      <c r="P227" t="n">
        <v>0</v>
      </c>
      <c r="Q227" t="n">
        <v>0</v>
      </c>
      <c r="R227" s="2" t="inlineStr"/>
    </row>
    <row r="228" ht="15" customHeight="1">
      <c r="A228" t="inlineStr">
        <is>
          <t>A 458-2021</t>
        </is>
      </c>
      <c r="B228" s="1" t="n">
        <v>44202</v>
      </c>
      <c r="C228" s="1" t="n">
        <v>45851</v>
      </c>
      <c r="D228" t="inlineStr">
        <is>
          <t>DALARNAS LÄN</t>
        </is>
      </c>
      <c r="E228" t="inlineStr">
        <is>
          <t>SMEDJEBACKEN</t>
        </is>
      </c>
      <c r="G228" t="n">
        <v>3.7</v>
      </c>
      <c r="H228" t="n">
        <v>0</v>
      </c>
      <c r="I228" t="n">
        <v>0</v>
      </c>
      <c r="J228" t="n">
        <v>0</v>
      </c>
      <c r="K228" t="n">
        <v>0</v>
      </c>
      <c r="L228" t="n">
        <v>0</v>
      </c>
      <c r="M228" t="n">
        <v>0</v>
      </c>
      <c r="N228" t="n">
        <v>0</v>
      </c>
      <c r="O228" t="n">
        <v>0</v>
      </c>
      <c r="P228" t="n">
        <v>0</v>
      </c>
      <c r="Q228" t="n">
        <v>0</v>
      </c>
      <c r="R228" s="2" t="inlineStr"/>
    </row>
    <row r="229" ht="15" customHeight="1">
      <c r="A229" t="inlineStr">
        <is>
          <t>A 2296-2021</t>
        </is>
      </c>
      <c r="B229" s="1" t="n">
        <v>44212</v>
      </c>
      <c r="C229" s="1" t="n">
        <v>45851</v>
      </c>
      <c r="D229" t="inlineStr">
        <is>
          <t>DALARNAS LÄN</t>
        </is>
      </c>
      <c r="E229" t="inlineStr">
        <is>
          <t>SMEDJEBACKEN</t>
        </is>
      </c>
      <c r="G229" t="n">
        <v>11.6</v>
      </c>
      <c r="H229" t="n">
        <v>0</v>
      </c>
      <c r="I229" t="n">
        <v>0</v>
      </c>
      <c r="J229" t="n">
        <v>0</v>
      </c>
      <c r="K229" t="n">
        <v>0</v>
      </c>
      <c r="L229" t="n">
        <v>0</v>
      </c>
      <c r="M229" t="n">
        <v>0</v>
      </c>
      <c r="N229" t="n">
        <v>0</v>
      </c>
      <c r="O229" t="n">
        <v>0</v>
      </c>
      <c r="P229" t="n">
        <v>0</v>
      </c>
      <c r="Q229" t="n">
        <v>0</v>
      </c>
      <c r="R229" s="2" t="inlineStr"/>
    </row>
    <row r="230" ht="15" customHeight="1">
      <c r="A230" t="inlineStr">
        <is>
          <t>A 5707-2021</t>
        </is>
      </c>
      <c r="B230" s="1" t="n">
        <v>44230</v>
      </c>
      <c r="C230" s="1" t="n">
        <v>45851</v>
      </c>
      <c r="D230" t="inlineStr">
        <is>
          <t>DALARNAS LÄN</t>
        </is>
      </c>
      <c r="E230" t="inlineStr">
        <is>
          <t>SMEDJEBACKEN</t>
        </is>
      </c>
      <c r="G230" t="n">
        <v>4.7</v>
      </c>
      <c r="H230" t="n">
        <v>0</v>
      </c>
      <c r="I230" t="n">
        <v>0</v>
      </c>
      <c r="J230" t="n">
        <v>0</v>
      </c>
      <c r="K230" t="n">
        <v>0</v>
      </c>
      <c r="L230" t="n">
        <v>0</v>
      </c>
      <c r="M230" t="n">
        <v>0</v>
      </c>
      <c r="N230" t="n">
        <v>0</v>
      </c>
      <c r="O230" t="n">
        <v>0</v>
      </c>
      <c r="P230" t="n">
        <v>0</v>
      </c>
      <c r="Q230" t="n">
        <v>0</v>
      </c>
      <c r="R230" s="2" t="inlineStr"/>
    </row>
    <row r="231" ht="15" customHeight="1">
      <c r="A231" t="inlineStr">
        <is>
          <t>A 5616-2021</t>
        </is>
      </c>
      <c r="B231" s="1" t="n">
        <v>44230</v>
      </c>
      <c r="C231" s="1" t="n">
        <v>45851</v>
      </c>
      <c r="D231" t="inlineStr">
        <is>
          <t>DALARNAS LÄN</t>
        </is>
      </c>
      <c r="E231" t="inlineStr">
        <is>
          <t>SMEDJEBACKEN</t>
        </is>
      </c>
      <c r="G231" t="n">
        <v>5</v>
      </c>
      <c r="H231" t="n">
        <v>0</v>
      </c>
      <c r="I231" t="n">
        <v>0</v>
      </c>
      <c r="J231" t="n">
        <v>0</v>
      </c>
      <c r="K231" t="n">
        <v>0</v>
      </c>
      <c r="L231" t="n">
        <v>0</v>
      </c>
      <c r="M231" t="n">
        <v>0</v>
      </c>
      <c r="N231" t="n">
        <v>0</v>
      </c>
      <c r="O231" t="n">
        <v>0</v>
      </c>
      <c r="P231" t="n">
        <v>0</v>
      </c>
      <c r="Q231" t="n">
        <v>0</v>
      </c>
      <c r="R231" s="2" t="inlineStr"/>
    </row>
    <row r="232" ht="15" customHeight="1">
      <c r="A232" t="inlineStr">
        <is>
          <t>A 6187-2021</t>
        </is>
      </c>
      <c r="B232" s="1" t="n">
        <v>44234</v>
      </c>
      <c r="C232" s="1" t="n">
        <v>45851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6735-2021</t>
        </is>
      </c>
      <c r="B233" s="1" t="n">
        <v>44236</v>
      </c>
      <c r="C233" s="1" t="n">
        <v>45851</v>
      </c>
      <c r="D233" t="inlineStr">
        <is>
          <t>DALARNAS LÄN</t>
        </is>
      </c>
      <c r="E233" t="inlineStr">
        <is>
          <t>SMEDJEBACKEN</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10997-2021</t>
        </is>
      </c>
      <c r="B234" s="1" t="n">
        <v>44260</v>
      </c>
      <c r="C234" s="1" t="n">
        <v>45851</v>
      </c>
      <c r="D234" t="inlineStr">
        <is>
          <t>DALARNAS LÄN</t>
        </is>
      </c>
      <c r="E234" t="inlineStr">
        <is>
          <t>SMEDJEBACKEN</t>
        </is>
      </c>
      <c r="G234" t="n">
        <v>5.7</v>
      </c>
      <c r="H234" t="n">
        <v>0</v>
      </c>
      <c r="I234" t="n">
        <v>0</v>
      </c>
      <c r="J234" t="n">
        <v>0</v>
      </c>
      <c r="K234" t="n">
        <v>0</v>
      </c>
      <c r="L234" t="n">
        <v>0</v>
      </c>
      <c r="M234" t="n">
        <v>0</v>
      </c>
      <c r="N234" t="n">
        <v>0</v>
      </c>
      <c r="O234" t="n">
        <v>0</v>
      </c>
      <c r="P234" t="n">
        <v>0</v>
      </c>
      <c r="Q234" t="n">
        <v>0</v>
      </c>
      <c r="R234" s="2" t="inlineStr"/>
    </row>
    <row r="235" ht="15" customHeight="1">
      <c r="A235" t="inlineStr">
        <is>
          <t>A 10996-2021</t>
        </is>
      </c>
      <c r="B235" s="1" t="n">
        <v>44260</v>
      </c>
      <c r="C235" s="1" t="n">
        <v>45851</v>
      </c>
      <c r="D235" t="inlineStr">
        <is>
          <t>DALARNAS LÄN</t>
        </is>
      </c>
      <c r="E235" t="inlineStr">
        <is>
          <t>SMEDJEBACKEN</t>
        </is>
      </c>
      <c r="G235" t="n">
        <v>4</v>
      </c>
      <c r="H235" t="n">
        <v>0</v>
      </c>
      <c r="I235" t="n">
        <v>0</v>
      </c>
      <c r="J235" t="n">
        <v>0</v>
      </c>
      <c r="K235" t="n">
        <v>0</v>
      </c>
      <c r="L235" t="n">
        <v>0</v>
      </c>
      <c r="M235" t="n">
        <v>0</v>
      </c>
      <c r="N235" t="n">
        <v>0</v>
      </c>
      <c r="O235" t="n">
        <v>0</v>
      </c>
      <c r="P235" t="n">
        <v>0</v>
      </c>
      <c r="Q235" t="n">
        <v>0</v>
      </c>
      <c r="R235" s="2" t="inlineStr"/>
    </row>
    <row r="236" ht="15" customHeight="1">
      <c r="A236" t="inlineStr">
        <is>
          <t>A 11143-2021</t>
        </is>
      </c>
      <c r="B236" s="1" t="n">
        <v>44261</v>
      </c>
      <c r="C236" s="1" t="n">
        <v>45851</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11141-2021</t>
        </is>
      </c>
      <c r="B237" s="1" t="n">
        <v>44261</v>
      </c>
      <c r="C237" s="1" t="n">
        <v>45851</v>
      </c>
      <c r="D237" t="inlineStr">
        <is>
          <t>DALARNAS LÄN</t>
        </is>
      </c>
      <c r="E237" t="inlineStr">
        <is>
          <t>SMEDJEBACKEN</t>
        </is>
      </c>
      <c r="G237" t="n">
        <v>2.8</v>
      </c>
      <c r="H237" t="n">
        <v>0</v>
      </c>
      <c r="I237" t="n">
        <v>0</v>
      </c>
      <c r="J237" t="n">
        <v>0</v>
      </c>
      <c r="K237" t="n">
        <v>0</v>
      </c>
      <c r="L237" t="n">
        <v>0</v>
      </c>
      <c r="M237" t="n">
        <v>0</v>
      </c>
      <c r="N237" t="n">
        <v>0</v>
      </c>
      <c r="O237" t="n">
        <v>0</v>
      </c>
      <c r="P237" t="n">
        <v>0</v>
      </c>
      <c r="Q237" t="n">
        <v>0</v>
      </c>
      <c r="R237" s="2" t="inlineStr"/>
    </row>
    <row r="238" ht="15" customHeight="1">
      <c r="A238" t="inlineStr">
        <is>
          <t>A 11502-2021</t>
        </is>
      </c>
      <c r="B238" s="1" t="n">
        <v>44264</v>
      </c>
      <c r="C238" s="1" t="n">
        <v>45851</v>
      </c>
      <c r="D238" t="inlineStr">
        <is>
          <t>DALARNAS LÄN</t>
        </is>
      </c>
      <c r="E238" t="inlineStr">
        <is>
          <t>SMEDJEBACKEN</t>
        </is>
      </c>
      <c r="G238" t="n">
        <v>3.9</v>
      </c>
      <c r="H238" t="n">
        <v>0</v>
      </c>
      <c r="I238" t="n">
        <v>0</v>
      </c>
      <c r="J238" t="n">
        <v>0</v>
      </c>
      <c r="K238" t="n">
        <v>0</v>
      </c>
      <c r="L238" t="n">
        <v>0</v>
      </c>
      <c r="M238" t="n">
        <v>0</v>
      </c>
      <c r="N238" t="n">
        <v>0</v>
      </c>
      <c r="O238" t="n">
        <v>0</v>
      </c>
      <c r="P238" t="n">
        <v>0</v>
      </c>
      <c r="Q238" t="n">
        <v>0</v>
      </c>
      <c r="R238" s="2" t="inlineStr"/>
    </row>
    <row r="239" ht="15" customHeight="1">
      <c r="A239" t="inlineStr">
        <is>
          <t>A 11647-2021</t>
        </is>
      </c>
      <c r="B239" s="1" t="n">
        <v>44264</v>
      </c>
      <c r="C239" s="1" t="n">
        <v>45851</v>
      </c>
      <c r="D239" t="inlineStr">
        <is>
          <t>DALARNAS LÄN</t>
        </is>
      </c>
      <c r="E239" t="inlineStr">
        <is>
          <t>SMEDJEBACKEN</t>
        </is>
      </c>
      <c r="G239" t="n">
        <v>1.5</v>
      </c>
      <c r="H239" t="n">
        <v>0</v>
      </c>
      <c r="I239" t="n">
        <v>0</v>
      </c>
      <c r="J239" t="n">
        <v>0</v>
      </c>
      <c r="K239" t="n">
        <v>0</v>
      </c>
      <c r="L239" t="n">
        <v>0</v>
      </c>
      <c r="M239" t="n">
        <v>0</v>
      </c>
      <c r="N239" t="n">
        <v>0</v>
      </c>
      <c r="O239" t="n">
        <v>0</v>
      </c>
      <c r="P239" t="n">
        <v>0</v>
      </c>
      <c r="Q239" t="n">
        <v>0</v>
      </c>
      <c r="R239" s="2" t="inlineStr"/>
    </row>
    <row r="240" ht="15" customHeight="1">
      <c r="A240" t="inlineStr">
        <is>
          <t>A 12349-2021</t>
        </is>
      </c>
      <c r="B240" s="1" t="n">
        <v>44267</v>
      </c>
      <c r="C240" s="1" t="n">
        <v>45851</v>
      </c>
      <c r="D240" t="inlineStr">
        <is>
          <t>DALARNAS LÄN</t>
        </is>
      </c>
      <c r="E240" t="inlineStr">
        <is>
          <t>SMEDJEBACKEN</t>
        </is>
      </c>
      <c r="F240" t="inlineStr">
        <is>
          <t>Sveaskog</t>
        </is>
      </c>
      <c r="G240" t="n">
        <v>7.8</v>
      </c>
      <c r="H240" t="n">
        <v>0</v>
      </c>
      <c r="I240" t="n">
        <v>0</v>
      </c>
      <c r="J240" t="n">
        <v>0</v>
      </c>
      <c r="K240" t="n">
        <v>0</v>
      </c>
      <c r="L240" t="n">
        <v>0</v>
      </c>
      <c r="M240" t="n">
        <v>0</v>
      </c>
      <c r="N240" t="n">
        <v>0</v>
      </c>
      <c r="O240" t="n">
        <v>0</v>
      </c>
      <c r="P240" t="n">
        <v>0</v>
      </c>
      <c r="Q240" t="n">
        <v>0</v>
      </c>
      <c r="R240" s="2" t="inlineStr"/>
    </row>
    <row r="241" ht="15" customHeight="1">
      <c r="A241" t="inlineStr">
        <is>
          <t>A 14318-2021</t>
        </is>
      </c>
      <c r="B241" s="1" t="n">
        <v>44278</v>
      </c>
      <c r="C241" s="1" t="n">
        <v>45851</v>
      </c>
      <c r="D241" t="inlineStr">
        <is>
          <t>DALARNAS LÄN</t>
        </is>
      </c>
      <c r="E241" t="inlineStr">
        <is>
          <t>SMEDJEBACKEN</t>
        </is>
      </c>
      <c r="G241" t="n">
        <v>4.6</v>
      </c>
      <c r="H241" t="n">
        <v>0</v>
      </c>
      <c r="I241" t="n">
        <v>0</v>
      </c>
      <c r="J241" t="n">
        <v>0</v>
      </c>
      <c r="K241" t="n">
        <v>0</v>
      </c>
      <c r="L241" t="n">
        <v>0</v>
      </c>
      <c r="M241" t="n">
        <v>0</v>
      </c>
      <c r="N241" t="n">
        <v>0</v>
      </c>
      <c r="O241" t="n">
        <v>0</v>
      </c>
      <c r="P241" t="n">
        <v>0</v>
      </c>
      <c r="Q241" t="n">
        <v>0</v>
      </c>
      <c r="R241" s="2" t="inlineStr"/>
    </row>
    <row r="242" ht="15" customHeight="1">
      <c r="A242" t="inlineStr">
        <is>
          <t>A 15085-2021</t>
        </is>
      </c>
      <c r="B242" s="1" t="n">
        <v>44281</v>
      </c>
      <c r="C242" s="1" t="n">
        <v>45851</v>
      </c>
      <c r="D242" t="inlineStr">
        <is>
          <t>DALARNAS LÄN</t>
        </is>
      </c>
      <c r="E242" t="inlineStr">
        <is>
          <t>SMEDJEBACKEN</t>
        </is>
      </c>
      <c r="G242" t="n">
        <v>7.3</v>
      </c>
      <c r="H242" t="n">
        <v>0</v>
      </c>
      <c r="I242" t="n">
        <v>0</v>
      </c>
      <c r="J242" t="n">
        <v>0</v>
      </c>
      <c r="K242" t="n">
        <v>0</v>
      </c>
      <c r="L242" t="n">
        <v>0</v>
      </c>
      <c r="M242" t="n">
        <v>0</v>
      </c>
      <c r="N242" t="n">
        <v>0</v>
      </c>
      <c r="O242" t="n">
        <v>0</v>
      </c>
      <c r="P242" t="n">
        <v>0</v>
      </c>
      <c r="Q242" t="n">
        <v>0</v>
      </c>
      <c r="R242" s="2" t="inlineStr"/>
    </row>
    <row r="243" ht="15" customHeight="1">
      <c r="A243" t="inlineStr">
        <is>
          <t>A 15331-2021</t>
        </is>
      </c>
      <c r="B243" s="1" t="n">
        <v>44284</v>
      </c>
      <c r="C243" s="1" t="n">
        <v>45851</v>
      </c>
      <c r="D243" t="inlineStr">
        <is>
          <t>DALARNAS LÄN</t>
        </is>
      </c>
      <c r="E243" t="inlineStr">
        <is>
          <t>SMEDJEBACKEN</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15727-2021</t>
        </is>
      </c>
      <c r="B244" s="1" t="n">
        <v>44286</v>
      </c>
      <c r="C244" s="1" t="n">
        <v>45851</v>
      </c>
      <c r="D244" t="inlineStr">
        <is>
          <t>DALARNAS LÄN</t>
        </is>
      </c>
      <c r="E244" t="inlineStr">
        <is>
          <t>SMEDJEBACKEN</t>
        </is>
      </c>
      <c r="G244" t="n">
        <v>1.9</v>
      </c>
      <c r="H244" t="n">
        <v>0</v>
      </c>
      <c r="I244" t="n">
        <v>0</v>
      </c>
      <c r="J244" t="n">
        <v>0</v>
      </c>
      <c r="K244" t="n">
        <v>0</v>
      </c>
      <c r="L244" t="n">
        <v>0</v>
      </c>
      <c r="M244" t="n">
        <v>0</v>
      </c>
      <c r="N244" t="n">
        <v>0</v>
      </c>
      <c r="O244" t="n">
        <v>0</v>
      </c>
      <c r="P244" t="n">
        <v>0</v>
      </c>
      <c r="Q244" t="n">
        <v>0</v>
      </c>
      <c r="R244" s="2" t="inlineStr"/>
    </row>
    <row r="245" ht="15" customHeight="1">
      <c r="A245" t="inlineStr">
        <is>
          <t>A 16129-2021</t>
        </is>
      </c>
      <c r="B245" s="1" t="n">
        <v>44291</v>
      </c>
      <c r="C245" s="1" t="n">
        <v>45851</v>
      </c>
      <c r="D245" t="inlineStr">
        <is>
          <t>DALARNAS LÄN</t>
        </is>
      </c>
      <c r="E245" t="inlineStr">
        <is>
          <t>SMEDJEBACKEN</t>
        </is>
      </c>
      <c r="G245" t="n">
        <v>2.3</v>
      </c>
      <c r="H245" t="n">
        <v>0</v>
      </c>
      <c r="I245" t="n">
        <v>0</v>
      </c>
      <c r="J245" t="n">
        <v>0</v>
      </c>
      <c r="K245" t="n">
        <v>0</v>
      </c>
      <c r="L245" t="n">
        <v>0</v>
      </c>
      <c r="M245" t="n">
        <v>0</v>
      </c>
      <c r="N245" t="n">
        <v>0</v>
      </c>
      <c r="O245" t="n">
        <v>0</v>
      </c>
      <c r="P245" t="n">
        <v>0</v>
      </c>
      <c r="Q245" t="n">
        <v>0</v>
      </c>
      <c r="R245" s="2" t="inlineStr"/>
    </row>
    <row r="246" ht="15" customHeight="1">
      <c r="A246" t="inlineStr">
        <is>
          <t>A 16842-2021</t>
        </is>
      </c>
      <c r="B246" s="1" t="n">
        <v>44295</v>
      </c>
      <c r="C246" s="1" t="n">
        <v>45851</v>
      </c>
      <c r="D246" t="inlineStr">
        <is>
          <t>DALARNAS LÄN</t>
        </is>
      </c>
      <c r="E246" t="inlineStr">
        <is>
          <t>SMEDJEBACKEN</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17115-2021</t>
        </is>
      </c>
      <c r="B247" s="1" t="n">
        <v>44298</v>
      </c>
      <c r="C247" s="1" t="n">
        <v>45851</v>
      </c>
      <c r="D247" t="inlineStr">
        <is>
          <t>DALARNAS LÄN</t>
        </is>
      </c>
      <c r="E247" t="inlineStr">
        <is>
          <t>SMEDJEBACKEN</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17107-2021</t>
        </is>
      </c>
      <c r="B248" s="1" t="n">
        <v>44298</v>
      </c>
      <c r="C248" s="1" t="n">
        <v>45851</v>
      </c>
      <c r="D248" t="inlineStr">
        <is>
          <t>DALARNAS LÄN</t>
        </is>
      </c>
      <c r="E248" t="inlineStr">
        <is>
          <t>SMEDJEBACKEN</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17116-2021</t>
        </is>
      </c>
      <c r="B249" s="1" t="n">
        <v>44298</v>
      </c>
      <c r="C249" s="1" t="n">
        <v>45851</v>
      </c>
      <c r="D249" t="inlineStr">
        <is>
          <t>DALARNAS LÄN</t>
        </is>
      </c>
      <c r="E249" t="inlineStr">
        <is>
          <t>SMEDJEBACKEN</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17112-2021</t>
        </is>
      </c>
      <c r="B250" s="1" t="n">
        <v>44298</v>
      </c>
      <c r="C250" s="1" t="n">
        <v>45851</v>
      </c>
      <c r="D250" t="inlineStr">
        <is>
          <t>DALARNAS LÄN</t>
        </is>
      </c>
      <c r="E250" t="inlineStr">
        <is>
          <t>SMEDJEBACKEN</t>
        </is>
      </c>
      <c r="F250" t="inlineStr">
        <is>
          <t>Sveaskog</t>
        </is>
      </c>
      <c r="G250" t="n">
        <v>6.9</v>
      </c>
      <c r="H250" t="n">
        <v>0</v>
      </c>
      <c r="I250" t="n">
        <v>0</v>
      </c>
      <c r="J250" t="n">
        <v>0</v>
      </c>
      <c r="K250" t="n">
        <v>0</v>
      </c>
      <c r="L250" t="n">
        <v>0</v>
      </c>
      <c r="M250" t="n">
        <v>0</v>
      </c>
      <c r="N250" t="n">
        <v>0</v>
      </c>
      <c r="O250" t="n">
        <v>0</v>
      </c>
      <c r="P250" t="n">
        <v>0</v>
      </c>
      <c r="Q250" t="n">
        <v>0</v>
      </c>
      <c r="R250" s="2" t="inlineStr"/>
    </row>
    <row r="251" ht="15" customHeight="1">
      <c r="A251" t="inlineStr">
        <is>
          <t>A 18120-2021</t>
        </is>
      </c>
      <c r="B251" s="1" t="n">
        <v>44302</v>
      </c>
      <c r="C251" s="1" t="n">
        <v>45851</v>
      </c>
      <c r="D251" t="inlineStr">
        <is>
          <t>DALARNAS LÄN</t>
        </is>
      </c>
      <c r="E251" t="inlineStr">
        <is>
          <t>SMEDJEBACKEN</t>
        </is>
      </c>
      <c r="G251" t="n">
        <v>0.9</v>
      </c>
      <c r="H251" t="n">
        <v>0</v>
      </c>
      <c r="I251" t="n">
        <v>0</v>
      </c>
      <c r="J251" t="n">
        <v>0</v>
      </c>
      <c r="K251" t="n">
        <v>0</v>
      </c>
      <c r="L251" t="n">
        <v>0</v>
      </c>
      <c r="M251" t="n">
        <v>0</v>
      </c>
      <c r="N251" t="n">
        <v>0</v>
      </c>
      <c r="O251" t="n">
        <v>0</v>
      </c>
      <c r="P251" t="n">
        <v>0</v>
      </c>
      <c r="Q251" t="n">
        <v>0</v>
      </c>
      <c r="R251" s="2" t="inlineStr"/>
    </row>
    <row r="252" ht="15" customHeight="1">
      <c r="A252" t="inlineStr">
        <is>
          <t>A 18198-2021</t>
        </is>
      </c>
      <c r="B252" s="1" t="n">
        <v>44302</v>
      </c>
      <c r="C252" s="1" t="n">
        <v>45851</v>
      </c>
      <c r="D252" t="inlineStr">
        <is>
          <t>DALARNAS LÄN</t>
        </is>
      </c>
      <c r="E252" t="inlineStr">
        <is>
          <t>SMEDJEBACKEN</t>
        </is>
      </c>
      <c r="F252" t="inlineStr">
        <is>
          <t>Kyrkan</t>
        </is>
      </c>
      <c r="G252" t="n">
        <v>1.1</v>
      </c>
      <c r="H252" t="n">
        <v>0</v>
      </c>
      <c r="I252" t="n">
        <v>0</v>
      </c>
      <c r="J252" t="n">
        <v>0</v>
      </c>
      <c r="K252" t="n">
        <v>0</v>
      </c>
      <c r="L252" t="n">
        <v>0</v>
      </c>
      <c r="M252" t="n">
        <v>0</v>
      </c>
      <c r="N252" t="n">
        <v>0</v>
      </c>
      <c r="O252" t="n">
        <v>0</v>
      </c>
      <c r="P252" t="n">
        <v>0</v>
      </c>
      <c r="Q252" t="n">
        <v>0</v>
      </c>
      <c r="R252" s="2" t="inlineStr"/>
    </row>
    <row r="253" ht="15" customHeight="1">
      <c r="A253" t="inlineStr">
        <is>
          <t>A 18133-2021</t>
        </is>
      </c>
      <c r="B253" s="1" t="n">
        <v>44302</v>
      </c>
      <c r="C253" s="1" t="n">
        <v>45851</v>
      </c>
      <c r="D253" t="inlineStr">
        <is>
          <t>DALARNAS LÄN</t>
        </is>
      </c>
      <c r="E253" t="inlineStr">
        <is>
          <t>SMEDJEBACKEN</t>
        </is>
      </c>
      <c r="G253" t="n">
        <v>0.7</v>
      </c>
      <c r="H253" t="n">
        <v>0</v>
      </c>
      <c r="I253" t="n">
        <v>0</v>
      </c>
      <c r="J253" t="n">
        <v>0</v>
      </c>
      <c r="K253" t="n">
        <v>0</v>
      </c>
      <c r="L253" t="n">
        <v>0</v>
      </c>
      <c r="M253" t="n">
        <v>0</v>
      </c>
      <c r="N253" t="n">
        <v>0</v>
      </c>
      <c r="O253" t="n">
        <v>0</v>
      </c>
      <c r="P253" t="n">
        <v>0</v>
      </c>
      <c r="Q253" t="n">
        <v>0</v>
      </c>
      <c r="R253" s="2" t="inlineStr"/>
    </row>
    <row r="254" ht="15" customHeight="1">
      <c r="A254" t="inlineStr">
        <is>
          <t>A 18369-2021</t>
        </is>
      </c>
      <c r="B254" s="1" t="n">
        <v>44305</v>
      </c>
      <c r="C254" s="1" t="n">
        <v>45851</v>
      </c>
      <c r="D254" t="inlineStr">
        <is>
          <t>DALARNAS LÄN</t>
        </is>
      </c>
      <c r="E254" t="inlineStr">
        <is>
          <t>SMEDJEBACKEN</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18373-2021</t>
        </is>
      </c>
      <c r="B255" s="1" t="n">
        <v>44305</v>
      </c>
      <c r="C255" s="1" t="n">
        <v>45851</v>
      </c>
      <c r="D255" t="inlineStr">
        <is>
          <t>DALARNAS LÄN</t>
        </is>
      </c>
      <c r="E255" t="inlineStr">
        <is>
          <t>SMEDJEBACKEN</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18505-2021</t>
        </is>
      </c>
      <c r="B256" s="1" t="n">
        <v>44306</v>
      </c>
      <c r="C256" s="1" t="n">
        <v>45851</v>
      </c>
      <c r="D256" t="inlineStr">
        <is>
          <t>DALARNAS LÄN</t>
        </is>
      </c>
      <c r="E256" t="inlineStr">
        <is>
          <t>SMEDJEBACKEN</t>
        </is>
      </c>
      <c r="G256" t="n">
        <v>0.8</v>
      </c>
      <c r="H256" t="n">
        <v>0</v>
      </c>
      <c r="I256" t="n">
        <v>0</v>
      </c>
      <c r="J256" t="n">
        <v>0</v>
      </c>
      <c r="K256" t="n">
        <v>0</v>
      </c>
      <c r="L256" t="n">
        <v>0</v>
      </c>
      <c r="M256" t="n">
        <v>0</v>
      </c>
      <c r="N256" t="n">
        <v>0</v>
      </c>
      <c r="O256" t="n">
        <v>0</v>
      </c>
      <c r="P256" t="n">
        <v>0</v>
      </c>
      <c r="Q256" t="n">
        <v>0</v>
      </c>
      <c r="R256" s="2" t="inlineStr"/>
    </row>
    <row r="257" ht="15" customHeight="1">
      <c r="A257" t="inlineStr">
        <is>
          <t>A 18749-2021</t>
        </is>
      </c>
      <c r="B257" s="1" t="n">
        <v>44307</v>
      </c>
      <c r="C257" s="1" t="n">
        <v>45851</v>
      </c>
      <c r="D257" t="inlineStr">
        <is>
          <t>DALARNAS LÄN</t>
        </is>
      </c>
      <c r="E257" t="inlineStr">
        <is>
          <t>SMEDJEBACKEN</t>
        </is>
      </c>
      <c r="F257" t="inlineStr">
        <is>
          <t>Övriga Aktiebolag</t>
        </is>
      </c>
      <c r="G257" t="n">
        <v>10.4</v>
      </c>
      <c r="H257" t="n">
        <v>0</v>
      </c>
      <c r="I257" t="n">
        <v>0</v>
      </c>
      <c r="J257" t="n">
        <v>0</v>
      </c>
      <c r="K257" t="n">
        <v>0</v>
      </c>
      <c r="L257" t="n">
        <v>0</v>
      </c>
      <c r="M257" t="n">
        <v>0</v>
      </c>
      <c r="N257" t="n">
        <v>0</v>
      </c>
      <c r="O257" t="n">
        <v>0</v>
      </c>
      <c r="P257" t="n">
        <v>0</v>
      </c>
      <c r="Q257" t="n">
        <v>0</v>
      </c>
      <c r="R257" s="2" t="inlineStr"/>
    </row>
    <row r="258" ht="15" customHeight="1">
      <c r="A258" t="inlineStr">
        <is>
          <t>A 18968-2021</t>
        </is>
      </c>
      <c r="B258" s="1" t="n">
        <v>44308</v>
      </c>
      <c r="C258" s="1" t="n">
        <v>45851</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19515-2021</t>
        </is>
      </c>
      <c r="B259" s="1" t="n">
        <v>44312</v>
      </c>
      <c r="C259" s="1" t="n">
        <v>45851</v>
      </c>
      <c r="D259" t="inlineStr">
        <is>
          <t>DALARNAS LÄN</t>
        </is>
      </c>
      <c r="E259" t="inlineStr">
        <is>
          <t>SMEDJEBACKEN</t>
        </is>
      </c>
      <c r="G259" t="n">
        <v>1.1</v>
      </c>
      <c r="H259" t="n">
        <v>0</v>
      </c>
      <c r="I259" t="n">
        <v>0</v>
      </c>
      <c r="J259" t="n">
        <v>0</v>
      </c>
      <c r="K259" t="n">
        <v>0</v>
      </c>
      <c r="L259" t="n">
        <v>0</v>
      </c>
      <c r="M259" t="n">
        <v>0</v>
      </c>
      <c r="N259" t="n">
        <v>0</v>
      </c>
      <c r="O259" t="n">
        <v>0</v>
      </c>
      <c r="P259" t="n">
        <v>0</v>
      </c>
      <c r="Q259" t="n">
        <v>0</v>
      </c>
      <c r="R259" s="2" t="inlineStr"/>
    </row>
    <row r="260" ht="15" customHeight="1">
      <c r="A260" t="inlineStr">
        <is>
          <t>A 19519-2021</t>
        </is>
      </c>
      <c r="B260" s="1" t="n">
        <v>44312</v>
      </c>
      <c r="C260" s="1" t="n">
        <v>45851</v>
      </c>
      <c r="D260" t="inlineStr">
        <is>
          <t>DALARNAS LÄN</t>
        </is>
      </c>
      <c r="E260" t="inlineStr">
        <is>
          <t>SMEDJEBACKEN</t>
        </is>
      </c>
      <c r="G260" t="n">
        <v>4.1</v>
      </c>
      <c r="H260" t="n">
        <v>0</v>
      </c>
      <c r="I260" t="n">
        <v>0</v>
      </c>
      <c r="J260" t="n">
        <v>0</v>
      </c>
      <c r="K260" t="n">
        <v>0</v>
      </c>
      <c r="L260" t="n">
        <v>0</v>
      </c>
      <c r="M260" t="n">
        <v>0</v>
      </c>
      <c r="N260" t="n">
        <v>0</v>
      </c>
      <c r="O260" t="n">
        <v>0</v>
      </c>
      <c r="P260" t="n">
        <v>0</v>
      </c>
      <c r="Q260" t="n">
        <v>0</v>
      </c>
      <c r="R260" s="2" t="inlineStr"/>
    </row>
    <row r="261" ht="15" customHeight="1">
      <c r="A261" t="inlineStr">
        <is>
          <t>A 20625-2021</t>
        </is>
      </c>
      <c r="B261" s="1" t="n">
        <v>44316</v>
      </c>
      <c r="C261" s="1" t="n">
        <v>45851</v>
      </c>
      <c r="D261" t="inlineStr">
        <is>
          <t>DALARNAS LÄN</t>
        </is>
      </c>
      <c r="E261" t="inlineStr">
        <is>
          <t>SMEDJEBACKEN</t>
        </is>
      </c>
      <c r="G261" t="n">
        <v>1.5</v>
      </c>
      <c r="H261" t="n">
        <v>0</v>
      </c>
      <c r="I261" t="n">
        <v>0</v>
      </c>
      <c r="J261" t="n">
        <v>0</v>
      </c>
      <c r="K261" t="n">
        <v>0</v>
      </c>
      <c r="L261" t="n">
        <v>0</v>
      </c>
      <c r="M261" t="n">
        <v>0</v>
      </c>
      <c r="N261" t="n">
        <v>0</v>
      </c>
      <c r="O261" t="n">
        <v>0</v>
      </c>
      <c r="P261" t="n">
        <v>0</v>
      </c>
      <c r="Q261" t="n">
        <v>0</v>
      </c>
      <c r="R261" s="2" t="inlineStr"/>
    </row>
    <row r="262" ht="15" customHeight="1">
      <c r="A262" t="inlineStr">
        <is>
          <t>A 20779-2021</t>
        </is>
      </c>
      <c r="B262" s="1" t="n">
        <v>44316</v>
      </c>
      <c r="C262" s="1" t="n">
        <v>45851</v>
      </c>
      <c r="D262" t="inlineStr">
        <is>
          <t>DALARNAS LÄN</t>
        </is>
      </c>
      <c r="E262" t="inlineStr">
        <is>
          <t>SMEDJEBACKEN</t>
        </is>
      </c>
      <c r="G262" t="n">
        <v>5.1</v>
      </c>
      <c r="H262" t="n">
        <v>0</v>
      </c>
      <c r="I262" t="n">
        <v>0</v>
      </c>
      <c r="J262" t="n">
        <v>0</v>
      </c>
      <c r="K262" t="n">
        <v>0</v>
      </c>
      <c r="L262" t="n">
        <v>0</v>
      </c>
      <c r="M262" t="n">
        <v>0</v>
      </c>
      <c r="N262" t="n">
        <v>0</v>
      </c>
      <c r="O262" t="n">
        <v>0</v>
      </c>
      <c r="P262" t="n">
        <v>0</v>
      </c>
      <c r="Q262" t="n">
        <v>0</v>
      </c>
      <c r="R262" s="2" t="inlineStr"/>
    </row>
    <row r="263" ht="15" customHeight="1">
      <c r="A263" t="inlineStr">
        <is>
          <t>A 20790-2021</t>
        </is>
      </c>
      <c r="B263" s="1" t="n">
        <v>44316</v>
      </c>
      <c r="C263" s="1" t="n">
        <v>45851</v>
      </c>
      <c r="D263" t="inlineStr">
        <is>
          <t>DALARNAS LÄN</t>
        </is>
      </c>
      <c r="E263" t="inlineStr">
        <is>
          <t>SMEDJEBACKEN</t>
        </is>
      </c>
      <c r="G263" t="n">
        <v>2</v>
      </c>
      <c r="H263" t="n">
        <v>0</v>
      </c>
      <c r="I263" t="n">
        <v>0</v>
      </c>
      <c r="J263" t="n">
        <v>0</v>
      </c>
      <c r="K263" t="n">
        <v>0</v>
      </c>
      <c r="L263" t="n">
        <v>0</v>
      </c>
      <c r="M263" t="n">
        <v>0</v>
      </c>
      <c r="N263" t="n">
        <v>0</v>
      </c>
      <c r="O263" t="n">
        <v>0</v>
      </c>
      <c r="P263" t="n">
        <v>0</v>
      </c>
      <c r="Q263" t="n">
        <v>0</v>
      </c>
      <c r="R263" s="2" t="inlineStr"/>
    </row>
    <row r="264" ht="15" customHeight="1">
      <c r="A264" t="inlineStr">
        <is>
          <t>A 20990-2021</t>
        </is>
      </c>
      <c r="B264" s="1" t="n">
        <v>44319</v>
      </c>
      <c r="C264" s="1" t="n">
        <v>45851</v>
      </c>
      <c r="D264" t="inlineStr">
        <is>
          <t>DALARNAS LÄN</t>
        </is>
      </c>
      <c r="E264" t="inlineStr">
        <is>
          <t>SMEDJEBACKEN</t>
        </is>
      </c>
      <c r="F264" t="inlineStr">
        <is>
          <t>Kyrkan</t>
        </is>
      </c>
      <c r="G264" t="n">
        <v>1.4</v>
      </c>
      <c r="H264" t="n">
        <v>0</v>
      </c>
      <c r="I264" t="n">
        <v>0</v>
      </c>
      <c r="J264" t="n">
        <v>0</v>
      </c>
      <c r="K264" t="n">
        <v>0</v>
      </c>
      <c r="L264" t="n">
        <v>0</v>
      </c>
      <c r="M264" t="n">
        <v>0</v>
      </c>
      <c r="N264" t="n">
        <v>0</v>
      </c>
      <c r="O264" t="n">
        <v>0</v>
      </c>
      <c r="P264" t="n">
        <v>0</v>
      </c>
      <c r="Q264" t="n">
        <v>0</v>
      </c>
      <c r="R264" s="2" t="inlineStr"/>
    </row>
    <row r="265" ht="15" customHeight="1">
      <c r="A265" t="inlineStr">
        <is>
          <t>A 21429-2021</t>
        </is>
      </c>
      <c r="B265" s="1" t="n">
        <v>44321</v>
      </c>
      <c r="C265" s="1" t="n">
        <v>45851</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21424-2021</t>
        </is>
      </c>
      <c r="B266" s="1" t="n">
        <v>44321</v>
      </c>
      <c r="C266" s="1" t="n">
        <v>45851</v>
      </c>
      <c r="D266" t="inlineStr">
        <is>
          <t>DALARNAS LÄN</t>
        </is>
      </c>
      <c r="E266" t="inlineStr">
        <is>
          <t>SMEDJEBACKEN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21468-2021</t>
        </is>
      </c>
      <c r="B267" s="1" t="n">
        <v>44321</v>
      </c>
      <c r="C267" s="1" t="n">
        <v>45851</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21414-2021</t>
        </is>
      </c>
      <c r="B268" s="1" t="n">
        <v>44321</v>
      </c>
      <c r="C268" s="1" t="n">
        <v>45851</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21451-2021</t>
        </is>
      </c>
      <c r="B269" s="1" t="n">
        <v>44321</v>
      </c>
      <c r="C269" s="1" t="n">
        <v>45851</v>
      </c>
      <c r="D269" t="inlineStr">
        <is>
          <t>DALARNAS LÄN</t>
        </is>
      </c>
      <c r="E269" t="inlineStr">
        <is>
          <t>SMEDJEBACKEN</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23040-2021</t>
        </is>
      </c>
      <c r="B270" s="1" t="n">
        <v>44329</v>
      </c>
      <c r="C270" s="1" t="n">
        <v>45851</v>
      </c>
      <c r="D270" t="inlineStr">
        <is>
          <t>DALARNAS LÄN</t>
        </is>
      </c>
      <c r="E270" t="inlineStr">
        <is>
          <t>SMEDJEBACKEN</t>
        </is>
      </c>
      <c r="F270" t="inlineStr">
        <is>
          <t>Övriga Aktiebolag</t>
        </is>
      </c>
      <c r="G270" t="n">
        <v>6</v>
      </c>
      <c r="H270" t="n">
        <v>0</v>
      </c>
      <c r="I270" t="n">
        <v>0</v>
      </c>
      <c r="J270" t="n">
        <v>0</v>
      </c>
      <c r="K270" t="n">
        <v>0</v>
      </c>
      <c r="L270" t="n">
        <v>0</v>
      </c>
      <c r="M270" t="n">
        <v>0</v>
      </c>
      <c r="N270" t="n">
        <v>0</v>
      </c>
      <c r="O270" t="n">
        <v>0</v>
      </c>
      <c r="P270" t="n">
        <v>0</v>
      </c>
      <c r="Q270" t="n">
        <v>0</v>
      </c>
      <c r="R270" s="2" t="inlineStr"/>
    </row>
    <row r="271" ht="15" customHeight="1">
      <c r="A271" t="inlineStr">
        <is>
          <t>A 23156-2021</t>
        </is>
      </c>
      <c r="B271" s="1" t="n">
        <v>44332</v>
      </c>
      <c r="C271" s="1" t="n">
        <v>45851</v>
      </c>
      <c r="D271" t="inlineStr">
        <is>
          <t>DALARNAS LÄN</t>
        </is>
      </c>
      <c r="E271" t="inlineStr">
        <is>
          <t>SMEDJEBACKEN</t>
        </is>
      </c>
      <c r="G271" t="n">
        <v>0.6</v>
      </c>
      <c r="H271" t="n">
        <v>0</v>
      </c>
      <c r="I271" t="n">
        <v>0</v>
      </c>
      <c r="J271" t="n">
        <v>0</v>
      </c>
      <c r="K271" t="n">
        <v>0</v>
      </c>
      <c r="L271" t="n">
        <v>0</v>
      </c>
      <c r="M271" t="n">
        <v>0</v>
      </c>
      <c r="N271" t="n">
        <v>0</v>
      </c>
      <c r="O271" t="n">
        <v>0</v>
      </c>
      <c r="P271" t="n">
        <v>0</v>
      </c>
      <c r="Q271" t="n">
        <v>0</v>
      </c>
      <c r="R271" s="2" t="inlineStr"/>
    </row>
    <row r="272" ht="15" customHeight="1">
      <c r="A272" t="inlineStr">
        <is>
          <t>A 23233-2021</t>
        </is>
      </c>
      <c r="B272" s="1" t="n">
        <v>44333</v>
      </c>
      <c r="C272" s="1" t="n">
        <v>45851</v>
      </c>
      <c r="D272" t="inlineStr">
        <is>
          <t>DALARNAS LÄN</t>
        </is>
      </c>
      <c r="E272" t="inlineStr">
        <is>
          <t>SMEDJEBACKEN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23251-2021</t>
        </is>
      </c>
      <c r="B273" s="1" t="n">
        <v>44333</v>
      </c>
      <c r="C273" s="1" t="n">
        <v>45851</v>
      </c>
      <c r="D273" t="inlineStr">
        <is>
          <t>DALARNAS LÄN</t>
        </is>
      </c>
      <c r="E273" t="inlineStr">
        <is>
          <t>SMEDJEBACKEN</t>
        </is>
      </c>
      <c r="F273" t="inlineStr">
        <is>
          <t>Sveaskog</t>
        </is>
      </c>
      <c r="G273" t="n">
        <v>9</v>
      </c>
      <c r="H273" t="n">
        <v>0</v>
      </c>
      <c r="I273" t="n">
        <v>0</v>
      </c>
      <c r="J273" t="n">
        <v>0</v>
      </c>
      <c r="K273" t="n">
        <v>0</v>
      </c>
      <c r="L273" t="n">
        <v>0</v>
      </c>
      <c r="M273" t="n">
        <v>0</v>
      </c>
      <c r="N273" t="n">
        <v>0</v>
      </c>
      <c r="O273" t="n">
        <v>0</v>
      </c>
      <c r="P273" t="n">
        <v>0</v>
      </c>
      <c r="Q273" t="n">
        <v>0</v>
      </c>
      <c r="R273" s="2" t="inlineStr"/>
    </row>
    <row r="274" ht="15" customHeight="1">
      <c r="A274" t="inlineStr">
        <is>
          <t>A 23220-2021</t>
        </is>
      </c>
      <c r="B274" s="1" t="n">
        <v>44333</v>
      </c>
      <c r="C274" s="1" t="n">
        <v>45851</v>
      </c>
      <c r="D274" t="inlineStr">
        <is>
          <t>DALARNAS LÄN</t>
        </is>
      </c>
      <c r="E274" t="inlineStr">
        <is>
          <t>SMEDJEBACKEN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23257-2021</t>
        </is>
      </c>
      <c r="B275" s="1" t="n">
        <v>44333</v>
      </c>
      <c r="C275" s="1" t="n">
        <v>45851</v>
      </c>
      <c r="D275" t="inlineStr">
        <is>
          <t>DALARNAS LÄN</t>
        </is>
      </c>
      <c r="E275" t="inlineStr">
        <is>
          <t>SMEDJEBACKEN</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25366-2021</t>
        </is>
      </c>
      <c r="B276" s="1" t="n">
        <v>44342</v>
      </c>
      <c r="C276" s="1" t="n">
        <v>45851</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25361-2021</t>
        </is>
      </c>
      <c r="B277" s="1" t="n">
        <v>44342</v>
      </c>
      <c r="C277" s="1" t="n">
        <v>45851</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25419-2021</t>
        </is>
      </c>
      <c r="B278" s="1" t="n">
        <v>44342</v>
      </c>
      <c r="C278" s="1" t="n">
        <v>45851</v>
      </c>
      <c r="D278" t="inlineStr">
        <is>
          <t>DALARNAS LÄN</t>
        </is>
      </c>
      <c r="E278" t="inlineStr">
        <is>
          <t>SMEDJEBACKEN</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25437-2021</t>
        </is>
      </c>
      <c r="B279" s="1" t="n">
        <v>44342</v>
      </c>
      <c r="C279" s="1" t="n">
        <v>45851</v>
      </c>
      <c r="D279" t="inlineStr">
        <is>
          <t>DALARNAS LÄN</t>
        </is>
      </c>
      <c r="E279" t="inlineStr">
        <is>
          <t>SMEDJEBACKEN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25430-2021</t>
        </is>
      </c>
      <c r="B280" s="1" t="n">
        <v>44342</v>
      </c>
      <c r="C280" s="1" t="n">
        <v>45851</v>
      </c>
      <c r="D280" t="inlineStr">
        <is>
          <t>DALARNAS LÄN</t>
        </is>
      </c>
      <c r="E280" t="inlineStr">
        <is>
          <t>SMEDJEBACKEN</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27621-2021</t>
        </is>
      </c>
      <c r="B281" s="1" t="n">
        <v>44354</v>
      </c>
      <c r="C281" s="1" t="n">
        <v>45851</v>
      </c>
      <c r="D281" t="inlineStr">
        <is>
          <t>DALARNAS LÄN</t>
        </is>
      </c>
      <c r="E281" t="inlineStr">
        <is>
          <t>SMEDJEBACKEN</t>
        </is>
      </c>
      <c r="G281" t="n">
        <v>4.5</v>
      </c>
      <c r="H281" t="n">
        <v>0</v>
      </c>
      <c r="I281" t="n">
        <v>0</v>
      </c>
      <c r="J281" t="n">
        <v>0</v>
      </c>
      <c r="K281" t="n">
        <v>0</v>
      </c>
      <c r="L281" t="n">
        <v>0</v>
      </c>
      <c r="M281" t="n">
        <v>0</v>
      </c>
      <c r="N281" t="n">
        <v>0</v>
      </c>
      <c r="O281" t="n">
        <v>0</v>
      </c>
      <c r="P281" t="n">
        <v>0</v>
      </c>
      <c r="Q281" t="n">
        <v>0</v>
      </c>
      <c r="R281" s="2" t="inlineStr"/>
    </row>
    <row r="282" ht="15" customHeight="1">
      <c r="A282" t="inlineStr">
        <is>
          <t>A 27611-2021</t>
        </is>
      </c>
      <c r="B282" s="1" t="n">
        <v>44354</v>
      </c>
      <c r="C282" s="1" t="n">
        <v>45851</v>
      </c>
      <c r="D282" t="inlineStr">
        <is>
          <t>DALARNAS LÄN</t>
        </is>
      </c>
      <c r="E282" t="inlineStr">
        <is>
          <t>SMEDJEBACKEN</t>
        </is>
      </c>
      <c r="G282" t="n">
        <v>0.9</v>
      </c>
      <c r="H282" t="n">
        <v>0</v>
      </c>
      <c r="I282" t="n">
        <v>0</v>
      </c>
      <c r="J282" t="n">
        <v>0</v>
      </c>
      <c r="K282" t="n">
        <v>0</v>
      </c>
      <c r="L282" t="n">
        <v>0</v>
      </c>
      <c r="M282" t="n">
        <v>0</v>
      </c>
      <c r="N282" t="n">
        <v>0</v>
      </c>
      <c r="O282" t="n">
        <v>0</v>
      </c>
      <c r="P282" t="n">
        <v>0</v>
      </c>
      <c r="Q282" t="n">
        <v>0</v>
      </c>
      <c r="R282" s="2" t="inlineStr"/>
    </row>
    <row r="283" ht="15" customHeight="1">
      <c r="A283" t="inlineStr">
        <is>
          <t>A 28021-2021</t>
        </is>
      </c>
      <c r="B283" s="1" t="n">
        <v>44355</v>
      </c>
      <c r="C283" s="1" t="n">
        <v>45851</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28037-2021</t>
        </is>
      </c>
      <c r="B284" s="1" t="n">
        <v>44355</v>
      </c>
      <c r="C284" s="1" t="n">
        <v>45851</v>
      </c>
      <c r="D284" t="inlineStr">
        <is>
          <t>DALARNAS LÄN</t>
        </is>
      </c>
      <c r="E284" t="inlineStr">
        <is>
          <t>SMEDJEBACKEN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28024-2021</t>
        </is>
      </c>
      <c r="B285" s="1" t="n">
        <v>44355</v>
      </c>
      <c r="C285" s="1" t="n">
        <v>45851</v>
      </c>
      <c r="D285" t="inlineStr">
        <is>
          <t>DALARNAS LÄN</t>
        </is>
      </c>
      <c r="E285" t="inlineStr">
        <is>
          <t>SMEDJEBACKEN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28049-2021</t>
        </is>
      </c>
      <c r="B286" s="1" t="n">
        <v>44355</v>
      </c>
      <c r="C286" s="1" t="n">
        <v>45851</v>
      </c>
      <c r="D286" t="inlineStr">
        <is>
          <t>DALARNAS LÄN</t>
        </is>
      </c>
      <c r="E286" t="inlineStr">
        <is>
          <t>SMEDJEBACKEN</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28008-2021</t>
        </is>
      </c>
      <c r="B287" s="1" t="n">
        <v>44355</v>
      </c>
      <c r="C287" s="1" t="n">
        <v>45851</v>
      </c>
      <c r="D287" t="inlineStr">
        <is>
          <t>DALARNAS LÄN</t>
        </is>
      </c>
      <c r="E287" t="inlineStr">
        <is>
          <t>SMEDJEBACKEN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28017-2021</t>
        </is>
      </c>
      <c r="B288" s="1" t="n">
        <v>44355</v>
      </c>
      <c r="C288" s="1" t="n">
        <v>45851</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28029-2021</t>
        </is>
      </c>
      <c r="B289" s="1" t="n">
        <v>44355</v>
      </c>
      <c r="C289" s="1" t="n">
        <v>45851</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28041-2021</t>
        </is>
      </c>
      <c r="B290" s="1" t="n">
        <v>44355</v>
      </c>
      <c r="C290" s="1" t="n">
        <v>45851</v>
      </c>
      <c r="D290" t="inlineStr">
        <is>
          <t>DALARNAS LÄN</t>
        </is>
      </c>
      <c r="E290" t="inlineStr">
        <is>
          <t>SMEDJEBACKEN</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28089-2021</t>
        </is>
      </c>
      <c r="B291" s="1" t="n">
        <v>44355</v>
      </c>
      <c r="C291" s="1" t="n">
        <v>45851</v>
      </c>
      <c r="D291" t="inlineStr">
        <is>
          <t>DALARNAS LÄN</t>
        </is>
      </c>
      <c r="E291" t="inlineStr">
        <is>
          <t>SMEDJEBACKEN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28030-2021</t>
        </is>
      </c>
      <c r="B292" s="1" t="n">
        <v>44355</v>
      </c>
      <c r="C292" s="1" t="n">
        <v>45851</v>
      </c>
      <c r="D292" t="inlineStr">
        <is>
          <t>DALARNAS LÄN</t>
        </is>
      </c>
      <c r="E292" t="inlineStr">
        <is>
          <t>SMEDJEBACKEN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28675-2021</t>
        </is>
      </c>
      <c r="B293" s="1" t="n">
        <v>44357</v>
      </c>
      <c r="C293" s="1" t="n">
        <v>45851</v>
      </c>
      <c r="D293" t="inlineStr">
        <is>
          <t>DALARNAS LÄN</t>
        </is>
      </c>
      <c r="E293" t="inlineStr">
        <is>
          <t>SMEDJEBACKEN</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30907-2021</t>
        </is>
      </c>
      <c r="B294" s="1" t="n">
        <v>44365</v>
      </c>
      <c r="C294" s="1" t="n">
        <v>45851</v>
      </c>
      <c r="D294" t="inlineStr">
        <is>
          <t>DALARNAS LÄN</t>
        </is>
      </c>
      <c r="E294" t="inlineStr">
        <is>
          <t>SMEDJEBACKEN</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32130-2021</t>
        </is>
      </c>
      <c r="B295" s="1" t="n">
        <v>44371</v>
      </c>
      <c r="C295" s="1" t="n">
        <v>45851</v>
      </c>
      <c r="D295" t="inlineStr">
        <is>
          <t>DALARNAS LÄN</t>
        </is>
      </c>
      <c r="E295" t="inlineStr">
        <is>
          <t>SMEDJEBACKEN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32985-2021</t>
        </is>
      </c>
      <c r="B296" s="1" t="n">
        <v>44376</v>
      </c>
      <c r="C296" s="1" t="n">
        <v>45851</v>
      </c>
      <c r="D296" t="inlineStr">
        <is>
          <t>DALARNAS LÄN</t>
        </is>
      </c>
      <c r="E296" t="inlineStr">
        <is>
          <t>SMEDJEBACKEN</t>
        </is>
      </c>
      <c r="G296" t="n">
        <v>5</v>
      </c>
      <c r="H296" t="n">
        <v>0</v>
      </c>
      <c r="I296" t="n">
        <v>0</v>
      </c>
      <c r="J296" t="n">
        <v>0</v>
      </c>
      <c r="K296" t="n">
        <v>0</v>
      </c>
      <c r="L296" t="n">
        <v>0</v>
      </c>
      <c r="M296" t="n">
        <v>0</v>
      </c>
      <c r="N296" t="n">
        <v>0</v>
      </c>
      <c r="O296" t="n">
        <v>0</v>
      </c>
      <c r="P296" t="n">
        <v>0</v>
      </c>
      <c r="Q296" t="n">
        <v>0</v>
      </c>
      <c r="R296" s="2" t="inlineStr"/>
    </row>
    <row r="297" ht="15" customHeight="1">
      <c r="A297" t="inlineStr">
        <is>
          <t>A 33489-2021</t>
        </is>
      </c>
      <c r="B297" s="1" t="n">
        <v>44377</v>
      </c>
      <c r="C297" s="1" t="n">
        <v>45851</v>
      </c>
      <c r="D297" t="inlineStr">
        <is>
          <t>DALARNAS LÄN</t>
        </is>
      </c>
      <c r="E297" t="inlineStr">
        <is>
          <t>SMEDJEBACKEN</t>
        </is>
      </c>
      <c r="G297" t="n">
        <v>1.8</v>
      </c>
      <c r="H297" t="n">
        <v>0</v>
      </c>
      <c r="I297" t="n">
        <v>0</v>
      </c>
      <c r="J297" t="n">
        <v>0</v>
      </c>
      <c r="K297" t="n">
        <v>0</v>
      </c>
      <c r="L297" t="n">
        <v>0</v>
      </c>
      <c r="M297" t="n">
        <v>0</v>
      </c>
      <c r="N297" t="n">
        <v>0</v>
      </c>
      <c r="O297" t="n">
        <v>0</v>
      </c>
      <c r="P297" t="n">
        <v>0</v>
      </c>
      <c r="Q297" t="n">
        <v>0</v>
      </c>
      <c r="R297" s="2" t="inlineStr"/>
    </row>
    <row r="298" ht="15" customHeight="1">
      <c r="A298" t="inlineStr">
        <is>
          <t>A 34822-2021</t>
        </is>
      </c>
      <c r="B298" s="1" t="n">
        <v>44383</v>
      </c>
      <c r="C298" s="1" t="n">
        <v>45851</v>
      </c>
      <c r="D298" t="inlineStr">
        <is>
          <t>DALARNAS LÄN</t>
        </is>
      </c>
      <c r="E298" t="inlineStr">
        <is>
          <t>SMEDJEBACKEN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36393-2021</t>
        </is>
      </c>
      <c r="B299" s="1" t="n">
        <v>44390</v>
      </c>
      <c r="C299" s="1" t="n">
        <v>45851</v>
      </c>
      <c r="D299" t="inlineStr">
        <is>
          <t>DALARNAS LÄN</t>
        </is>
      </c>
      <c r="E299" t="inlineStr">
        <is>
          <t>SMEDJEBACKEN</t>
        </is>
      </c>
      <c r="F299" t="inlineStr">
        <is>
          <t>Bergvik skog väst AB</t>
        </is>
      </c>
      <c r="G299" t="n">
        <v>4.7</v>
      </c>
      <c r="H299" t="n">
        <v>0</v>
      </c>
      <c r="I299" t="n">
        <v>0</v>
      </c>
      <c r="J299" t="n">
        <v>0</v>
      </c>
      <c r="K299" t="n">
        <v>0</v>
      </c>
      <c r="L299" t="n">
        <v>0</v>
      </c>
      <c r="M299" t="n">
        <v>0</v>
      </c>
      <c r="N299" t="n">
        <v>0</v>
      </c>
      <c r="O299" t="n">
        <v>0</v>
      </c>
      <c r="P299" t="n">
        <v>0</v>
      </c>
      <c r="Q299" t="n">
        <v>0</v>
      </c>
      <c r="R299" s="2" t="inlineStr"/>
    </row>
    <row r="300" ht="15" customHeight="1">
      <c r="A300" t="inlineStr">
        <is>
          <t>A 36385-2021</t>
        </is>
      </c>
      <c r="B300" s="1" t="n">
        <v>44390</v>
      </c>
      <c r="C300" s="1" t="n">
        <v>45851</v>
      </c>
      <c r="D300" t="inlineStr">
        <is>
          <t>DALARNAS LÄN</t>
        </is>
      </c>
      <c r="E300" t="inlineStr">
        <is>
          <t>SMEDJEBACKEN</t>
        </is>
      </c>
      <c r="G300" t="n">
        <v>4.2</v>
      </c>
      <c r="H300" t="n">
        <v>0</v>
      </c>
      <c r="I300" t="n">
        <v>0</v>
      </c>
      <c r="J300" t="n">
        <v>0</v>
      </c>
      <c r="K300" t="n">
        <v>0</v>
      </c>
      <c r="L300" t="n">
        <v>0</v>
      </c>
      <c r="M300" t="n">
        <v>0</v>
      </c>
      <c r="N300" t="n">
        <v>0</v>
      </c>
      <c r="O300" t="n">
        <v>0</v>
      </c>
      <c r="P300" t="n">
        <v>0</v>
      </c>
      <c r="Q300" t="n">
        <v>0</v>
      </c>
      <c r="R300" s="2" t="inlineStr"/>
    </row>
    <row r="301" ht="15" customHeight="1">
      <c r="A301" t="inlineStr">
        <is>
          <t>A 36360-2021</t>
        </is>
      </c>
      <c r="B301" s="1" t="n">
        <v>44390</v>
      </c>
      <c r="C301" s="1" t="n">
        <v>45851</v>
      </c>
      <c r="D301" t="inlineStr">
        <is>
          <t>DALARNAS LÄN</t>
        </is>
      </c>
      <c r="E301" t="inlineStr">
        <is>
          <t>SMEDJEBACKEN</t>
        </is>
      </c>
      <c r="G301" t="n">
        <v>0.9</v>
      </c>
      <c r="H301" t="n">
        <v>0</v>
      </c>
      <c r="I301" t="n">
        <v>0</v>
      </c>
      <c r="J301" t="n">
        <v>0</v>
      </c>
      <c r="K301" t="n">
        <v>0</v>
      </c>
      <c r="L301" t="n">
        <v>0</v>
      </c>
      <c r="M301" t="n">
        <v>0</v>
      </c>
      <c r="N301" t="n">
        <v>0</v>
      </c>
      <c r="O301" t="n">
        <v>0</v>
      </c>
      <c r="P301" t="n">
        <v>0</v>
      </c>
      <c r="Q301" t="n">
        <v>0</v>
      </c>
      <c r="R301" s="2" t="inlineStr"/>
    </row>
    <row r="302" ht="15" customHeight="1">
      <c r="A302" t="inlineStr">
        <is>
          <t>A 37851-2021</t>
        </is>
      </c>
      <c r="B302" s="1" t="n">
        <v>44403</v>
      </c>
      <c r="C302" s="1" t="n">
        <v>45851</v>
      </c>
      <c r="D302" t="inlineStr">
        <is>
          <t>DALARNAS LÄN</t>
        </is>
      </c>
      <c r="E302" t="inlineStr">
        <is>
          <t>SMEDJEBACKEN</t>
        </is>
      </c>
      <c r="G302" t="n">
        <v>2.9</v>
      </c>
      <c r="H302" t="n">
        <v>0</v>
      </c>
      <c r="I302" t="n">
        <v>0</v>
      </c>
      <c r="J302" t="n">
        <v>0</v>
      </c>
      <c r="K302" t="n">
        <v>0</v>
      </c>
      <c r="L302" t="n">
        <v>0</v>
      </c>
      <c r="M302" t="n">
        <v>0</v>
      </c>
      <c r="N302" t="n">
        <v>0</v>
      </c>
      <c r="O302" t="n">
        <v>0</v>
      </c>
      <c r="P302" t="n">
        <v>0</v>
      </c>
      <c r="Q302" t="n">
        <v>0</v>
      </c>
      <c r="R302" s="2" t="inlineStr"/>
    </row>
    <row r="303" ht="15" customHeight="1">
      <c r="A303" t="inlineStr">
        <is>
          <t>A 38680-2021</t>
        </is>
      </c>
      <c r="B303" s="1" t="n">
        <v>44410</v>
      </c>
      <c r="C303" s="1" t="n">
        <v>45851</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38800-2021</t>
        </is>
      </c>
      <c r="B304" s="1" t="n">
        <v>44410</v>
      </c>
      <c r="C304" s="1" t="n">
        <v>45851</v>
      </c>
      <c r="D304" t="inlineStr">
        <is>
          <t>DALARNAS LÄN</t>
        </is>
      </c>
      <c r="E304" t="inlineStr">
        <is>
          <t>SMEDJEBACKEN</t>
        </is>
      </c>
      <c r="G304" t="n">
        <v>1.4</v>
      </c>
      <c r="H304" t="n">
        <v>0</v>
      </c>
      <c r="I304" t="n">
        <v>0</v>
      </c>
      <c r="J304" t="n">
        <v>0</v>
      </c>
      <c r="K304" t="n">
        <v>0</v>
      </c>
      <c r="L304" t="n">
        <v>0</v>
      </c>
      <c r="M304" t="n">
        <v>0</v>
      </c>
      <c r="N304" t="n">
        <v>0</v>
      </c>
      <c r="O304" t="n">
        <v>0</v>
      </c>
      <c r="P304" t="n">
        <v>0</v>
      </c>
      <c r="Q304" t="n">
        <v>0</v>
      </c>
      <c r="R304" s="2" t="inlineStr"/>
    </row>
    <row r="305" ht="15" customHeight="1">
      <c r="A305" t="inlineStr">
        <is>
          <t>A 38797-2021</t>
        </is>
      </c>
      <c r="B305" s="1" t="n">
        <v>44410</v>
      </c>
      <c r="C305" s="1" t="n">
        <v>45851</v>
      </c>
      <c r="D305" t="inlineStr">
        <is>
          <t>DALARNAS LÄN</t>
        </is>
      </c>
      <c r="E305" t="inlineStr">
        <is>
          <t>SMEDJEBACKEN</t>
        </is>
      </c>
      <c r="G305" t="n">
        <v>1.5</v>
      </c>
      <c r="H305" t="n">
        <v>0</v>
      </c>
      <c r="I305" t="n">
        <v>0</v>
      </c>
      <c r="J305" t="n">
        <v>0</v>
      </c>
      <c r="K305" t="n">
        <v>0</v>
      </c>
      <c r="L305" t="n">
        <v>0</v>
      </c>
      <c r="M305" t="n">
        <v>0</v>
      </c>
      <c r="N305" t="n">
        <v>0</v>
      </c>
      <c r="O305" t="n">
        <v>0</v>
      </c>
      <c r="P305" t="n">
        <v>0</v>
      </c>
      <c r="Q305" t="n">
        <v>0</v>
      </c>
      <c r="R305" s="2" t="inlineStr"/>
    </row>
    <row r="306" ht="15" customHeight="1">
      <c r="A306" t="inlineStr">
        <is>
          <t>A 38803-2021</t>
        </is>
      </c>
      <c r="B306" s="1" t="n">
        <v>44410</v>
      </c>
      <c r="C306" s="1" t="n">
        <v>45851</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39085-2021</t>
        </is>
      </c>
      <c r="B307" s="1" t="n">
        <v>44412</v>
      </c>
      <c r="C307" s="1" t="n">
        <v>45851</v>
      </c>
      <c r="D307" t="inlineStr">
        <is>
          <t>DALARNAS LÄN</t>
        </is>
      </c>
      <c r="E307" t="inlineStr">
        <is>
          <t>SMEDJEBACKEN</t>
        </is>
      </c>
      <c r="G307" t="n">
        <v>5.2</v>
      </c>
      <c r="H307" t="n">
        <v>0</v>
      </c>
      <c r="I307" t="n">
        <v>0</v>
      </c>
      <c r="J307" t="n">
        <v>0</v>
      </c>
      <c r="K307" t="n">
        <v>0</v>
      </c>
      <c r="L307" t="n">
        <v>0</v>
      </c>
      <c r="M307" t="n">
        <v>0</v>
      </c>
      <c r="N307" t="n">
        <v>0</v>
      </c>
      <c r="O307" t="n">
        <v>0</v>
      </c>
      <c r="P307" t="n">
        <v>0</v>
      </c>
      <c r="Q307" t="n">
        <v>0</v>
      </c>
      <c r="R307" s="2" t="inlineStr"/>
    </row>
    <row r="308" ht="15" customHeight="1">
      <c r="A308" t="inlineStr">
        <is>
          <t>A 39713-2021</t>
        </is>
      </c>
      <c r="B308" s="1" t="n">
        <v>44414</v>
      </c>
      <c r="C308" s="1" t="n">
        <v>45851</v>
      </c>
      <c r="D308" t="inlineStr">
        <is>
          <t>DALARNAS LÄN</t>
        </is>
      </c>
      <c r="E308" t="inlineStr">
        <is>
          <t>SMEDJEBACKEN</t>
        </is>
      </c>
      <c r="G308" t="n">
        <v>4.1</v>
      </c>
      <c r="H308" t="n">
        <v>0</v>
      </c>
      <c r="I308" t="n">
        <v>0</v>
      </c>
      <c r="J308" t="n">
        <v>0</v>
      </c>
      <c r="K308" t="n">
        <v>0</v>
      </c>
      <c r="L308" t="n">
        <v>0</v>
      </c>
      <c r="M308" t="n">
        <v>0</v>
      </c>
      <c r="N308" t="n">
        <v>0</v>
      </c>
      <c r="O308" t="n">
        <v>0</v>
      </c>
      <c r="P308" t="n">
        <v>0</v>
      </c>
      <c r="Q308" t="n">
        <v>0</v>
      </c>
      <c r="R308" s="2" t="inlineStr"/>
    </row>
    <row r="309" ht="15" customHeight="1">
      <c r="A309" t="inlineStr">
        <is>
          <t>A 39731-2021</t>
        </is>
      </c>
      <c r="B309" s="1" t="n">
        <v>44414</v>
      </c>
      <c r="C309" s="1" t="n">
        <v>45851</v>
      </c>
      <c r="D309" t="inlineStr">
        <is>
          <t>DALARNAS LÄN</t>
        </is>
      </c>
      <c r="E309" t="inlineStr">
        <is>
          <t>SMEDJEBACKEN</t>
        </is>
      </c>
      <c r="G309" t="n">
        <v>3.2</v>
      </c>
      <c r="H309" t="n">
        <v>0</v>
      </c>
      <c r="I309" t="n">
        <v>0</v>
      </c>
      <c r="J309" t="n">
        <v>0</v>
      </c>
      <c r="K309" t="n">
        <v>0</v>
      </c>
      <c r="L309" t="n">
        <v>0</v>
      </c>
      <c r="M309" t="n">
        <v>0</v>
      </c>
      <c r="N309" t="n">
        <v>0</v>
      </c>
      <c r="O309" t="n">
        <v>0</v>
      </c>
      <c r="P309" t="n">
        <v>0</v>
      </c>
      <c r="Q309" t="n">
        <v>0</v>
      </c>
      <c r="R309" s="2" t="inlineStr"/>
    </row>
    <row r="310" ht="15" customHeight="1">
      <c r="A310" t="inlineStr">
        <is>
          <t>A 39719-2021</t>
        </is>
      </c>
      <c r="B310" s="1" t="n">
        <v>44414</v>
      </c>
      <c r="C310" s="1" t="n">
        <v>45851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39734-2021</t>
        </is>
      </c>
      <c r="B311" s="1" t="n">
        <v>44414</v>
      </c>
      <c r="C311" s="1" t="n">
        <v>45851</v>
      </c>
      <c r="D311" t="inlineStr">
        <is>
          <t>DALARNAS LÄN</t>
        </is>
      </c>
      <c r="E311" t="inlineStr">
        <is>
          <t>SMEDJEBACKEN</t>
        </is>
      </c>
      <c r="G311" t="n">
        <v>4.4</v>
      </c>
      <c r="H311" t="n">
        <v>0</v>
      </c>
      <c r="I311" t="n">
        <v>0</v>
      </c>
      <c r="J311" t="n">
        <v>0</v>
      </c>
      <c r="K311" t="n">
        <v>0</v>
      </c>
      <c r="L311" t="n">
        <v>0</v>
      </c>
      <c r="M311" t="n">
        <v>0</v>
      </c>
      <c r="N311" t="n">
        <v>0</v>
      </c>
      <c r="O311" t="n">
        <v>0</v>
      </c>
      <c r="P311" t="n">
        <v>0</v>
      </c>
      <c r="Q311" t="n">
        <v>0</v>
      </c>
      <c r="R311" s="2" t="inlineStr"/>
    </row>
    <row r="312" ht="15" customHeight="1">
      <c r="A312" t="inlineStr">
        <is>
          <t>A 39726-2021</t>
        </is>
      </c>
      <c r="B312" s="1" t="n">
        <v>44414</v>
      </c>
      <c r="C312" s="1" t="n">
        <v>45851</v>
      </c>
      <c r="D312" t="inlineStr">
        <is>
          <t>DALARNAS LÄN</t>
        </is>
      </c>
      <c r="E312" t="inlineStr">
        <is>
          <t>SMEDJEBACKEN</t>
        </is>
      </c>
      <c r="G312" t="n">
        <v>10.6</v>
      </c>
      <c r="H312" t="n">
        <v>0</v>
      </c>
      <c r="I312" t="n">
        <v>0</v>
      </c>
      <c r="J312" t="n">
        <v>0</v>
      </c>
      <c r="K312" t="n">
        <v>0</v>
      </c>
      <c r="L312" t="n">
        <v>0</v>
      </c>
      <c r="M312" t="n">
        <v>0</v>
      </c>
      <c r="N312" t="n">
        <v>0</v>
      </c>
      <c r="O312" t="n">
        <v>0</v>
      </c>
      <c r="P312" t="n">
        <v>0</v>
      </c>
      <c r="Q312" t="n">
        <v>0</v>
      </c>
      <c r="R312" s="2" t="inlineStr"/>
    </row>
    <row r="313" ht="15" customHeight="1">
      <c r="A313" t="inlineStr">
        <is>
          <t>A 39535-2021</t>
        </is>
      </c>
      <c r="B313" s="1" t="n">
        <v>44416</v>
      </c>
      <c r="C313" s="1" t="n">
        <v>45851</v>
      </c>
      <c r="D313" t="inlineStr">
        <is>
          <t>DALARNAS LÄN</t>
        </is>
      </c>
      <c r="E313" t="inlineStr">
        <is>
          <t>SMEDJEBACKEN</t>
        </is>
      </c>
      <c r="G313" t="n">
        <v>2.6</v>
      </c>
      <c r="H313" t="n">
        <v>0</v>
      </c>
      <c r="I313" t="n">
        <v>0</v>
      </c>
      <c r="J313" t="n">
        <v>0</v>
      </c>
      <c r="K313" t="n">
        <v>0</v>
      </c>
      <c r="L313" t="n">
        <v>0</v>
      </c>
      <c r="M313" t="n">
        <v>0</v>
      </c>
      <c r="N313" t="n">
        <v>0</v>
      </c>
      <c r="O313" t="n">
        <v>0</v>
      </c>
      <c r="P313" t="n">
        <v>0</v>
      </c>
      <c r="Q313" t="n">
        <v>0</v>
      </c>
      <c r="R313" s="2" t="inlineStr"/>
    </row>
    <row r="314" ht="15" customHeight="1">
      <c r="A314" t="inlineStr">
        <is>
          <t>A 39536-2021</t>
        </is>
      </c>
      <c r="B314" s="1" t="n">
        <v>44416</v>
      </c>
      <c r="C314" s="1" t="n">
        <v>45851</v>
      </c>
      <c r="D314" t="inlineStr">
        <is>
          <t>DALARNAS LÄN</t>
        </is>
      </c>
      <c r="E314" t="inlineStr">
        <is>
          <t>SMEDJEBACKEN</t>
        </is>
      </c>
      <c r="G314" t="n">
        <v>5.1</v>
      </c>
      <c r="H314" t="n">
        <v>0</v>
      </c>
      <c r="I314" t="n">
        <v>0</v>
      </c>
      <c r="J314" t="n">
        <v>0</v>
      </c>
      <c r="K314" t="n">
        <v>0</v>
      </c>
      <c r="L314" t="n">
        <v>0</v>
      </c>
      <c r="M314" t="n">
        <v>0</v>
      </c>
      <c r="N314" t="n">
        <v>0</v>
      </c>
      <c r="O314" t="n">
        <v>0</v>
      </c>
      <c r="P314" t="n">
        <v>0</v>
      </c>
      <c r="Q314" t="n">
        <v>0</v>
      </c>
      <c r="R314" s="2" t="inlineStr"/>
    </row>
    <row r="315" ht="15" customHeight="1">
      <c r="A315" t="inlineStr">
        <is>
          <t>A 39599-2021</t>
        </is>
      </c>
      <c r="B315" s="1" t="n">
        <v>44417</v>
      </c>
      <c r="C315" s="1" t="n">
        <v>45851</v>
      </c>
      <c r="D315" t="inlineStr">
        <is>
          <t>DALARNAS LÄN</t>
        </is>
      </c>
      <c r="E315" t="inlineStr">
        <is>
          <t>SMEDJEBACKEN</t>
        </is>
      </c>
      <c r="G315" t="n">
        <v>2.4</v>
      </c>
      <c r="H315" t="n">
        <v>0</v>
      </c>
      <c r="I315" t="n">
        <v>0</v>
      </c>
      <c r="J315" t="n">
        <v>0</v>
      </c>
      <c r="K315" t="n">
        <v>0</v>
      </c>
      <c r="L315" t="n">
        <v>0</v>
      </c>
      <c r="M315" t="n">
        <v>0</v>
      </c>
      <c r="N315" t="n">
        <v>0</v>
      </c>
      <c r="O315" t="n">
        <v>0</v>
      </c>
      <c r="P315" t="n">
        <v>0</v>
      </c>
      <c r="Q315" t="n">
        <v>0</v>
      </c>
      <c r="R315" s="2" t="inlineStr"/>
    </row>
    <row r="316" ht="15" customHeight="1">
      <c r="A316" t="inlineStr">
        <is>
          <t>A 39604-2021</t>
        </is>
      </c>
      <c r="B316" s="1" t="n">
        <v>44417</v>
      </c>
      <c r="C316" s="1" t="n">
        <v>45851</v>
      </c>
      <c r="D316" t="inlineStr">
        <is>
          <t>DALARNAS LÄN</t>
        </is>
      </c>
      <c r="E316" t="inlineStr">
        <is>
          <t>SMEDJEBACKEN</t>
        </is>
      </c>
      <c r="G316" t="n">
        <v>1.6</v>
      </c>
      <c r="H316" t="n">
        <v>0</v>
      </c>
      <c r="I316" t="n">
        <v>0</v>
      </c>
      <c r="J316" t="n">
        <v>0</v>
      </c>
      <c r="K316" t="n">
        <v>0</v>
      </c>
      <c r="L316" t="n">
        <v>0</v>
      </c>
      <c r="M316" t="n">
        <v>0</v>
      </c>
      <c r="N316" t="n">
        <v>0</v>
      </c>
      <c r="O316" t="n">
        <v>0</v>
      </c>
      <c r="P316" t="n">
        <v>0</v>
      </c>
      <c r="Q316" t="n">
        <v>0</v>
      </c>
      <c r="R316" s="2" t="inlineStr"/>
    </row>
    <row r="317" ht="15" customHeight="1">
      <c r="A317" t="inlineStr">
        <is>
          <t>A 39816-2021</t>
        </is>
      </c>
      <c r="B317" s="1" t="n">
        <v>44417</v>
      </c>
      <c r="C317" s="1" t="n">
        <v>45851</v>
      </c>
      <c r="D317" t="inlineStr">
        <is>
          <t>DALARNAS LÄN</t>
        </is>
      </c>
      <c r="E317" t="inlineStr">
        <is>
          <t>SMEDJEBACKEN</t>
        </is>
      </c>
      <c r="G317" t="n">
        <v>3.1</v>
      </c>
      <c r="H317" t="n">
        <v>0</v>
      </c>
      <c r="I317" t="n">
        <v>0</v>
      </c>
      <c r="J317" t="n">
        <v>0</v>
      </c>
      <c r="K317" t="n">
        <v>0</v>
      </c>
      <c r="L317" t="n">
        <v>0</v>
      </c>
      <c r="M317" t="n">
        <v>0</v>
      </c>
      <c r="N317" t="n">
        <v>0</v>
      </c>
      <c r="O317" t="n">
        <v>0</v>
      </c>
      <c r="P317" t="n">
        <v>0</v>
      </c>
      <c r="Q317" t="n">
        <v>0</v>
      </c>
      <c r="R317" s="2" t="inlineStr"/>
    </row>
    <row r="318" ht="15" customHeight="1">
      <c r="A318" t="inlineStr">
        <is>
          <t>A 40561-2021</t>
        </is>
      </c>
      <c r="B318" s="1" t="n">
        <v>44420</v>
      </c>
      <c r="C318" s="1" t="n">
        <v>45851</v>
      </c>
      <c r="D318" t="inlineStr">
        <is>
          <t>DALARNAS LÄN</t>
        </is>
      </c>
      <c r="E318" t="inlineStr">
        <is>
          <t>SMEDJEBACKEN</t>
        </is>
      </c>
      <c r="G318" t="n">
        <v>0.5</v>
      </c>
      <c r="H318" t="n">
        <v>0</v>
      </c>
      <c r="I318" t="n">
        <v>0</v>
      </c>
      <c r="J318" t="n">
        <v>0</v>
      </c>
      <c r="K318" t="n">
        <v>0</v>
      </c>
      <c r="L318" t="n">
        <v>0</v>
      </c>
      <c r="M318" t="n">
        <v>0</v>
      </c>
      <c r="N318" t="n">
        <v>0</v>
      </c>
      <c r="O318" t="n">
        <v>0</v>
      </c>
      <c r="P318" t="n">
        <v>0</v>
      </c>
      <c r="Q318" t="n">
        <v>0</v>
      </c>
      <c r="R318" s="2" t="inlineStr"/>
    </row>
    <row r="319" ht="15" customHeight="1">
      <c r="A319" t="inlineStr">
        <is>
          <t>A 40768-2021</t>
        </is>
      </c>
      <c r="B319" s="1" t="n">
        <v>44420</v>
      </c>
      <c r="C319" s="1" t="n">
        <v>45851</v>
      </c>
      <c r="D319" t="inlineStr">
        <is>
          <t>DALARNAS LÄN</t>
        </is>
      </c>
      <c r="E319" t="inlineStr">
        <is>
          <t>SMEDJEBACKEN</t>
        </is>
      </c>
      <c r="G319" t="n">
        <v>0.8</v>
      </c>
      <c r="H319" t="n">
        <v>0</v>
      </c>
      <c r="I319" t="n">
        <v>0</v>
      </c>
      <c r="J319" t="n">
        <v>0</v>
      </c>
      <c r="K319" t="n">
        <v>0</v>
      </c>
      <c r="L319" t="n">
        <v>0</v>
      </c>
      <c r="M319" t="n">
        <v>0</v>
      </c>
      <c r="N319" t="n">
        <v>0</v>
      </c>
      <c r="O319" t="n">
        <v>0</v>
      </c>
      <c r="P319" t="n">
        <v>0</v>
      </c>
      <c r="Q319" t="n">
        <v>0</v>
      </c>
      <c r="R319" s="2" t="inlineStr"/>
    </row>
    <row r="320" ht="15" customHeight="1">
      <c r="A320" t="inlineStr">
        <is>
          <t>A 41303-2021</t>
        </is>
      </c>
      <c r="B320" s="1" t="n">
        <v>44424</v>
      </c>
      <c r="C320" s="1" t="n">
        <v>45851</v>
      </c>
      <c r="D320" t="inlineStr">
        <is>
          <t>DALARNAS LÄN</t>
        </is>
      </c>
      <c r="E320" t="inlineStr">
        <is>
          <t>SMEDJEBACKEN</t>
        </is>
      </c>
      <c r="G320" t="n">
        <v>3.7</v>
      </c>
      <c r="H320" t="n">
        <v>0</v>
      </c>
      <c r="I320" t="n">
        <v>0</v>
      </c>
      <c r="J320" t="n">
        <v>0</v>
      </c>
      <c r="K320" t="n">
        <v>0</v>
      </c>
      <c r="L320" t="n">
        <v>0</v>
      </c>
      <c r="M320" t="n">
        <v>0</v>
      </c>
      <c r="N320" t="n">
        <v>0</v>
      </c>
      <c r="O320" t="n">
        <v>0</v>
      </c>
      <c r="P320" t="n">
        <v>0</v>
      </c>
      <c r="Q320" t="n">
        <v>0</v>
      </c>
      <c r="R320" s="2" t="inlineStr"/>
    </row>
    <row r="321" ht="15" customHeight="1">
      <c r="A321" t="inlineStr">
        <is>
          <t>A 42290-2021</t>
        </is>
      </c>
      <c r="B321" s="1" t="n">
        <v>44426</v>
      </c>
      <c r="C321" s="1" t="n">
        <v>45851</v>
      </c>
      <c r="D321" t="inlineStr">
        <is>
          <t>DALARNAS LÄN</t>
        </is>
      </c>
      <c r="E321" t="inlineStr">
        <is>
          <t>SMEDJEBACKEN</t>
        </is>
      </c>
      <c r="F321" t="inlineStr">
        <is>
          <t>Bergvik skog väst AB</t>
        </is>
      </c>
      <c r="G321" t="n">
        <v>5.5</v>
      </c>
      <c r="H321" t="n">
        <v>0</v>
      </c>
      <c r="I321" t="n">
        <v>0</v>
      </c>
      <c r="J321" t="n">
        <v>0</v>
      </c>
      <c r="K321" t="n">
        <v>0</v>
      </c>
      <c r="L321" t="n">
        <v>0</v>
      </c>
      <c r="M321" t="n">
        <v>0</v>
      </c>
      <c r="N321" t="n">
        <v>0</v>
      </c>
      <c r="O321" t="n">
        <v>0</v>
      </c>
      <c r="P321" t="n">
        <v>0</v>
      </c>
      <c r="Q321" t="n">
        <v>0</v>
      </c>
      <c r="R321" s="2" t="inlineStr"/>
    </row>
    <row r="322" ht="15" customHeight="1">
      <c r="A322" t="inlineStr">
        <is>
          <t>A 42418-2021</t>
        </is>
      </c>
      <c r="B322" s="1" t="n">
        <v>44427</v>
      </c>
      <c r="C322" s="1" t="n">
        <v>45851</v>
      </c>
      <c r="D322" t="inlineStr">
        <is>
          <t>DALARNAS LÄN</t>
        </is>
      </c>
      <c r="E322" t="inlineStr">
        <is>
          <t>SMEDJEBACKEN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43137-2021</t>
        </is>
      </c>
      <c r="B323" s="1" t="n">
        <v>44431</v>
      </c>
      <c r="C323" s="1" t="n">
        <v>45851</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43135-2021</t>
        </is>
      </c>
      <c r="B324" s="1" t="n">
        <v>44431</v>
      </c>
      <c r="C324" s="1" t="n">
        <v>45851</v>
      </c>
      <c r="D324" t="inlineStr">
        <is>
          <t>DALARNAS LÄN</t>
        </is>
      </c>
      <c r="E324" t="inlineStr">
        <is>
          <t>SMEDJEBACKEN</t>
        </is>
      </c>
      <c r="G324" t="n">
        <v>1.3</v>
      </c>
      <c r="H324" t="n">
        <v>0</v>
      </c>
      <c r="I324" t="n">
        <v>0</v>
      </c>
      <c r="J324" t="n">
        <v>0</v>
      </c>
      <c r="K324" t="n">
        <v>0</v>
      </c>
      <c r="L324" t="n">
        <v>0</v>
      </c>
      <c r="M324" t="n">
        <v>0</v>
      </c>
      <c r="N324" t="n">
        <v>0</v>
      </c>
      <c r="O324" t="n">
        <v>0</v>
      </c>
      <c r="P324" t="n">
        <v>0</v>
      </c>
      <c r="Q324" t="n">
        <v>0</v>
      </c>
      <c r="R324" s="2" t="inlineStr"/>
    </row>
    <row r="325" ht="15" customHeight="1">
      <c r="A325" t="inlineStr">
        <is>
          <t>A 43375-2021</t>
        </is>
      </c>
      <c r="B325" s="1" t="n">
        <v>44432</v>
      </c>
      <c r="C325" s="1" t="n">
        <v>45851</v>
      </c>
      <c r="D325" t="inlineStr">
        <is>
          <t>DALARNAS LÄN</t>
        </is>
      </c>
      <c r="E325" t="inlineStr">
        <is>
          <t>SMEDJEBACKEN</t>
        </is>
      </c>
      <c r="G325" t="n">
        <v>1.9</v>
      </c>
      <c r="H325" t="n">
        <v>0</v>
      </c>
      <c r="I325" t="n">
        <v>0</v>
      </c>
      <c r="J325" t="n">
        <v>0</v>
      </c>
      <c r="K325" t="n">
        <v>0</v>
      </c>
      <c r="L325" t="n">
        <v>0</v>
      </c>
      <c r="M325" t="n">
        <v>0</v>
      </c>
      <c r="N325" t="n">
        <v>0</v>
      </c>
      <c r="O325" t="n">
        <v>0</v>
      </c>
      <c r="P325" t="n">
        <v>0</v>
      </c>
      <c r="Q325" t="n">
        <v>0</v>
      </c>
      <c r="R325" s="2" t="inlineStr"/>
    </row>
    <row r="326" ht="15" customHeight="1">
      <c r="A326" t="inlineStr">
        <is>
          <t>A 44126-2021</t>
        </is>
      </c>
      <c r="B326" s="1" t="n">
        <v>44434</v>
      </c>
      <c r="C326" s="1" t="n">
        <v>45851</v>
      </c>
      <c r="D326" t="inlineStr">
        <is>
          <t>DALARNAS LÄN</t>
        </is>
      </c>
      <c r="E326" t="inlineStr">
        <is>
          <t>SMEDJEBACKEN</t>
        </is>
      </c>
      <c r="G326" t="n">
        <v>0.3</v>
      </c>
      <c r="H326" t="n">
        <v>0</v>
      </c>
      <c r="I326" t="n">
        <v>0</v>
      </c>
      <c r="J326" t="n">
        <v>0</v>
      </c>
      <c r="K326" t="n">
        <v>0</v>
      </c>
      <c r="L326" t="n">
        <v>0</v>
      </c>
      <c r="M326" t="n">
        <v>0</v>
      </c>
      <c r="N326" t="n">
        <v>0</v>
      </c>
      <c r="O326" t="n">
        <v>0</v>
      </c>
      <c r="P326" t="n">
        <v>0</v>
      </c>
      <c r="Q326" t="n">
        <v>0</v>
      </c>
      <c r="R326" s="2" t="inlineStr"/>
    </row>
    <row r="327" ht="15" customHeight="1">
      <c r="A327" t="inlineStr">
        <is>
          <t>A 44117-2021</t>
        </is>
      </c>
      <c r="B327" s="1" t="n">
        <v>44434</v>
      </c>
      <c r="C327" s="1" t="n">
        <v>45851</v>
      </c>
      <c r="D327" t="inlineStr">
        <is>
          <t>DALARNAS LÄN</t>
        </is>
      </c>
      <c r="E327" t="inlineStr">
        <is>
          <t>SMEDJEBACKEN</t>
        </is>
      </c>
      <c r="G327" t="n">
        <v>1.2</v>
      </c>
      <c r="H327" t="n">
        <v>0</v>
      </c>
      <c r="I327" t="n">
        <v>0</v>
      </c>
      <c r="J327" t="n">
        <v>0</v>
      </c>
      <c r="K327" t="n">
        <v>0</v>
      </c>
      <c r="L327" t="n">
        <v>0</v>
      </c>
      <c r="M327" t="n">
        <v>0</v>
      </c>
      <c r="N327" t="n">
        <v>0</v>
      </c>
      <c r="O327" t="n">
        <v>0</v>
      </c>
      <c r="P327" t="n">
        <v>0</v>
      </c>
      <c r="Q327" t="n">
        <v>0</v>
      </c>
      <c r="R327" s="2" t="inlineStr"/>
    </row>
    <row r="328" ht="15" customHeight="1">
      <c r="A328" t="inlineStr">
        <is>
          <t>A 44250-2021</t>
        </is>
      </c>
      <c r="B328" s="1" t="n">
        <v>44434</v>
      </c>
      <c r="C328" s="1" t="n">
        <v>45851</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44141-2021</t>
        </is>
      </c>
      <c r="B329" s="1" t="n">
        <v>44434</v>
      </c>
      <c r="C329" s="1" t="n">
        <v>45851</v>
      </c>
      <c r="D329" t="inlineStr">
        <is>
          <t>DALARNAS LÄN</t>
        </is>
      </c>
      <c r="E329" t="inlineStr">
        <is>
          <t>SMEDJEBACKEN</t>
        </is>
      </c>
      <c r="G329" t="n">
        <v>0.7</v>
      </c>
      <c r="H329" t="n">
        <v>0</v>
      </c>
      <c r="I329" t="n">
        <v>0</v>
      </c>
      <c r="J329" t="n">
        <v>0</v>
      </c>
      <c r="K329" t="n">
        <v>0</v>
      </c>
      <c r="L329" t="n">
        <v>0</v>
      </c>
      <c r="M329" t="n">
        <v>0</v>
      </c>
      <c r="N329" t="n">
        <v>0</v>
      </c>
      <c r="O329" t="n">
        <v>0</v>
      </c>
      <c r="P329" t="n">
        <v>0</v>
      </c>
      <c r="Q329" t="n">
        <v>0</v>
      </c>
      <c r="R329" s="2" t="inlineStr"/>
    </row>
    <row r="330" ht="15" customHeight="1">
      <c r="A330" t="inlineStr">
        <is>
          <t>A 44249-2021</t>
        </is>
      </c>
      <c r="B330" s="1" t="n">
        <v>44434</v>
      </c>
      <c r="C330" s="1" t="n">
        <v>45851</v>
      </c>
      <c r="D330" t="inlineStr">
        <is>
          <t>DALARNAS LÄN</t>
        </is>
      </c>
      <c r="E330" t="inlineStr">
        <is>
          <t>SMEDJEBACKEN</t>
        </is>
      </c>
      <c r="G330" t="n">
        <v>0.9</v>
      </c>
      <c r="H330" t="n">
        <v>0</v>
      </c>
      <c r="I330" t="n">
        <v>0</v>
      </c>
      <c r="J330" t="n">
        <v>0</v>
      </c>
      <c r="K330" t="n">
        <v>0</v>
      </c>
      <c r="L330" t="n">
        <v>0</v>
      </c>
      <c r="M330" t="n">
        <v>0</v>
      </c>
      <c r="N330" t="n">
        <v>0</v>
      </c>
      <c r="O330" t="n">
        <v>0</v>
      </c>
      <c r="P330" t="n">
        <v>0</v>
      </c>
      <c r="Q330" t="n">
        <v>0</v>
      </c>
      <c r="R330" s="2" t="inlineStr"/>
    </row>
    <row r="331" ht="15" customHeight="1">
      <c r="A331" t="inlineStr">
        <is>
          <t>A 45382-2021</t>
        </is>
      </c>
      <c r="B331" s="1" t="n">
        <v>44440</v>
      </c>
      <c r="C331" s="1" t="n">
        <v>45851</v>
      </c>
      <c r="D331" t="inlineStr">
        <is>
          <t>DALARNAS LÄN</t>
        </is>
      </c>
      <c r="E331" t="inlineStr">
        <is>
          <t>SMEDJEBACKEN</t>
        </is>
      </c>
      <c r="F331" t="inlineStr">
        <is>
          <t>Kyrkan</t>
        </is>
      </c>
      <c r="G331" t="n">
        <v>1.1</v>
      </c>
      <c r="H331" t="n">
        <v>0</v>
      </c>
      <c r="I331" t="n">
        <v>0</v>
      </c>
      <c r="J331" t="n">
        <v>0</v>
      </c>
      <c r="K331" t="n">
        <v>0</v>
      </c>
      <c r="L331" t="n">
        <v>0</v>
      </c>
      <c r="M331" t="n">
        <v>0</v>
      </c>
      <c r="N331" t="n">
        <v>0</v>
      </c>
      <c r="O331" t="n">
        <v>0</v>
      </c>
      <c r="P331" t="n">
        <v>0</v>
      </c>
      <c r="Q331" t="n">
        <v>0</v>
      </c>
      <c r="R331" s="2" t="inlineStr"/>
    </row>
    <row r="332" ht="15" customHeight="1">
      <c r="A332" t="inlineStr">
        <is>
          <t>A 45933-2021</t>
        </is>
      </c>
      <c r="B332" s="1" t="n">
        <v>44441</v>
      </c>
      <c r="C332" s="1" t="n">
        <v>45851</v>
      </c>
      <c r="D332" t="inlineStr">
        <is>
          <t>DALARNAS LÄN</t>
        </is>
      </c>
      <c r="E332" t="inlineStr">
        <is>
          <t>SMEDJEBACKEN</t>
        </is>
      </c>
      <c r="G332" t="n">
        <v>3.6</v>
      </c>
      <c r="H332" t="n">
        <v>0</v>
      </c>
      <c r="I332" t="n">
        <v>0</v>
      </c>
      <c r="J332" t="n">
        <v>0</v>
      </c>
      <c r="K332" t="n">
        <v>0</v>
      </c>
      <c r="L332" t="n">
        <v>0</v>
      </c>
      <c r="M332" t="n">
        <v>0</v>
      </c>
      <c r="N332" t="n">
        <v>0</v>
      </c>
      <c r="O332" t="n">
        <v>0</v>
      </c>
      <c r="P332" t="n">
        <v>0</v>
      </c>
      <c r="Q332" t="n">
        <v>0</v>
      </c>
      <c r="R332" s="2" t="inlineStr"/>
    </row>
    <row r="333" ht="15" customHeight="1">
      <c r="A333" t="inlineStr">
        <is>
          <t>A 46130-2021</t>
        </is>
      </c>
      <c r="B333" s="1" t="n">
        <v>44442</v>
      </c>
      <c r="C333" s="1" t="n">
        <v>45851</v>
      </c>
      <c r="D333" t="inlineStr">
        <is>
          <t>DALARNAS LÄN</t>
        </is>
      </c>
      <c r="E333" t="inlineStr">
        <is>
          <t>SMEDJEBACKEN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46138-2021</t>
        </is>
      </c>
      <c r="B334" s="1" t="n">
        <v>44442</v>
      </c>
      <c r="C334" s="1" t="n">
        <v>45851</v>
      </c>
      <c r="D334" t="inlineStr">
        <is>
          <t>DALARNAS LÄN</t>
        </is>
      </c>
      <c r="E334" t="inlineStr">
        <is>
          <t>SMEDJEBACKEN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46185-2021</t>
        </is>
      </c>
      <c r="B335" s="1" t="n">
        <v>44442</v>
      </c>
      <c r="C335" s="1" t="n">
        <v>45851</v>
      </c>
      <c r="D335" t="inlineStr">
        <is>
          <t>DALARNAS LÄN</t>
        </is>
      </c>
      <c r="E335" t="inlineStr">
        <is>
          <t>SMEDJEBACKEN</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46125-2021</t>
        </is>
      </c>
      <c r="B336" s="1" t="n">
        <v>44442</v>
      </c>
      <c r="C336" s="1" t="n">
        <v>45851</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46137-2021</t>
        </is>
      </c>
      <c r="B337" s="1" t="n">
        <v>44442</v>
      </c>
      <c r="C337" s="1" t="n">
        <v>45851</v>
      </c>
      <c r="D337" t="inlineStr">
        <is>
          <t>DALARNAS LÄN</t>
        </is>
      </c>
      <c r="E337" t="inlineStr">
        <is>
          <t>SMEDJEBACKEN</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46184-2021</t>
        </is>
      </c>
      <c r="B338" s="1" t="n">
        <v>44442</v>
      </c>
      <c r="C338" s="1" t="n">
        <v>45851</v>
      </c>
      <c r="D338" t="inlineStr">
        <is>
          <t>DALARNAS LÄN</t>
        </is>
      </c>
      <c r="E338" t="inlineStr">
        <is>
          <t>SMEDJEBACKEN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46116-2021</t>
        </is>
      </c>
      <c r="B339" s="1" t="n">
        <v>44442</v>
      </c>
      <c r="C339" s="1" t="n">
        <v>45851</v>
      </c>
      <c r="D339" t="inlineStr">
        <is>
          <t>DALARNAS LÄN</t>
        </is>
      </c>
      <c r="E339" t="inlineStr">
        <is>
          <t>SMEDJEBACKEN</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46132-2021</t>
        </is>
      </c>
      <c r="B340" s="1" t="n">
        <v>44442</v>
      </c>
      <c r="C340" s="1" t="n">
        <v>45851</v>
      </c>
      <c r="D340" t="inlineStr">
        <is>
          <t>DALARNAS LÄN</t>
        </is>
      </c>
      <c r="E340" t="inlineStr">
        <is>
          <t>SMEDJEBACKEN</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46144-2021</t>
        </is>
      </c>
      <c r="B341" s="1" t="n">
        <v>44442</v>
      </c>
      <c r="C341" s="1" t="n">
        <v>45851</v>
      </c>
      <c r="D341" t="inlineStr">
        <is>
          <t>DALARNAS LÄN</t>
        </is>
      </c>
      <c r="E341" t="inlineStr">
        <is>
          <t>SMEDJEBACKEN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46531-2021</t>
        </is>
      </c>
      <c r="B342" s="1" t="n">
        <v>44445</v>
      </c>
      <c r="C342" s="1" t="n">
        <v>45851</v>
      </c>
      <c r="D342" t="inlineStr">
        <is>
          <t>DALARNAS LÄN</t>
        </is>
      </c>
      <c r="E342" t="inlineStr">
        <is>
          <t>SMEDJEBACKEN</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48156-2021</t>
        </is>
      </c>
      <c r="B343" s="1" t="n">
        <v>44449</v>
      </c>
      <c r="C343" s="1" t="n">
        <v>45851</v>
      </c>
      <c r="D343" t="inlineStr">
        <is>
          <t>DALARNAS LÄN</t>
        </is>
      </c>
      <c r="E343" t="inlineStr">
        <is>
          <t>SMEDJEBACKEN</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48158-2021</t>
        </is>
      </c>
      <c r="B344" s="1" t="n">
        <v>44449</v>
      </c>
      <c r="C344" s="1" t="n">
        <v>45851</v>
      </c>
      <c r="D344" t="inlineStr">
        <is>
          <t>DALARNAS LÄN</t>
        </is>
      </c>
      <c r="E344" t="inlineStr">
        <is>
          <t>SMEDJEBACKEN</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49097-2021</t>
        </is>
      </c>
      <c r="B345" s="1" t="n">
        <v>44453</v>
      </c>
      <c r="C345" s="1" t="n">
        <v>45851</v>
      </c>
      <c r="D345" t="inlineStr">
        <is>
          <t>DALARNAS LÄN</t>
        </is>
      </c>
      <c r="E345" t="inlineStr">
        <is>
          <t>SMEDJEBACKEN</t>
        </is>
      </c>
      <c r="G345" t="n">
        <v>1.4</v>
      </c>
      <c r="H345" t="n">
        <v>0</v>
      </c>
      <c r="I345" t="n">
        <v>0</v>
      </c>
      <c r="J345" t="n">
        <v>0</v>
      </c>
      <c r="K345" t="n">
        <v>0</v>
      </c>
      <c r="L345" t="n">
        <v>0</v>
      </c>
      <c r="M345" t="n">
        <v>0</v>
      </c>
      <c r="N345" t="n">
        <v>0</v>
      </c>
      <c r="O345" t="n">
        <v>0</v>
      </c>
      <c r="P345" t="n">
        <v>0</v>
      </c>
      <c r="Q345" t="n">
        <v>0</v>
      </c>
      <c r="R345" s="2" t="inlineStr"/>
    </row>
    <row r="346" ht="15" customHeight="1">
      <c r="A346" t="inlineStr">
        <is>
          <t>A 49828-2021</t>
        </is>
      </c>
      <c r="B346" s="1" t="n">
        <v>44455</v>
      </c>
      <c r="C346" s="1" t="n">
        <v>45851</v>
      </c>
      <c r="D346" t="inlineStr">
        <is>
          <t>DALARNAS LÄN</t>
        </is>
      </c>
      <c r="E346" t="inlineStr">
        <is>
          <t>SMEDJEBACKEN</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51422-2021</t>
        </is>
      </c>
      <c r="B347" s="1" t="n">
        <v>44461</v>
      </c>
      <c r="C347" s="1" t="n">
        <v>45851</v>
      </c>
      <c r="D347" t="inlineStr">
        <is>
          <t>DALARNAS LÄN</t>
        </is>
      </c>
      <c r="E347" t="inlineStr">
        <is>
          <t>SMEDJEBACKEN</t>
        </is>
      </c>
      <c r="G347" t="n">
        <v>4.3</v>
      </c>
      <c r="H347" t="n">
        <v>0</v>
      </c>
      <c r="I347" t="n">
        <v>0</v>
      </c>
      <c r="J347" t="n">
        <v>0</v>
      </c>
      <c r="K347" t="n">
        <v>0</v>
      </c>
      <c r="L347" t="n">
        <v>0</v>
      </c>
      <c r="M347" t="n">
        <v>0</v>
      </c>
      <c r="N347" t="n">
        <v>0</v>
      </c>
      <c r="O347" t="n">
        <v>0</v>
      </c>
      <c r="P347" t="n">
        <v>0</v>
      </c>
      <c r="Q347" t="n">
        <v>0</v>
      </c>
      <c r="R347" s="2" t="inlineStr"/>
    </row>
    <row r="348" ht="15" customHeight="1">
      <c r="A348" t="inlineStr">
        <is>
          <t>A 51731-2021</t>
        </is>
      </c>
      <c r="B348" s="1" t="n">
        <v>44462</v>
      </c>
      <c r="C348" s="1" t="n">
        <v>45851</v>
      </c>
      <c r="D348" t="inlineStr">
        <is>
          <t>DALARNAS LÄN</t>
        </is>
      </c>
      <c r="E348" t="inlineStr">
        <is>
          <t>SMEDJEBACKEN</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53013-2021</t>
        </is>
      </c>
      <c r="B349" s="1" t="n">
        <v>44466</v>
      </c>
      <c r="C349" s="1" t="n">
        <v>45851</v>
      </c>
      <c r="D349" t="inlineStr">
        <is>
          <t>DALARNAS LÄN</t>
        </is>
      </c>
      <c r="E349" t="inlineStr">
        <is>
          <t>SMEDJEBACKEN</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52958-2021</t>
        </is>
      </c>
      <c r="B350" s="1" t="n">
        <v>44467</v>
      </c>
      <c r="C350" s="1" t="n">
        <v>45851</v>
      </c>
      <c r="D350" t="inlineStr">
        <is>
          <t>DALARNAS LÄN</t>
        </is>
      </c>
      <c r="E350" t="inlineStr">
        <is>
          <t>SMEDJEBACKEN</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53583-2021</t>
        </is>
      </c>
      <c r="B351" s="1" t="n">
        <v>44469</v>
      </c>
      <c r="C351" s="1" t="n">
        <v>45851</v>
      </c>
      <c r="D351" t="inlineStr">
        <is>
          <t>DALARNAS LÄN</t>
        </is>
      </c>
      <c r="E351" t="inlineStr">
        <is>
          <t>SMEDJEBACKEN</t>
        </is>
      </c>
      <c r="G351" t="n">
        <v>1.1</v>
      </c>
      <c r="H351" t="n">
        <v>0</v>
      </c>
      <c r="I351" t="n">
        <v>0</v>
      </c>
      <c r="J351" t="n">
        <v>0</v>
      </c>
      <c r="K351" t="n">
        <v>0</v>
      </c>
      <c r="L351" t="n">
        <v>0</v>
      </c>
      <c r="M351" t="n">
        <v>0</v>
      </c>
      <c r="N351" t="n">
        <v>0</v>
      </c>
      <c r="O351" t="n">
        <v>0</v>
      </c>
      <c r="P351" t="n">
        <v>0</v>
      </c>
      <c r="Q351" t="n">
        <v>0</v>
      </c>
      <c r="R351" s="2" t="inlineStr"/>
    </row>
    <row r="352" ht="15" customHeight="1">
      <c r="A352" t="inlineStr">
        <is>
          <t>A 54382-2021</t>
        </is>
      </c>
      <c r="B352" s="1" t="n">
        <v>44473</v>
      </c>
      <c r="C352" s="1" t="n">
        <v>45851</v>
      </c>
      <c r="D352" t="inlineStr">
        <is>
          <t>DALARNAS LÄN</t>
        </is>
      </c>
      <c r="E352" t="inlineStr">
        <is>
          <t>SMEDJEBACKEN</t>
        </is>
      </c>
      <c r="G352" t="n">
        <v>0.5</v>
      </c>
      <c r="H352" t="n">
        <v>0</v>
      </c>
      <c r="I352" t="n">
        <v>0</v>
      </c>
      <c r="J352" t="n">
        <v>0</v>
      </c>
      <c r="K352" t="n">
        <v>0</v>
      </c>
      <c r="L352" t="n">
        <v>0</v>
      </c>
      <c r="M352" t="n">
        <v>0</v>
      </c>
      <c r="N352" t="n">
        <v>0</v>
      </c>
      <c r="O352" t="n">
        <v>0</v>
      </c>
      <c r="P352" t="n">
        <v>0</v>
      </c>
      <c r="Q352" t="n">
        <v>0</v>
      </c>
      <c r="R352" s="2" t="inlineStr"/>
    </row>
    <row r="353" ht="15" customHeight="1">
      <c r="A353" t="inlineStr">
        <is>
          <t>A 54971-2021</t>
        </is>
      </c>
      <c r="B353" s="1" t="n">
        <v>44474</v>
      </c>
      <c r="C353" s="1" t="n">
        <v>45851</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55466-2021</t>
        </is>
      </c>
      <c r="B354" s="1" t="n">
        <v>44475</v>
      </c>
      <c r="C354" s="1" t="n">
        <v>45851</v>
      </c>
      <c r="D354" t="inlineStr">
        <is>
          <t>DALARNAS LÄN</t>
        </is>
      </c>
      <c r="E354" t="inlineStr">
        <is>
          <t>SMEDJEBACKEN</t>
        </is>
      </c>
      <c r="G354" t="n">
        <v>2</v>
      </c>
      <c r="H354" t="n">
        <v>0</v>
      </c>
      <c r="I354" t="n">
        <v>0</v>
      </c>
      <c r="J354" t="n">
        <v>0</v>
      </c>
      <c r="K354" t="n">
        <v>0</v>
      </c>
      <c r="L354" t="n">
        <v>0</v>
      </c>
      <c r="M354" t="n">
        <v>0</v>
      </c>
      <c r="N354" t="n">
        <v>0</v>
      </c>
      <c r="O354" t="n">
        <v>0</v>
      </c>
      <c r="P354" t="n">
        <v>0</v>
      </c>
      <c r="Q354" t="n">
        <v>0</v>
      </c>
      <c r="R354" s="2" t="inlineStr"/>
    </row>
    <row r="355" ht="15" customHeight="1">
      <c r="A355" t="inlineStr">
        <is>
          <t>A 55362-2021</t>
        </is>
      </c>
      <c r="B355" s="1" t="n">
        <v>44475</v>
      </c>
      <c r="C355" s="1" t="n">
        <v>45851</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55626-2021</t>
        </is>
      </c>
      <c r="B356" s="1" t="n">
        <v>44475</v>
      </c>
      <c r="C356" s="1" t="n">
        <v>45851</v>
      </c>
      <c r="D356" t="inlineStr">
        <is>
          <t>DALARNAS LÄN</t>
        </is>
      </c>
      <c r="E356" t="inlineStr">
        <is>
          <t>SMEDJEBACKEN</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55619-2021</t>
        </is>
      </c>
      <c r="B357" s="1" t="n">
        <v>44475</v>
      </c>
      <c r="C357" s="1" t="n">
        <v>45851</v>
      </c>
      <c r="D357" t="inlineStr">
        <is>
          <t>DALARNAS LÄN</t>
        </is>
      </c>
      <c r="E357" t="inlineStr">
        <is>
          <t>SMEDJEBACKEN</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55650-2021</t>
        </is>
      </c>
      <c r="B358" s="1" t="n">
        <v>44475</v>
      </c>
      <c r="C358" s="1" t="n">
        <v>45851</v>
      </c>
      <c r="D358" t="inlineStr">
        <is>
          <t>DALARNAS LÄN</t>
        </is>
      </c>
      <c r="E358" t="inlineStr">
        <is>
          <t>SMEDJEBACKEN</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55851-2021</t>
        </is>
      </c>
      <c r="B359" s="1" t="n">
        <v>44476</v>
      </c>
      <c r="C359" s="1" t="n">
        <v>45851</v>
      </c>
      <c r="D359" t="inlineStr">
        <is>
          <t>DALARNAS LÄN</t>
        </is>
      </c>
      <c r="E359" t="inlineStr">
        <is>
          <t>SMEDJEBACKEN</t>
        </is>
      </c>
      <c r="F359" t="inlineStr">
        <is>
          <t>Övriga Aktiebolag</t>
        </is>
      </c>
      <c r="G359" t="n">
        <v>2.6</v>
      </c>
      <c r="H359" t="n">
        <v>0</v>
      </c>
      <c r="I359" t="n">
        <v>0</v>
      </c>
      <c r="J359" t="n">
        <v>0</v>
      </c>
      <c r="K359" t="n">
        <v>0</v>
      </c>
      <c r="L359" t="n">
        <v>0</v>
      </c>
      <c r="M359" t="n">
        <v>0</v>
      </c>
      <c r="N359" t="n">
        <v>0</v>
      </c>
      <c r="O359" t="n">
        <v>0</v>
      </c>
      <c r="P359" t="n">
        <v>0</v>
      </c>
      <c r="Q359" t="n">
        <v>0</v>
      </c>
      <c r="R359" s="2" t="inlineStr"/>
    </row>
    <row r="360" ht="15" customHeight="1">
      <c r="A360" t="inlineStr">
        <is>
          <t>A 56012-2021</t>
        </is>
      </c>
      <c r="B360" s="1" t="n">
        <v>44477</v>
      </c>
      <c r="C360" s="1" t="n">
        <v>45851</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56305-2021</t>
        </is>
      </c>
      <c r="B361" s="1" t="n">
        <v>44477</v>
      </c>
      <c r="C361" s="1" t="n">
        <v>45851</v>
      </c>
      <c r="D361" t="inlineStr">
        <is>
          <t>DALARNAS LÄN</t>
        </is>
      </c>
      <c r="E361" t="inlineStr">
        <is>
          <t>SMEDJEBACKEN</t>
        </is>
      </c>
      <c r="F361" t="inlineStr">
        <is>
          <t>Bergvik skog väst AB</t>
        </is>
      </c>
      <c r="G361" t="n">
        <v>14.2</v>
      </c>
      <c r="H361" t="n">
        <v>0</v>
      </c>
      <c r="I361" t="n">
        <v>0</v>
      </c>
      <c r="J361" t="n">
        <v>0</v>
      </c>
      <c r="K361" t="n">
        <v>0</v>
      </c>
      <c r="L361" t="n">
        <v>0</v>
      </c>
      <c r="M361" t="n">
        <v>0</v>
      </c>
      <c r="N361" t="n">
        <v>0</v>
      </c>
      <c r="O361" t="n">
        <v>0</v>
      </c>
      <c r="P361" t="n">
        <v>0</v>
      </c>
      <c r="Q361" t="n">
        <v>0</v>
      </c>
      <c r="R361" s="2" t="inlineStr"/>
    </row>
    <row r="362" ht="15" customHeight="1">
      <c r="A362" t="inlineStr">
        <is>
          <t>A 57260-2021</t>
        </is>
      </c>
      <c r="B362" s="1" t="n">
        <v>44482</v>
      </c>
      <c r="C362" s="1" t="n">
        <v>45851</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57269-2021</t>
        </is>
      </c>
      <c r="B363" s="1" t="n">
        <v>44482</v>
      </c>
      <c r="C363" s="1" t="n">
        <v>45851</v>
      </c>
      <c r="D363" t="inlineStr">
        <is>
          <t>DALARNAS LÄN</t>
        </is>
      </c>
      <c r="E363" t="inlineStr">
        <is>
          <t>SMEDJEBACKEN</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60086-2021</t>
        </is>
      </c>
      <c r="B364" s="1" t="n">
        <v>44494</v>
      </c>
      <c r="C364" s="1" t="n">
        <v>45851</v>
      </c>
      <c r="D364" t="inlineStr">
        <is>
          <t>DALARNAS LÄN</t>
        </is>
      </c>
      <c r="E364" t="inlineStr">
        <is>
          <t>SMEDJEBACKEN</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60414-2021</t>
        </is>
      </c>
      <c r="B365" s="1" t="n">
        <v>44496</v>
      </c>
      <c r="C365" s="1" t="n">
        <v>45851</v>
      </c>
      <c r="D365" t="inlineStr">
        <is>
          <t>DALARNAS LÄN</t>
        </is>
      </c>
      <c r="E365" t="inlineStr">
        <is>
          <t>SMEDJEBACKEN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60451-2021</t>
        </is>
      </c>
      <c r="B366" s="1" t="n">
        <v>44496</v>
      </c>
      <c r="C366" s="1" t="n">
        <v>45851</v>
      </c>
      <c r="D366" t="inlineStr">
        <is>
          <t>DALARNAS LÄN</t>
        </is>
      </c>
      <c r="E366" t="inlineStr">
        <is>
          <t>SMEDJEBACKEN</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60697-2021</t>
        </is>
      </c>
      <c r="B367" s="1" t="n">
        <v>44496</v>
      </c>
      <c r="C367" s="1" t="n">
        <v>45851</v>
      </c>
      <c r="D367" t="inlineStr">
        <is>
          <t>DALARNAS LÄN</t>
        </is>
      </c>
      <c r="E367" t="inlineStr">
        <is>
          <t>SMEDJEBACKEN</t>
        </is>
      </c>
      <c r="G367" t="n">
        <v>0.6</v>
      </c>
      <c r="H367" t="n">
        <v>0</v>
      </c>
      <c r="I367" t="n">
        <v>0</v>
      </c>
      <c r="J367" t="n">
        <v>0</v>
      </c>
      <c r="K367" t="n">
        <v>0</v>
      </c>
      <c r="L367" t="n">
        <v>0</v>
      </c>
      <c r="M367" t="n">
        <v>0</v>
      </c>
      <c r="N367" t="n">
        <v>0</v>
      </c>
      <c r="O367" t="n">
        <v>0</v>
      </c>
      <c r="P367" t="n">
        <v>0</v>
      </c>
      <c r="Q367" t="n">
        <v>0</v>
      </c>
      <c r="R367" s="2" t="inlineStr"/>
    </row>
    <row r="368" ht="15" customHeight="1">
      <c r="A368" t="inlineStr">
        <is>
          <t>A 60421-2021</t>
        </is>
      </c>
      <c r="B368" s="1" t="n">
        <v>44496</v>
      </c>
      <c r="C368" s="1" t="n">
        <v>45851</v>
      </c>
      <c r="D368" t="inlineStr">
        <is>
          <t>DALARNAS LÄN</t>
        </is>
      </c>
      <c r="E368" t="inlineStr">
        <is>
          <t>SMEDJEBACKEN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60905-2021</t>
        </is>
      </c>
      <c r="B369" s="1" t="n">
        <v>44496</v>
      </c>
      <c r="C369" s="1" t="n">
        <v>45851</v>
      </c>
      <c r="D369" t="inlineStr">
        <is>
          <t>DALARNAS LÄN</t>
        </is>
      </c>
      <c r="E369" t="inlineStr">
        <is>
          <t>SMEDJEBACKEN</t>
        </is>
      </c>
      <c r="G369" t="n">
        <v>2.3</v>
      </c>
      <c r="H369" t="n">
        <v>0</v>
      </c>
      <c r="I369" t="n">
        <v>0</v>
      </c>
      <c r="J369" t="n">
        <v>0</v>
      </c>
      <c r="K369" t="n">
        <v>0</v>
      </c>
      <c r="L369" t="n">
        <v>0</v>
      </c>
      <c r="M369" t="n">
        <v>0</v>
      </c>
      <c r="N369" t="n">
        <v>0</v>
      </c>
      <c r="O369" t="n">
        <v>0</v>
      </c>
      <c r="P369" t="n">
        <v>0</v>
      </c>
      <c r="Q369" t="n">
        <v>0</v>
      </c>
      <c r="R369" s="2" t="inlineStr"/>
    </row>
    <row r="370" ht="15" customHeight="1">
      <c r="A370" t="inlineStr">
        <is>
          <t>A 60886-2021</t>
        </is>
      </c>
      <c r="B370" s="1" t="n">
        <v>44496</v>
      </c>
      <c r="C370" s="1" t="n">
        <v>45851</v>
      </c>
      <c r="D370" t="inlineStr">
        <is>
          <t>DALARNAS LÄN</t>
        </is>
      </c>
      <c r="E370" t="inlineStr">
        <is>
          <t>SMEDJEBACKEN</t>
        </is>
      </c>
      <c r="G370" t="n">
        <v>7</v>
      </c>
      <c r="H370" t="n">
        <v>0</v>
      </c>
      <c r="I370" t="n">
        <v>0</v>
      </c>
      <c r="J370" t="n">
        <v>0</v>
      </c>
      <c r="K370" t="n">
        <v>0</v>
      </c>
      <c r="L370" t="n">
        <v>0</v>
      </c>
      <c r="M370" t="n">
        <v>0</v>
      </c>
      <c r="N370" t="n">
        <v>0</v>
      </c>
      <c r="O370" t="n">
        <v>0</v>
      </c>
      <c r="P370" t="n">
        <v>0</v>
      </c>
      <c r="Q370" t="n">
        <v>0</v>
      </c>
      <c r="R370" s="2" t="inlineStr"/>
    </row>
    <row r="371" ht="15" customHeight="1">
      <c r="A371" t="inlineStr">
        <is>
          <t>A 60910-2021</t>
        </is>
      </c>
      <c r="B371" s="1" t="n">
        <v>44496</v>
      </c>
      <c r="C371" s="1" t="n">
        <v>45851</v>
      </c>
      <c r="D371" t="inlineStr">
        <is>
          <t>DALARNAS LÄN</t>
        </is>
      </c>
      <c r="E371" t="inlineStr">
        <is>
          <t>SMEDJEBACKEN</t>
        </is>
      </c>
      <c r="G371" t="n">
        <v>0.5</v>
      </c>
      <c r="H371" t="n">
        <v>0</v>
      </c>
      <c r="I371" t="n">
        <v>0</v>
      </c>
      <c r="J371" t="n">
        <v>0</v>
      </c>
      <c r="K371" t="n">
        <v>0</v>
      </c>
      <c r="L371" t="n">
        <v>0</v>
      </c>
      <c r="M371" t="n">
        <v>0</v>
      </c>
      <c r="N371" t="n">
        <v>0</v>
      </c>
      <c r="O371" t="n">
        <v>0</v>
      </c>
      <c r="P371" t="n">
        <v>0</v>
      </c>
      <c r="Q371" t="n">
        <v>0</v>
      </c>
      <c r="R371" s="2" t="inlineStr"/>
    </row>
    <row r="372" ht="15" customHeight="1">
      <c r="A372" t="inlineStr">
        <is>
          <t>A 60927-2021</t>
        </is>
      </c>
      <c r="B372" s="1" t="n">
        <v>44496</v>
      </c>
      <c r="C372" s="1" t="n">
        <v>45851</v>
      </c>
      <c r="D372" t="inlineStr">
        <is>
          <t>DALARNAS LÄN</t>
        </is>
      </c>
      <c r="E372" t="inlineStr">
        <is>
          <t>SMEDJEBACKEN</t>
        </is>
      </c>
      <c r="G372" t="n">
        <v>1.3</v>
      </c>
      <c r="H372" t="n">
        <v>0</v>
      </c>
      <c r="I372" t="n">
        <v>0</v>
      </c>
      <c r="J372" t="n">
        <v>0</v>
      </c>
      <c r="K372" t="n">
        <v>0</v>
      </c>
      <c r="L372" t="n">
        <v>0</v>
      </c>
      <c r="M372" t="n">
        <v>0</v>
      </c>
      <c r="N372" t="n">
        <v>0</v>
      </c>
      <c r="O372" t="n">
        <v>0</v>
      </c>
      <c r="P372" t="n">
        <v>0</v>
      </c>
      <c r="Q372" t="n">
        <v>0</v>
      </c>
      <c r="R372" s="2" t="inlineStr"/>
    </row>
    <row r="373" ht="15" customHeight="1">
      <c r="A373" t="inlineStr">
        <is>
          <t>A 60922-2021</t>
        </is>
      </c>
      <c r="B373" s="1" t="n">
        <v>44496</v>
      </c>
      <c r="C373" s="1" t="n">
        <v>45851</v>
      </c>
      <c r="D373" t="inlineStr">
        <is>
          <t>DALARNAS LÄN</t>
        </is>
      </c>
      <c r="E373" t="inlineStr">
        <is>
          <t>SMEDJEBACKEN</t>
        </is>
      </c>
      <c r="G373" t="n">
        <v>3.6</v>
      </c>
      <c r="H373" t="n">
        <v>0</v>
      </c>
      <c r="I373" t="n">
        <v>0</v>
      </c>
      <c r="J373" t="n">
        <v>0</v>
      </c>
      <c r="K373" t="n">
        <v>0</v>
      </c>
      <c r="L373" t="n">
        <v>0</v>
      </c>
      <c r="M373" t="n">
        <v>0</v>
      </c>
      <c r="N373" t="n">
        <v>0</v>
      </c>
      <c r="O373" t="n">
        <v>0</v>
      </c>
      <c r="P373" t="n">
        <v>0</v>
      </c>
      <c r="Q373" t="n">
        <v>0</v>
      </c>
      <c r="R373" s="2" t="inlineStr"/>
    </row>
    <row r="374" ht="15" customHeight="1">
      <c r="A374" t="inlineStr">
        <is>
          <t>A 60912-2021</t>
        </is>
      </c>
      <c r="B374" s="1" t="n">
        <v>44496</v>
      </c>
      <c r="C374" s="1" t="n">
        <v>45851</v>
      </c>
      <c r="D374" t="inlineStr">
        <is>
          <t>DALARNAS LÄN</t>
        </is>
      </c>
      <c r="E374" t="inlineStr">
        <is>
          <t>SMEDJEBACKEN</t>
        </is>
      </c>
      <c r="G374" t="n">
        <v>3</v>
      </c>
      <c r="H374" t="n">
        <v>0</v>
      </c>
      <c r="I374" t="n">
        <v>0</v>
      </c>
      <c r="J374" t="n">
        <v>0</v>
      </c>
      <c r="K374" t="n">
        <v>0</v>
      </c>
      <c r="L374" t="n">
        <v>0</v>
      </c>
      <c r="M374" t="n">
        <v>0</v>
      </c>
      <c r="N374" t="n">
        <v>0</v>
      </c>
      <c r="O374" t="n">
        <v>0</v>
      </c>
      <c r="P374" t="n">
        <v>0</v>
      </c>
      <c r="Q374" t="n">
        <v>0</v>
      </c>
      <c r="R374" s="2" t="inlineStr"/>
    </row>
    <row r="375" ht="15" customHeight="1">
      <c r="A375" t="inlineStr">
        <is>
          <t>A 62380-2021</t>
        </is>
      </c>
      <c r="B375" s="1" t="n">
        <v>44503</v>
      </c>
      <c r="C375" s="1" t="n">
        <v>45851</v>
      </c>
      <c r="D375" t="inlineStr">
        <is>
          <t>DALARNAS LÄN</t>
        </is>
      </c>
      <c r="E375" t="inlineStr">
        <is>
          <t>SMEDJEBACKEN</t>
        </is>
      </c>
      <c r="G375" t="n">
        <v>10.4</v>
      </c>
      <c r="H375" t="n">
        <v>0</v>
      </c>
      <c r="I375" t="n">
        <v>0</v>
      </c>
      <c r="J375" t="n">
        <v>0</v>
      </c>
      <c r="K375" t="n">
        <v>0</v>
      </c>
      <c r="L375" t="n">
        <v>0</v>
      </c>
      <c r="M375" t="n">
        <v>0</v>
      </c>
      <c r="N375" t="n">
        <v>0</v>
      </c>
      <c r="O375" t="n">
        <v>0</v>
      </c>
      <c r="P375" t="n">
        <v>0</v>
      </c>
      <c r="Q375" t="n">
        <v>0</v>
      </c>
      <c r="R375" s="2" t="inlineStr"/>
    </row>
    <row r="376" ht="15" customHeight="1">
      <c r="A376" t="inlineStr">
        <is>
          <t>A 63510-2021</t>
        </is>
      </c>
      <c r="B376" s="1" t="n">
        <v>44508</v>
      </c>
      <c r="C376" s="1" t="n">
        <v>45851</v>
      </c>
      <c r="D376" t="inlineStr">
        <is>
          <t>DALARNAS LÄN</t>
        </is>
      </c>
      <c r="E376" t="inlineStr">
        <is>
          <t>SMEDJEBACKEN</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63511-2021</t>
        </is>
      </c>
      <c r="B377" s="1" t="n">
        <v>44508</v>
      </c>
      <c r="C377" s="1" t="n">
        <v>45851</v>
      </c>
      <c r="D377" t="inlineStr">
        <is>
          <t>DALARNAS LÄN</t>
        </is>
      </c>
      <c r="E377" t="inlineStr">
        <is>
          <t>SMEDJEBACKEN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63693-2021</t>
        </is>
      </c>
      <c r="B378" s="1" t="n">
        <v>44509</v>
      </c>
      <c r="C378" s="1" t="n">
        <v>45851</v>
      </c>
      <c r="D378" t="inlineStr">
        <is>
          <t>DALARNAS LÄN</t>
        </is>
      </c>
      <c r="E378" t="inlineStr">
        <is>
          <t>SMEDJEBACKEN</t>
        </is>
      </c>
      <c r="G378" t="n">
        <v>1.6</v>
      </c>
      <c r="H378" t="n">
        <v>0</v>
      </c>
      <c r="I378" t="n">
        <v>0</v>
      </c>
      <c r="J378" t="n">
        <v>0</v>
      </c>
      <c r="K378" t="n">
        <v>0</v>
      </c>
      <c r="L378" t="n">
        <v>0</v>
      </c>
      <c r="M378" t="n">
        <v>0</v>
      </c>
      <c r="N378" t="n">
        <v>0</v>
      </c>
      <c r="O378" t="n">
        <v>0</v>
      </c>
      <c r="P378" t="n">
        <v>0</v>
      </c>
      <c r="Q378" t="n">
        <v>0</v>
      </c>
      <c r="R378" s="2" t="inlineStr"/>
    </row>
    <row r="379" ht="15" customHeight="1">
      <c r="A379" t="inlineStr">
        <is>
          <t>A 63691-2021</t>
        </is>
      </c>
      <c r="B379" s="1" t="n">
        <v>44509</v>
      </c>
      <c r="C379" s="1" t="n">
        <v>45851</v>
      </c>
      <c r="D379" t="inlineStr">
        <is>
          <t>DALARNAS LÄN</t>
        </is>
      </c>
      <c r="E379" t="inlineStr">
        <is>
          <t>SMEDJEBACKEN</t>
        </is>
      </c>
      <c r="G379" t="n">
        <v>1.8</v>
      </c>
      <c r="H379" t="n">
        <v>0</v>
      </c>
      <c r="I379" t="n">
        <v>0</v>
      </c>
      <c r="J379" t="n">
        <v>0</v>
      </c>
      <c r="K379" t="n">
        <v>0</v>
      </c>
      <c r="L379" t="n">
        <v>0</v>
      </c>
      <c r="M379" t="n">
        <v>0</v>
      </c>
      <c r="N379" t="n">
        <v>0</v>
      </c>
      <c r="O379" t="n">
        <v>0</v>
      </c>
      <c r="P379" t="n">
        <v>0</v>
      </c>
      <c r="Q379" t="n">
        <v>0</v>
      </c>
      <c r="R379" s="2" t="inlineStr"/>
    </row>
    <row r="380" ht="15" customHeight="1">
      <c r="A380" t="inlineStr">
        <is>
          <t>A 65249-2021</t>
        </is>
      </c>
      <c r="B380" s="1" t="n">
        <v>44515</v>
      </c>
      <c r="C380" s="1" t="n">
        <v>45851</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67977-2021</t>
        </is>
      </c>
      <c r="B381" s="1" t="n">
        <v>44525</v>
      </c>
      <c r="C381" s="1" t="n">
        <v>45851</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68913-2021</t>
        </is>
      </c>
      <c r="B382" s="1" t="n">
        <v>44530</v>
      </c>
      <c r="C382" s="1" t="n">
        <v>45851</v>
      </c>
      <c r="D382" t="inlineStr">
        <is>
          <t>DALARNAS LÄN</t>
        </is>
      </c>
      <c r="E382" t="inlineStr">
        <is>
          <t>SMEDJEBACKEN</t>
        </is>
      </c>
      <c r="G382" t="n">
        <v>0.7</v>
      </c>
      <c r="H382" t="n">
        <v>0</v>
      </c>
      <c r="I382" t="n">
        <v>0</v>
      </c>
      <c r="J382" t="n">
        <v>0</v>
      </c>
      <c r="K382" t="n">
        <v>0</v>
      </c>
      <c r="L382" t="n">
        <v>0</v>
      </c>
      <c r="M382" t="n">
        <v>0</v>
      </c>
      <c r="N382" t="n">
        <v>0</v>
      </c>
      <c r="O382" t="n">
        <v>0</v>
      </c>
      <c r="P382" t="n">
        <v>0</v>
      </c>
      <c r="Q382" t="n">
        <v>0</v>
      </c>
      <c r="R382" s="2" t="inlineStr"/>
    </row>
    <row r="383" ht="15" customHeight="1">
      <c r="A383" t="inlineStr">
        <is>
          <t>A 69033-2021</t>
        </is>
      </c>
      <c r="B383" s="1" t="n">
        <v>44530</v>
      </c>
      <c r="C383" s="1" t="n">
        <v>45851</v>
      </c>
      <c r="D383" t="inlineStr">
        <is>
          <t>DALARNAS LÄN</t>
        </is>
      </c>
      <c r="E383" t="inlineStr">
        <is>
          <t>SMEDJEBACKEN</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69042-2021</t>
        </is>
      </c>
      <c r="B384" s="1" t="n">
        <v>44530</v>
      </c>
      <c r="C384" s="1" t="n">
        <v>45851</v>
      </c>
      <c r="D384" t="inlineStr">
        <is>
          <t>DALARNAS LÄN</t>
        </is>
      </c>
      <c r="E384" t="inlineStr">
        <is>
          <t>SMEDJEBACKEN</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69084-2021</t>
        </is>
      </c>
      <c r="B385" s="1" t="n">
        <v>44530</v>
      </c>
      <c r="C385" s="1" t="n">
        <v>45851</v>
      </c>
      <c r="D385" t="inlineStr">
        <is>
          <t>DALARNAS LÄN</t>
        </is>
      </c>
      <c r="E385" t="inlineStr">
        <is>
          <t>SMEDJEBACKEN</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69335-2021</t>
        </is>
      </c>
      <c r="B386" s="1" t="n">
        <v>44531</v>
      </c>
      <c r="C386" s="1" t="n">
        <v>45851</v>
      </c>
      <c r="D386" t="inlineStr">
        <is>
          <t>DALARNAS LÄN</t>
        </is>
      </c>
      <c r="E386" t="inlineStr">
        <is>
          <t>SMEDJEBACKEN</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69334-2021</t>
        </is>
      </c>
      <c r="B387" s="1" t="n">
        <v>44531</v>
      </c>
      <c r="C387" s="1" t="n">
        <v>45851</v>
      </c>
      <c r="D387" t="inlineStr">
        <is>
          <t>DALARNAS LÄN</t>
        </is>
      </c>
      <c r="E387" t="inlineStr">
        <is>
          <t>SMEDJEBACKEN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69512-2021</t>
        </is>
      </c>
      <c r="B388" s="1" t="n">
        <v>44531</v>
      </c>
      <c r="C388" s="1" t="n">
        <v>45851</v>
      </c>
      <c r="D388" t="inlineStr">
        <is>
          <t>DALARNAS LÄN</t>
        </is>
      </c>
      <c r="E388" t="inlineStr">
        <is>
          <t>SMEDJEBACKEN</t>
        </is>
      </c>
      <c r="G388" t="n">
        <v>3.1</v>
      </c>
      <c r="H388" t="n">
        <v>0</v>
      </c>
      <c r="I388" t="n">
        <v>0</v>
      </c>
      <c r="J388" t="n">
        <v>0</v>
      </c>
      <c r="K388" t="n">
        <v>0</v>
      </c>
      <c r="L388" t="n">
        <v>0</v>
      </c>
      <c r="M388" t="n">
        <v>0</v>
      </c>
      <c r="N388" t="n">
        <v>0</v>
      </c>
      <c r="O388" t="n">
        <v>0</v>
      </c>
      <c r="P388" t="n">
        <v>0</v>
      </c>
      <c r="Q388" t="n">
        <v>0</v>
      </c>
      <c r="R388" s="2" t="inlineStr"/>
    </row>
    <row r="389" ht="15" customHeight="1">
      <c r="A389" t="inlineStr">
        <is>
          <t>A 69540-2021</t>
        </is>
      </c>
      <c r="B389" s="1" t="n">
        <v>44531</v>
      </c>
      <c r="C389" s="1" t="n">
        <v>45851</v>
      </c>
      <c r="D389" t="inlineStr">
        <is>
          <t>DALARNAS LÄN</t>
        </is>
      </c>
      <c r="E389" t="inlineStr">
        <is>
          <t>SMEDJEBACKEN</t>
        </is>
      </c>
      <c r="G389" t="n">
        <v>6.3</v>
      </c>
      <c r="H389" t="n">
        <v>0</v>
      </c>
      <c r="I389" t="n">
        <v>0</v>
      </c>
      <c r="J389" t="n">
        <v>0</v>
      </c>
      <c r="K389" t="n">
        <v>0</v>
      </c>
      <c r="L389" t="n">
        <v>0</v>
      </c>
      <c r="M389" t="n">
        <v>0</v>
      </c>
      <c r="N389" t="n">
        <v>0</v>
      </c>
      <c r="O389" t="n">
        <v>0</v>
      </c>
      <c r="P389" t="n">
        <v>0</v>
      </c>
      <c r="Q389" t="n">
        <v>0</v>
      </c>
      <c r="R389" s="2" t="inlineStr"/>
    </row>
    <row r="390" ht="15" customHeight="1">
      <c r="A390" t="inlineStr">
        <is>
          <t>A 70780-2021</t>
        </is>
      </c>
      <c r="B390" s="1" t="n">
        <v>44537</v>
      </c>
      <c r="C390" s="1" t="n">
        <v>45851</v>
      </c>
      <c r="D390" t="inlineStr">
        <is>
          <t>DALARNAS LÄN</t>
        </is>
      </c>
      <c r="E390" t="inlineStr">
        <is>
          <t>SMEDJEBACKEN</t>
        </is>
      </c>
      <c r="G390" t="n">
        <v>3.2</v>
      </c>
      <c r="H390" t="n">
        <v>0</v>
      </c>
      <c r="I390" t="n">
        <v>0</v>
      </c>
      <c r="J390" t="n">
        <v>0</v>
      </c>
      <c r="K390" t="n">
        <v>0</v>
      </c>
      <c r="L390" t="n">
        <v>0</v>
      </c>
      <c r="M390" t="n">
        <v>0</v>
      </c>
      <c r="N390" t="n">
        <v>0</v>
      </c>
      <c r="O390" t="n">
        <v>0</v>
      </c>
      <c r="P390" t="n">
        <v>0</v>
      </c>
      <c r="Q390" t="n">
        <v>0</v>
      </c>
      <c r="R390" s="2" t="inlineStr"/>
    </row>
    <row r="391" ht="15" customHeight="1">
      <c r="A391" t="inlineStr">
        <is>
          <t>A 70937-2021</t>
        </is>
      </c>
      <c r="B391" s="1" t="n">
        <v>44537</v>
      </c>
      <c r="C391" s="1" t="n">
        <v>45851</v>
      </c>
      <c r="D391" t="inlineStr">
        <is>
          <t>DALARNAS LÄN</t>
        </is>
      </c>
      <c r="E391" t="inlineStr">
        <is>
          <t>SMEDJEBACKEN</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71337-2021</t>
        </is>
      </c>
      <c r="B392" s="1" t="n">
        <v>44539</v>
      </c>
      <c r="C392" s="1" t="n">
        <v>45851</v>
      </c>
      <c r="D392" t="inlineStr">
        <is>
          <t>DALARNAS LÄN</t>
        </is>
      </c>
      <c r="E392" t="inlineStr">
        <is>
          <t>SMEDJEBACKEN</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72384-2021</t>
        </is>
      </c>
      <c r="B393" s="1" t="n">
        <v>44545</v>
      </c>
      <c r="C393" s="1" t="n">
        <v>45851</v>
      </c>
      <c r="D393" t="inlineStr">
        <is>
          <t>DALARNAS LÄN</t>
        </is>
      </c>
      <c r="E393" t="inlineStr">
        <is>
          <t>SMEDJEBACKEN</t>
        </is>
      </c>
      <c r="G393" t="n">
        <v>13</v>
      </c>
      <c r="H393" t="n">
        <v>0</v>
      </c>
      <c r="I393" t="n">
        <v>0</v>
      </c>
      <c r="J393" t="n">
        <v>0</v>
      </c>
      <c r="K393" t="n">
        <v>0</v>
      </c>
      <c r="L393" t="n">
        <v>0</v>
      </c>
      <c r="M393" t="n">
        <v>0</v>
      </c>
      <c r="N393" t="n">
        <v>0</v>
      </c>
      <c r="O393" t="n">
        <v>0</v>
      </c>
      <c r="P393" t="n">
        <v>0</v>
      </c>
      <c r="Q393" t="n">
        <v>0</v>
      </c>
      <c r="R393" s="2" t="inlineStr"/>
    </row>
    <row r="394" ht="15" customHeight="1">
      <c r="A394" t="inlineStr">
        <is>
          <t>A 15-2022</t>
        </is>
      </c>
      <c r="B394" s="1" t="n">
        <v>44563</v>
      </c>
      <c r="C394" s="1" t="n">
        <v>45851</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16-2022</t>
        </is>
      </c>
      <c r="B395" s="1" t="n">
        <v>44563</v>
      </c>
      <c r="C395" s="1" t="n">
        <v>45851</v>
      </c>
      <c r="D395" t="inlineStr">
        <is>
          <t>DALARNAS LÄN</t>
        </is>
      </c>
      <c r="E395" t="inlineStr">
        <is>
          <t>SMEDJEBACKEN</t>
        </is>
      </c>
      <c r="G395" t="n">
        <v>2.9</v>
      </c>
      <c r="H395" t="n">
        <v>0</v>
      </c>
      <c r="I395" t="n">
        <v>0</v>
      </c>
      <c r="J395" t="n">
        <v>0</v>
      </c>
      <c r="K395" t="n">
        <v>0</v>
      </c>
      <c r="L395" t="n">
        <v>0</v>
      </c>
      <c r="M395" t="n">
        <v>0</v>
      </c>
      <c r="N395" t="n">
        <v>0</v>
      </c>
      <c r="O395" t="n">
        <v>0</v>
      </c>
      <c r="P395" t="n">
        <v>0</v>
      </c>
      <c r="Q395" t="n">
        <v>0</v>
      </c>
      <c r="R395" s="2" t="inlineStr"/>
    </row>
    <row r="396" ht="15" customHeight="1">
      <c r="A396" t="inlineStr">
        <is>
          <t>A 14-2022</t>
        </is>
      </c>
      <c r="B396" s="1" t="n">
        <v>44563</v>
      </c>
      <c r="C396" s="1" t="n">
        <v>45851</v>
      </c>
      <c r="D396" t="inlineStr">
        <is>
          <t>DALARNAS LÄN</t>
        </is>
      </c>
      <c r="E396" t="inlineStr">
        <is>
          <t>SMEDJEBACKEN</t>
        </is>
      </c>
      <c r="G396" t="n">
        <v>1.5</v>
      </c>
      <c r="H396" t="n">
        <v>0</v>
      </c>
      <c r="I396" t="n">
        <v>0</v>
      </c>
      <c r="J396" t="n">
        <v>0</v>
      </c>
      <c r="K396" t="n">
        <v>0</v>
      </c>
      <c r="L396" t="n">
        <v>0</v>
      </c>
      <c r="M396" t="n">
        <v>0</v>
      </c>
      <c r="N396" t="n">
        <v>0</v>
      </c>
      <c r="O396" t="n">
        <v>0</v>
      </c>
      <c r="P396" t="n">
        <v>0</v>
      </c>
      <c r="Q396" t="n">
        <v>0</v>
      </c>
      <c r="R396" s="2" t="inlineStr"/>
    </row>
    <row r="397" ht="15" customHeight="1">
      <c r="A397" t="inlineStr">
        <is>
          <t>A 337-2022</t>
        </is>
      </c>
      <c r="B397" s="1" t="n">
        <v>44565</v>
      </c>
      <c r="C397" s="1" t="n">
        <v>45851</v>
      </c>
      <c r="D397" t="inlineStr">
        <is>
          <t>DALARNAS LÄN</t>
        </is>
      </c>
      <c r="E397" t="inlineStr">
        <is>
          <t>SMEDJEBACKEN</t>
        </is>
      </c>
      <c r="G397" t="n">
        <v>1.7</v>
      </c>
      <c r="H397" t="n">
        <v>0</v>
      </c>
      <c r="I397" t="n">
        <v>0</v>
      </c>
      <c r="J397" t="n">
        <v>0</v>
      </c>
      <c r="K397" t="n">
        <v>0</v>
      </c>
      <c r="L397" t="n">
        <v>0</v>
      </c>
      <c r="M397" t="n">
        <v>0</v>
      </c>
      <c r="N397" t="n">
        <v>0</v>
      </c>
      <c r="O397" t="n">
        <v>0</v>
      </c>
      <c r="P397" t="n">
        <v>0</v>
      </c>
      <c r="Q397" t="n">
        <v>0</v>
      </c>
      <c r="R397" s="2" t="inlineStr"/>
    </row>
    <row r="398" ht="15" customHeight="1">
      <c r="A398" t="inlineStr">
        <is>
          <t>A 542-2022</t>
        </is>
      </c>
      <c r="B398" s="1" t="n">
        <v>44566</v>
      </c>
      <c r="C398" s="1" t="n">
        <v>45851</v>
      </c>
      <c r="D398" t="inlineStr">
        <is>
          <t>DALARNAS LÄN</t>
        </is>
      </c>
      <c r="E398" t="inlineStr">
        <is>
          <t>SMEDJEBACKEN</t>
        </is>
      </c>
      <c r="F398" t="inlineStr">
        <is>
          <t>Kyrkan</t>
        </is>
      </c>
      <c r="G398" t="n">
        <v>2.7</v>
      </c>
      <c r="H398" t="n">
        <v>0</v>
      </c>
      <c r="I398" t="n">
        <v>0</v>
      </c>
      <c r="J398" t="n">
        <v>0</v>
      </c>
      <c r="K398" t="n">
        <v>0</v>
      </c>
      <c r="L398" t="n">
        <v>0</v>
      </c>
      <c r="M398" t="n">
        <v>0</v>
      </c>
      <c r="N398" t="n">
        <v>0</v>
      </c>
      <c r="O398" t="n">
        <v>0</v>
      </c>
      <c r="P398" t="n">
        <v>0</v>
      </c>
      <c r="Q398" t="n">
        <v>0</v>
      </c>
      <c r="R398" s="2" t="inlineStr"/>
    </row>
    <row r="399" ht="15" customHeight="1">
      <c r="A399" t="inlineStr">
        <is>
          <t>A 540-2022</t>
        </is>
      </c>
      <c r="B399" s="1" t="n">
        <v>44566</v>
      </c>
      <c r="C399" s="1" t="n">
        <v>45851</v>
      </c>
      <c r="D399" t="inlineStr">
        <is>
          <t>DALARNAS LÄN</t>
        </is>
      </c>
      <c r="E399" t="inlineStr">
        <is>
          <t>SMEDJEBACKEN</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646-2022</t>
        </is>
      </c>
      <c r="B400" s="1" t="n">
        <v>44568</v>
      </c>
      <c r="C400" s="1" t="n">
        <v>45851</v>
      </c>
      <c r="D400" t="inlineStr">
        <is>
          <t>DALARNAS LÄN</t>
        </is>
      </c>
      <c r="E400" t="inlineStr">
        <is>
          <t>SMEDJEBACKEN</t>
        </is>
      </c>
      <c r="G400" t="n">
        <v>2.2</v>
      </c>
      <c r="H400" t="n">
        <v>0</v>
      </c>
      <c r="I400" t="n">
        <v>0</v>
      </c>
      <c r="J400" t="n">
        <v>0</v>
      </c>
      <c r="K400" t="n">
        <v>0</v>
      </c>
      <c r="L400" t="n">
        <v>0</v>
      </c>
      <c r="M400" t="n">
        <v>0</v>
      </c>
      <c r="N400" t="n">
        <v>0</v>
      </c>
      <c r="O400" t="n">
        <v>0</v>
      </c>
      <c r="P400" t="n">
        <v>0</v>
      </c>
      <c r="Q400" t="n">
        <v>0</v>
      </c>
      <c r="R400" s="2" t="inlineStr"/>
    </row>
    <row r="401" ht="15" customHeight="1">
      <c r="A401" t="inlineStr">
        <is>
          <t>A 907-2022</t>
        </is>
      </c>
      <c r="B401" s="1" t="n">
        <v>44571</v>
      </c>
      <c r="C401" s="1" t="n">
        <v>45851</v>
      </c>
      <c r="D401" t="inlineStr">
        <is>
          <t>DALARNAS LÄN</t>
        </is>
      </c>
      <c r="E401" t="inlineStr">
        <is>
          <t>SMEDJEBACKEN</t>
        </is>
      </c>
      <c r="G401" t="n">
        <v>0.7</v>
      </c>
      <c r="H401" t="n">
        <v>0</v>
      </c>
      <c r="I401" t="n">
        <v>0</v>
      </c>
      <c r="J401" t="n">
        <v>0</v>
      </c>
      <c r="K401" t="n">
        <v>0</v>
      </c>
      <c r="L401" t="n">
        <v>0</v>
      </c>
      <c r="M401" t="n">
        <v>0</v>
      </c>
      <c r="N401" t="n">
        <v>0</v>
      </c>
      <c r="O401" t="n">
        <v>0</v>
      </c>
      <c r="P401" t="n">
        <v>0</v>
      </c>
      <c r="Q401" t="n">
        <v>0</v>
      </c>
      <c r="R401" s="2" t="inlineStr"/>
    </row>
    <row r="402" ht="15" customHeight="1">
      <c r="A402" t="inlineStr">
        <is>
          <t>A 1700-2022</t>
        </is>
      </c>
      <c r="B402" s="1" t="n">
        <v>44574</v>
      </c>
      <c r="C402" s="1" t="n">
        <v>45851</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2836-2022</t>
        </is>
      </c>
      <c r="B403" s="1" t="n">
        <v>44581</v>
      </c>
      <c r="C403" s="1" t="n">
        <v>45851</v>
      </c>
      <c r="D403" t="inlineStr">
        <is>
          <t>DALARNAS LÄN</t>
        </is>
      </c>
      <c r="E403" t="inlineStr">
        <is>
          <t>SMEDJEBACKEN</t>
        </is>
      </c>
      <c r="G403" t="n">
        <v>2</v>
      </c>
      <c r="H403" t="n">
        <v>0</v>
      </c>
      <c r="I403" t="n">
        <v>0</v>
      </c>
      <c r="J403" t="n">
        <v>0</v>
      </c>
      <c r="K403" t="n">
        <v>0</v>
      </c>
      <c r="L403" t="n">
        <v>0</v>
      </c>
      <c r="M403" t="n">
        <v>0</v>
      </c>
      <c r="N403" t="n">
        <v>0</v>
      </c>
      <c r="O403" t="n">
        <v>0</v>
      </c>
      <c r="P403" t="n">
        <v>0</v>
      </c>
      <c r="Q403" t="n">
        <v>0</v>
      </c>
      <c r="R403" s="2" t="inlineStr"/>
    </row>
    <row r="404" ht="15" customHeight="1">
      <c r="A404" t="inlineStr">
        <is>
          <t>A 3898-2022</t>
        </is>
      </c>
      <c r="B404" s="1" t="n">
        <v>44587</v>
      </c>
      <c r="C404" s="1" t="n">
        <v>45851</v>
      </c>
      <c r="D404" t="inlineStr">
        <is>
          <t>DALARNAS LÄN</t>
        </is>
      </c>
      <c r="E404" t="inlineStr">
        <is>
          <t>SMEDJEBACKEN</t>
        </is>
      </c>
      <c r="G404" t="n">
        <v>2.4</v>
      </c>
      <c r="H404" t="n">
        <v>0</v>
      </c>
      <c r="I404" t="n">
        <v>0</v>
      </c>
      <c r="J404" t="n">
        <v>0</v>
      </c>
      <c r="K404" t="n">
        <v>0</v>
      </c>
      <c r="L404" t="n">
        <v>0</v>
      </c>
      <c r="M404" t="n">
        <v>0</v>
      </c>
      <c r="N404" t="n">
        <v>0</v>
      </c>
      <c r="O404" t="n">
        <v>0</v>
      </c>
      <c r="P404" t="n">
        <v>0</v>
      </c>
      <c r="Q404" t="n">
        <v>0</v>
      </c>
      <c r="R404" s="2" t="inlineStr"/>
    </row>
    <row r="405" ht="15" customHeight="1">
      <c r="A405" t="inlineStr">
        <is>
          <t>A 7174-2022</t>
        </is>
      </c>
      <c r="B405" s="1" t="n">
        <v>44604</v>
      </c>
      <c r="C405" s="1" t="n">
        <v>45851</v>
      </c>
      <c r="D405" t="inlineStr">
        <is>
          <t>DALARNAS LÄN</t>
        </is>
      </c>
      <c r="E405" t="inlineStr">
        <is>
          <t>SMEDJEBACKEN</t>
        </is>
      </c>
      <c r="G405" t="n">
        <v>3.4</v>
      </c>
      <c r="H405" t="n">
        <v>0</v>
      </c>
      <c r="I405" t="n">
        <v>0</v>
      </c>
      <c r="J405" t="n">
        <v>0</v>
      </c>
      <c r="K405" t="n">
        <v>0</v>
      </c>
      <c r="L405" t="n">
        <v>0</v>
      </c>
      <c r="M405" t="n">
        <v>0</v>
      </c>
      <c r="N405" t="n">
        <v>0</v>
      </c>
      <c r="O405" t="n">
        <v>0</v>
      </c>
      <c r="P405" t="n">
        <v>0</v>
      </c>
      <c r="Q405" t="n">
        <v>0</v>
      </c>
      <c r="R405" s="2" t="inlineStr"/>
    </row>
    <row r="406" ht="15" customHeight="1">
      <c r="A406" t="inlineStr">
        <is>
          <t>A 7221-2022</t>
        </is>
      </c>
      <c r="B406" s="1" t="n">
        <v>44606</v>
      </c>
      <c r="C406" s="1" t="n">
        <v>45851</v>
      </c>
      <c r="D406" t="inlineStr">
        <is>
          <t>DALARNAS LÄN</t>
        </is>
      </c>
      <c r="E406" t="inlineStr">
        <is>
          <t>SMEDJEBACKEN</t>
        </is>
      </c>
      <c r="G406" t="n">
        <v>4.8</v>
      </c>
      <c r="H406" t="n">
        <v>0</v>
      </c>
      <c r="I406" t="n">
        <v>0</v>
      </c>
      <c r="J406" t="n">
        <v>0</v>
      </c>
      <c r="K406" t="n">
        <v>0</v>
      </c>
      <c r="L406" t="n">
        <v>0</v>
      </c>
      <c r="M406" t="n">
        <v>0</v>
      </c>
      <c r="N406" t="n">
        <v>0</v>
      </c>
      <c r="O406" t="n">
        <v>0</v>
      </c>
      <c r="P406" t="n">
        <v>0</v>
      </c>
      <c r="Q406" t="n">
        <v>0</v>
      </c>
      <c r="R406" s="2" t="inlineStr"/>
    </row>
    <row r="407" ht="15" customHeight="1">
      <c r="A407" t="inlineStr">
        <is>
          <t>A 7759-2022</t>
        </is>
      </c>
      <c r="B407" s="1" t="n">
        <v>44608</v>
      </c>
      <c r="C407" s="1" t="n">
        <v>45851</v>
      </c>
      <c r="D407" t="inlineStr">
        <is>
          <t>DALARNAS LÄN</t>
        </is>
      </c>
      <c r="E407" t="inlineStr">
        <is>
          <t>SMEDJEBACKEN</t>
        </is>
      </c>
      <c r="G407" t="n">
        <v>0.6</v>
      </c>
      <c r="H407" t="n">
        <v>0</v>
      </c>
      <c r="I407" t="n">
        <v>0</v>
      </c>
      <c r="J407" t="n">
        <v>0</v>
      </c>
      <c r="K407" t="n">
        <v>0</v>
      </c>
      <c r="L407" t="n">
        <v>0</v>
      </c>
      <c r="M407" t="n">
        <v>0</v>
      </c>
      <c r="N407" t="n">
        <v>0</v>
      </c>
      <c r="O407" t="n">
        <v>0</v>
      </c>
      <c r="P407" t="n">
        <v>0</v>
      </c>
      <c r="Q407" t="n">
        <v>0</v>
      </c>
      <c r="R407" s="2" t="inlineStr"/>
    </row>
    <row r="408" ht="15" customHeight="1">
      <c r="A408" t="inlineStr">
        <is>
          <t>A 8675-2022</t>
        </is>
      </c>
      <c r="B408" s="1" t="n">
        <v>44613</v>
      </c>
      <c r="C408" s="1" t="n">
        <v>45851</v>
      </c>
      <c r="D408" t="inlineStr">
        <is>
          <t>DALARNAS LÄN</t>
        </is>
      </c>
      <c r="E408" t="inlineStr">
        <is>
          <t>SMEDJEBACKEN</t>
        </is>
      </c>
      <c r="G408" t="n">
        <v>5.3</v>
      </c>
      <c r="H408" t="n">
        <v>0</v>
      </c>
      <c r="I408" t="n">
        <v>0</v>
      </c>
      <c r="J408" t="n">
        <v>0</v>
      </c>
      <c r="K408" t="n">
        <v>0</v>
      </c>
      <c r="L408" t="n">
        <v>0</v>
      </c>
      <c r="M408" t="n">
        <v>0</v>
      </c>
      <c r="N408" t="n">
        <v>0</v>
      </c>
      <c r="O408" t="n">
        <v>0</v>
      </c>
      <c r="P408" t="n">
        <v>0</v>
      </c>
      <c r="Q408" t="n">
        <v>0</v>
      </c>
      <c r="R408" s="2" t="inlineStr"/>
    </row>
    <row r="409" ht="15" customHeight="1">
      <c r="A409" t="inlineStr">
        <is>
          <t>A 9790-2022</t>
        </is>
      </c>
      <c r="B409" s="1" t="n">
        <v>44617</v>
      </c>
      <c r="C409" s="1" t="n">
        <v>45851</v>
      </c>
      <c r="D409" t="inlineStr">
        <is>
          <t>DALARNAS LÄN</t>
        </is>
      </c>
      <c r="E409" t="inlineStr">
        <is>
          <t>SMEDJEBACKEN</t>
        </is>
      </c>
      <c r="G409" t="n">
        <v>1.7</v>
      </c>
      <c r="H409" t="n">
        <v>0</v>
      </c>
      <c r="I409" t="n">
        <v>0</v>
      </c>
      <c r="J409" t="n">
        <v>0</v>
      </c>
      <c r="K409" t="n">
        <v>0</v>
      </c>
      <c r="L409" t="n">
        <v>0</v>
      </c>
      <c r="M409" t="n">
        <v>0</v>
      </c>
      <c r="N409" t="n">
        <v>0</v>
      </c>
      <c r="O409" t="n">
        <v>0</v>
      </c>
      <c r="P409" t="n">
        <v>0</v>
      </c>
      <c r="Q409" t="n">
        <v>0</v>
      </c>
      <c r="R409" s="2" t="inlineStr"/>
    </row>
    <row r="410" ht="15" customHeight="1">
      <c r="A410" t="inlineStr">
        <is>
          <t>A 10340-2022</t>
        </is>
      </c>
      <c r="B410" s="1" t="n">
        <v>44623</v>
      </c>
      <c r="C410" s="1" t="n">
        <v>45851</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11410-2022</t>
        </is>
      </c>
      <c r="B411" s="1" t="n">
        <v>44630</v>
      </c>
      <c r="C411" s="1" t="n">
        <v>45851</v>
      </c>
      <c r="D411" t="inlineStr">
        <is>
          <t>DALARNAS LÄN</t>
        </is>
      </c>
      <c r="E411" t="inlineStr">
        <is>
          <t>SMEDJEBACKEN</t>
        </is>
      </c>
      <c r="G411" t="n">
        <v>0.2</v>
      </c>
      <c r="H411" t="n">
        <v>0</v>
      </c>
      <c r="I411" t="n">
        <v>0</v>
      </c>
      <c r="J411" t="n">
        <v>0</v>
      </c>
      <c r="K411" t="n">
        <v>0</v>
      </c>
      <c r="L411" t="n">
        <v>0</v>
      </c>
      <c r="M411" t="n">
        <v>0</v>
      </c>
      <c r="N411" t="n">
        <v>0</v>
      </c>
      <c r="O411" t="n">
        <v>0</v>
      </c>
      <c r="P411" t="n">
        <v>0</v>
      </c>
      <c r="Q411" t="n">
        <v>0</v>
      </c>
      <c r="R411" s="2" t="inlineStr"/>
    </row>
    <row r="412" ht="15" customHeight="1">
      <c r="A412" t="inlineStr">
        <is>
          <t>A 11426-2022</t>
        </is>
      </c>
      <c r="B412" s="1" t="n">
        <v>44630</v>
      </c>
      <c r="C412" s="1" t="n">
        <v>45851</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12331-2022</t>
        </is>
      </c>
      <c r="B413" s="1" t="n">
        <v>44637</v>
      </c>
      <c r="C413" s="1" t="n">
        <v>45851</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12606-2022</t>
        </is>
      </c>
      <c r="B414" s="1" t="n">
        <v>44641</v>
      </c>
      <c r="C414" s="1" t="n">
        <v>45851</v>
      </c>
      <c r="D414" t="inlineStr">
        <is>
          <t>DALARNAS LÄN</t>
        </is>
      </c>
      <c r="E414" t="inlineStr">
        <is>
          <t>SMEDJEBACKEN</t>
        </is>
      </c>
      <c r="G414" t="n">
        <v>0.4</v>
      </c>
      <c r="H414" t="n">
        <v>0</v>
      </c>
      <c r="I414" t="n">
        <v>0</v>
      </c>
      <c r="J414" t="n">
        <v>0</v>
      </c>
      <c r="K414" t="n">
        <v>0</v>
      </c>
      <c r="L414" t="n">
        <v>0</v>
      </c>
      <c r="M414" t="n">
        <v>0</v>
      </c>
      <c r="N414" t="n">
        <v>0</v>
      </c>
      <c r="O414" t="n">
        <v>0</v>
      </c>
      <c r="P414" t="n">
        <v>0</v>
      </c>
      <c r="Q414" t="n">
        <v>0</v>
      </c>
      <c r="R414" s="2" t="inlineStr"/>
    </row>
    <row r="415" ht="15" customHeight="1">
      <c r="A415" t="inlineStr">
        <is>
          <t>A 14236-2022</t>
        </is>
      </c>
      <c r="B415" s="1" t="n">
        <v>44651</v>
      </c>
      <c r="C415" s="1" t="n">
        <v>45851</v>
      </c>
      <c r="D415" t="inlineStr">
        <is>
          <t>DALARNAS LÄN</t>
        </is>
      </c>
      <c r="E415" t="inlineStr">
        <is>
          <t>SMEDJEBACKEN</t>
        </is>
      </c>
      <c r="G415" t="n">
        <v>9.1</v>
      </c>
      <c r="H415" t="n">
        <v>0</v>
      </c>
      <c r="I415" t="n">
        <v>0</v>
      </c>
      <c r="J415" t="n">
        <v>0</v>
      </c>
      <c r="K415" t="n">
        <v>0</v>
      </c>
      <c r="L415" t="n">
        <v>0</v>
      </c>
      <c r="M415" t="n">
        <v>0</v>
      </c>
      <c r="N415" t="n">
        <v>0</v>
      </c>
      <c r="O415" t="n">
        <v>0</v>
      </c>
      <c r="P415" t="n">
        <v>0</v>
      </c>
      <c r="Q415" t="n">
        <v>0</v>
      </c>
      <c r="R415" s="2" t="inlineStr"/>
    </row>
    <row r="416" ht="15" customHeight="1">
      <c r="A416" t="inlineStr">
        <is>
          <t>A 14382-2022</t>
        </is>
      </c>
      <c r="B416" s="1" t="n">
        <v>44652</v>
      </c>
      <c r="C416" s="1" t="n">
        <v>45851</v>
      </c>
      <c r="D416" t="inlineStr">
        <is>
          <t>DALARNAS LÄN</t>
        </is>
      </c>
      <c r="E416" t="inlineStr">
        <is>
          <t>SMEDJEBACKEN</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14868-2022</t>
        </is>
      </c>
      <c r="B417" s="1" t="n">
        <v>44656</v>
      </c>
      <c r="C417" s="1" t="n">
        <v>45851</v>
      </c>
      <c r="D417" t="inlineStr">
        <is>
          <t>DALARNAS LÄN</t>
        </is>
      </c>
      <c r="E417" t="inlineStr">
        <is>
          <t>SMEDJEBACKEN</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15350-2022</t>
        </is>
      </c>
      <c r="B418" s="1" t="n">
        <v>44659</v>
      </c>
      <c r="C418" s="1" t="n">
        <v>45851</v>
      </c>
      <c r="D418" t="inlineStr">
        <is>
          <t>DALARNAS LÄN</t>
        </is>
      </c>
      <c r="E418" t="inlineStr">
        <is>
          <t>SMEDJEBACKEN</t>
        </is>
      </c>
      <c r="G418" t="n">
        <v>1.5</v>
      </c>
      <c r="H418" t="n">
        <v>0</v>
      </c>
      <c r="I418" t="n">
        <v>0</v>
      </c>
      <c r="J418" t="n">
        <v>0</v>
      </c>
      <c r="K418" t="n">
        <v>0</v>
      </c>
      <c r="L418" t="n">
        <v>0</v>
      </c>
      <c r="M418" t="n">
        <v>0</v>
      </c>
      <c r="N418" t="n">
        <v>0</v>
      </c>
      <c r="O418" t="n">
        <v>0</v>
      </c>
      <c r="P418" t="n">
        <v>0</v>
      </c>
      <c r="Q418" t="n">
        <v>0</v>
      </c>
      <c r="R418" s="2" t="inlineStr"/>
    </row>
    <row r="419" ht="15" customHeight="1">
      <c r="A419" t="inlineStr">
        <is>
          <t>A 15552-2022</t>
        </is>
      </c>
      <c r="B419" s="1" t="n">
        <v>44662</v>
      </c>
      <c r="C419" s="1" t="n">
        <v>45851</v>
      </c>
      <c r="D419" t="inlineStr">
        <is>
          <t>DALARNAS LÄN</t>
        </is>
      </c>
      <c r="E419" t="inlineStr">
        <is>
          <t>SMEDJEBACKEN</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16155-2022</t>
        </is>
      </c>
      <c r="B420" s="1" t="n">
        <v>44666</v>
      </c>
      <c r="C420" s="1" t="n">
        <v>45851</v>
      </c>
      <c r="D420" t="inlineStr">
        <is>
          <t>DALARNAS LÄN</t>
        </is>
      </c>
      <c r="E420" t="inlineStr">
        <is>
          <t>SMEDJEBACKEN</t>
        </is>
      </c>
      <c r="G420" t="n">
        <v>0.9</v>
      </c>
      <c r="H420" t="n">
        <v>0</v>
      </c>
      <c r="I420" t="n">
        <v>0</v>
      </c>
      <c r="J420" t="n">
        <v>0</v>
      </c>
      <c r="K420" t="n">
        <v>0</v>
      </c>
      <c r="L420" t="n">
        <v>0</v>
      </c>
      <c r="M420" t="n">
        <v>0</v>
      </c>
      <c r="N420" t="n">
        <v>0</v>
      </c>
      <c r="O420" t="n">
        <v>0</v>
      </c>
      <c r="P420" t="n">
        <v>0</v>
      </c>
      <c r="Q420" t="n">
        <v>0</v>
      </c>
      <c r="R420" s="2" t="inlineStr"/>
    </row>
    <row r="421" ht="15" customHeight="1">
      <c r="A421" t="inlineStr">
        <is>
          <t>A 16158-2022</t>
        </is>
      </c>
      <c r="B421" s="1" t="n">
        <v>44666</v>
      </c>
      <c r="C421" s="1" t="n">
        <v>45851</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17908-2022</t>
        </is>
      </c>
      <c r="B422" s="1" t="n">
        <v>44683</v>
      </c>
      <c r="C422" s="1" t="n">
        <v>45851</v>
      </c>
      <c r="D422" t="inlineStr">
        <is>
          <t>DALARNAS LÄN</t>
        </is>
      </c>
      <c r="E422" t="inlineStr">
        <is>
          <t>SMEDJEBACKEN</t>
        </is>
      </c>
      <c r="G422" t="n">
        <v>2</v>
      </c>
      <c r="H422" t="n">
        <v>0</v>
      </c>
      <c r="I422" t="n">
        <v>0</v>
      </c>
      <c r="J422" t="n">
        <v>0</v>
      </c>
      <c r="K422" t="n">
        <v>0</v>
      </c>
      <c r="L422" t="n">
        <v>0</v>
      </c>
      <c r="M422" t="n">
        <v>0</v>
      </c>
      <c r="N422" t="n">
        <v>0</v>
      </c>
      <c r="O422" t="n">
        <v>0</v>
      </c>
      <c r="P422" t="n">
        <v>0</v>
      </c>
      <c r="Q422" t="n">
        <v>0</v>
      </c>
      <c r="R422" s="2" t="inlineStr"/>
    </row>
    <row r="423" ht="15" customHeight="1">
      <c r="A423" t="inlineStr">
        <is>
          <t>A 17951-2022</t>
        </is>
      </c>
      <c r="B423" s="1" t="n">
        <v>44683</v>
      </c>
      <c r="C423" s="1" t="n">
        <v>45851</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17956-2022</t>
        </is>
      </c>
      <c r="B424" s="1" t="n">
        <v>44683</v>
      </c>
      <c r="C424" s="1" t="n">
        <v>45851</v>
      </c>
      <c r="D424" t="inlineStr">
        <is>
          <t>DALARNAS LÄN</t>
        </is>
      </c>
      <c r="E424" t="inlineStr">
        <is>
          <t>SMEDJEBACKEN</t>
        </is>
      </c>
      <c r="G424" t="n">
        <v>2.6</v>
      </c>
      <c r="H424" t="n">
        <v>0</v>
      </c>
      <c r="I424" t="n">
        <v>0</v>
      </c>
      <c r="J424" t="n">
        <v>0</v>
      </c>
      <c r="K424" t="n">
        <v>0</v>
      </c>
      <c r="L424" t="n">
        <v>0</v>
      </c>
      <c r="M424" t="n">
        <v>0</v>
      </c>
      <c r="N424" t="n">
        <v>0</v>
      </c>
      <c r="O424" t="n">
        <v>0</v>
      </c>
      <c r="P424" t="n">
        <v>0</v>
      </c>
      <c r="Q424" t="n">
        <v>0</v>
      </c>
      <c r="R424" s="2" t="inlineStr"/>
    </row>
    <row r="425" ht="15" customHeight="1">
      <c r="A425" t="inlineStr">
        <is>
          <t>A 18038-2022</t>
        </is>
      </c>
      <c r="B425" s="1" t="n">
        <v>44684</v>
      </c>
      <c r="C425" s="1" t="n">
        <v>45851</v>
      </c>
      <c r="D425" t="inlineStr">
        <is>
          <t>DALARNAS LÄN</t>
        </is>
      </c>
      <c r="E425" t="inlineStr">
        <is>
          <t>SMEDJEBACKEN</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18036-2022</t>
        </is>
      </c>
      <c r="B426" s="1" t="n">
        <v>44684</v>
      </c>
      <c r="C426" s="1" t="n">
        <v>45851</v>
      </c>
      <c r="D426" t="inlineStr">
        <is>
          <t>DALARNAS LÄN</t>
        </is>
      </c>
      <c r="E426" t="inlineStr">
        <is>
          <t>SMEDJEBACKEN</t>
        </is>
      </c>
      <c r="F426" t="inlineStr">
        <is>
          <t>Sveaskog</t>
        </is>
      </c>
      <c r="G426" t="n">
        <v>10.1</v>
      </c>
      <c r="H426" t="n">
        <v>0</v>
      </c>
      <c r="I426" t="n">
        <v>0</v>
      </c>
      <c r="J426" t="n">
        <v>0</v>
      </c>
      <c r="K426" t="n">
        <v>0</v>
      </c>
      <c r="L426" t="n">
        <v>0</v>
      </c>
      <c r="M426" t="n">
        <v>0</v>
      </c>
      <c r="N426" t="n">
        <v>0</v>
      </c>
      <c r="O426" t="n">
        <v>0</v>
      </c>
      <c r="P426" t="n">
        <v>0</v>
      </c>
      <c r="Q426" t="n">
        <v>0</v>
      </c>
      <c r="R426" s="2" t="inlineStr"/>
    </row>
    <row r="427" ht="15" customHeight="1">
      <c r="A427" t="inlineStr">
        <is>
          <t>A 18040-2022</t>
        </is>
      </c>
      <c r="B427" s="1" t="n">
        <v>44684</v>
      </c>
      <c r="C427" s="1" t="n">
        <v>45851</v>
      </c>
      <c r="D427" t="inlineStr">
        <is>
          <t>DALARNAS LÄN</t>
        </is>
      </c>
      <c r="E427" t="inlineStr">
        <is>
          <t>SMEDJEBACKEN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18419-2022</t>
        </is>
      </c>
      <c r="B428" s="1" t="n">
        <v>44686</v>
      </c>
      <c r="C428" s="1" t="n">
        <v>45851</v>
      </c>
      <c r="D428" t="inlineStr">
        <is>
          <t>DALARNAS LÄN</t>
        </is>
      </c>
      <c r="E428" t="inlineStr">
        <is>
          <t>SMEDJEBACKEN</t>
        </is>
      </c>
      <c r="G428" t="n">
        <v>0.7</v>
      </c>
      <c r="H428" t="n">
        <v>0</v>
      </c>
      <c r="I428" t="n">
        <v>0</v>
      </c>
      <c r="J428" t="n">
        <v>0</v>
      </c>
      <c r="K428" t="n">
        <v>0</v>
      </c>
      <c r="L428" t="n">
        <v>0</v>
      </c>
      <c r="M428" t="n">
        <v>0</v>
      </c>
      <c r="N428" t="n">
        <v>0</v>
      </c>
      <c r="O428" t="n">
        <v>0</v>
      </c>
      <c r="P428" t="n">
        <v>0</v>
      </c>
      <c r="Q428" t="n">
        <v>0</v>
      </c>
      <c r="R428" s="2" t="inlineStr"/>
    </row>
    <row r="429" ht="15" customHeight="1">
      <c r="A429" t="inlineStr">
        <is>
          <t>A 18682-2022</t>
        </is>
      </c>
      <c r="B429" s="1" t="n">
        <v>44687</v>
      </c>
      <c r="C429" s="1" t="n">
        <v>45851</v>
      </c>
      <c r="D429" t="inlineStr">
        <is>
          <t>DALARNAS LÄN</t>
        </is>
      </c>
      <c r="E429" t="inlineStr">
        <is>
          <t>SMEDJEBACKEN</t>
        </is>
      </c>
      <c r="F429" t="inlineStr">
        <is>
          <t>Sveaskog</t>
        </is>
      </c>
      <c r="G429" t="n">
        <v>5.4</v>
      </c>
      <c r="H429" t="n">
        <v>0</v>
      </c>
      <c r="I429" t="n">
        <v>0</v>
      </c>
      <c r="J429" t="n">
        <v>0</v>
      </c>
      <c r="K429" t="n">
        <v>0</v>
      </c>
      <c r="L429" t="n">
        <v>0</v>
      </c>
      <c r="M429" t="n">
        <v>0</v>
      </c>
      <c r="N429" t="n">
        <v>0</v>
      </c>
      <c r="O429" t="n">
        <v>0</v>
      </c>
      <c r="P429" t="n">
        <v>0</v>
      </c>
      <c r="Q429" t="n">
        <v>0</v>
      </c>
      <c r="R429" s="2" t="inlineStr"/>
    </row>
    <row r="430" ht="15" customHeight="1">
      <c r="A430" t="inlineStr">
        <is>
          <t>A 19019-2022</t>
        </is>
      </c>
      <c r="B430" s="1" t="n">
        <v>44691</v>
      </c>
      <c r="C430" s="1" t="n">
        <v>45851</v>
      </c>
      <c r="D430" t="inlineStr">
        <is>
          <t>DALARNAS LÄN</t>
        </is>
      </c>
      <c r="E430" t="inlineStr">
        <is>
          <t>SMEDJEBACKEN</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20099-2022</t>
        </is>
      </c>
      <c r="B431" s="1" t="n">
        <v>44698</v>
      </c>
      <c r="C431" s="1" t="n">
        <v>45851</v>
      </c>
      <c r="D431" t="inlineStr">
        <is>
          <t>DALARNAS LÄN</t>
        </is>
      </c>
      <c r="E431" t="inlineStr">
        <is>
          <t>SMEDJEBACKEN</t>
        </is>
      </c>
      <c r="F431" t="inlineStr">
        <is>
          <t>Övriga Aktiebolag</t>
        </is>
      </c>
      <c r="G431" t="n">
        <v>8</v>
      </c>
      <c r="H431" t="n">
        <v>0</v>
      </c>
      <c r="I431" t="n">
        <v>0</v>
      </c>
      <c r="J431" t="n">
        <v>0</v>
      </c>
      <c r="K431" t="n">
        <v>0</v>
      </c>
      <c r="L431" t="n">
        <v>0</v>
      </c>
      <c r="M431" t="n">
        <v>0</v>
      </c>
      <c r="N431" t="n">
        <v>0</v>
      </c>
      <c r="O431" t="n">
        <v>0</v>
      </c>
      <c r="P431" t="n">
        <v>0</v>
      </c>
      <c r="Q431" t="n">
        <v>0</v>
      </c>
      <c r="R431" s="2" t="inlineStr"/>
    </row>
    <row r="432" ht="15" customHeight="1">
      <c r="A432" t="inlineStr">
        <is>
          <t>A 20623-2022</t>
        </is>
      </c>
      <c r="B432" s="1" t="n">
        <v>44700</v>
      </c>
      <c r="C432" s="1" t="n">
        <v>45851</v>
      </c>
      <c r="D432" t="inlineStr">
        <is>
          <t>DALARNAS LÄN</t>
        </is>
      </c>
      <c r="E432" t="inlineStr">
        <is>
          <t>SMEDJEBACKEN</t>
        </is>
      </c>
      <c r="G432" t="n">
        <v>0.8</v>
      </c>
      <c r="H432" t="n">
        <v>0</v>
      </c>
      <c r="I432" t="n">
        <v>0</v>
      </c>
      <c r="J432" t="n">
        <v>0</v>
      </c>
      <c r="K432" t="n">
        <v>0</v>
      </c>
      <c r="L432" t="n">
        <v>0</v>
      </c>
      <c r="M432" t="n">
        <v>0</v>
      </c>
      <c r="N432" t="n">
        <v>0</v>
      </c>
      <c r="O432" t="n">
        <v>0</v>
      </c>
      <c r="P432" t="n">
        <v>0</v>
      </c>
      <c r="Q432" t="n">
        <v>0</v>
      </c>
      <c r="R432" s="2" t="inlineStr"/>
    </row>
    <row r="433" ht="15" customHeight="1">
      <c r="A433" t="inlineStr">
        <is>
          <t>A 21631-2022</t>
        </is>
      </c>
      <c r="B433" s="1" t="n">
        <v>44706</v>
      </c>
      <c r="C433" s="1" t="n">
        <v>45851</v>
      </c>
      <c r="D433" t="inlineStr">
        <is>
          <t>DALARNAS LÄN</t>
        </is>
      </c>
      <c r="E433" t="inlineStr">
        <is>
          <t>SMEDJEBACKEN</t>
        </is>
      </c>
      <c r="G433" t="n">
        <v>2.5</v>
      </c>
      <c r="H433" t="n">
        <v>0</v>
      </c>
      <c r="I433" t="n">
        <v>0</v>
      </c>
      <c r="J433" t="n">
        <v>0</v>
      </c>
      <c r="K433" t="n">
        <v>0</v>
      </c>
      <c r="L433" t="n">
        <v>0</v>
      </c>
      <c r="M433" t="n">
        <v>0</v>
      </c>
      <c r="N433" t="n">
        <v>0</v>
      </c>
      <c r="O433" t="n">
        <v>0</v>
      </c>
      <c r="P433" t="n">
        <v>0</v>
      </c>
      <c r="Q433" t="n">
        <v>0</v>
      </c>
      <c r="R433" s="2" t="inlineStr"/>
    </row>
    <row r="434" ht="15" customHeight="1">
      <c r="A434" t="inlineStr">
        <is>
          <t>A 22351-2022</t>
        </is>
      </c>
      <c r="B434" s="1" t="n">
        <v>44713</v>
      </c>
      <c r="C434" s="1" t="n">
        <v>45851</v>
      </c>
      <c r="D434" t="inlineStr">
        <is>
          <t>DALARNAS LÄN</t>
        </is>
      </c>
      <c r="E434" t="inlineStr">
        <is>
          <t>SMEDJEBACKEN</t>
        </is>
      </c>
      <c r="G434" t="n">
        <v>2.3</v>
      </c>
      <c r="H434" t="n">
        <v>0</v>
      </c>
      <c r="I434" t="n">
        <v>0</v>
      </c>
      <c r="J434" t="n">
        <v>0</v>
      </c>
      <c r="K434" t="n">
        <v>0</v>
      </c>
      <c r="L434" t="n">
        <v>0</v>
      </c>
      <c r="M434" t="n">
        <v>0</v>
      </c>
      <c r="N434" t="n">
        <v>0</v>
      </c>
      <c r="O434" t="n">
        <v>0</v>
      </c>
      <c r="P434" t="n">
        <v>0</v>
      </c>
      <c r="Q434" t="n">
        <v>0</v>
      </c>
      <c r="R434" s="2" t="inlineStr"/>
    </row>
    <row r="435" ht="15" customHeight="1">
      <c r="A435" t="inlineStr">
        <is>
          <t>A 22640-2022</t>
        </is>
      </c>
      <c r="B435" s="1" t="n">
        <v>44714</v>
      </c>
      <c r="C435" s="1" t="n">
        <v>45851</v>
      </c>
      <c r="D435" t="inlineStr">
        <is>
          <t>DALARNAS LÄN</t>
        </is>
      </c>
      <c r="E435" t="inlineStr">
        <is>
          <t>SMEDJEBACKEN</t>
        </is>
      </c>
      <c r="G435" t="n">
        <v>11.5</v>
      </c>
      <c r="H435" t="n">
        <v>0</v>
      </c>
      <c r="I435" t="n">
        <v>0</v>
      </c>
      <c r="J435" t="n">
        <v>0</v>
      </c>
      <c r="K435" t="n">
        <v>0</v>
      </c>
      <c r="L435" t="n">
        <v>0</v>
      </c>
      <c r="M435" t="n">
        <v>0</v>
      </c>
      <c r="N435" t="n">
        <v>0</v>
      </c>
      <c r="O435" t="n">
        <v>0</v>
      </c>
      <c r="P435" t="n">
        <v>0</v>
      </c>
      <c r="Q435" t="n">
        <v>0</v>
      </c>
      <c r="R435" s="2" t="inlineStr"/>
    </row>
    <row r="436" ht="15" customHeight="1">
      <c r="A436" t="inlineStr">
        <is>
          <t>A 22984-2022</t>
        </is>
      </c>
      <c r="B436" s="1" t="n">
        <v>44718</v>
      </c>
      <c r="C436" s="1" t="n">
        <v>45851</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24469-2022</t>
        </is>
      </c>
      <c r="B437" s="1" t="n">
        <v>44726</v>
      </c>
      <c r="C437" s="1" t="n">
        <v>45851</v>
      </c>
      <c r="D437" t="inlineStr">
        <is>
          <t>DALARNAS LÄN</t>
        </is>
      </c>
      <c r="E437" t="inlineStr">
        <is>
          <t>SMEDJEBACKEN</t>
        </is>
      </c>
      <c r="G437" t="n">
        <v>4.3</v>
      </c>
      <c r="H437" t="n">
        <v>0</v>
      </c>
      <c r="I437" t="n">
        <v>0</v>
      </c>
      <c r="J437" t="n">
        <v>0</v>
      </c>
      <c r="K437" t="n">
        <v>0</v>
      </c>
      <c r="L437" t="n">
        <v>0</v>
      </c>
      <c r="M437" t="n">
        <v>0</v>
      </c>
      <c r="N437" t="n">
        <v>0</v>
      </c>
      <c r="O437" t="n">
        <v>0</v>
      </c>
      <c r="P437" t="n">
        <v>0</v>
      </c>
      <c r="Q437" t="n">
        <v>0</v>
      </c>
      <c r="R437" s="2" t="inlineStr"/>
    </row>
    <row r="438" ht="15" customHeight="1">
      <c r="A438" t="inlineStr">
        <is>
          <t>A 25344-2022</t>
        </is>
      </c>
      <c r="B438" s="1" t="n">
        <v>44732</v>
      </c>
      <c r="C438" s="1" t="n">
        <v>45851</v>
      </c>
      <c r="D438" t="inlineStr">
        <is>
          <t>DALARNAS LÄN</t>
        </is>
      </c>
      <c r="E438" t="inlineStr">
        <is>
          <t>SMEDJEBACKEN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25788-2022</t>
        </is>
      </c>
      <c r="B439" s="1" t="n">
        <v>44733</v>
      </c>
      <c r="C439" s="1" t="n">
        <v>45851</v>
      </c>
      <c r="D439" t="inlineStr">
        <is>
          <t>DALARNAS LÄN</t>
        </is>
      </c>
      <c r="E439" t="inlineStr">
        <is>
          <t>SMEDJEBACKEN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26005-2022</t>
        </is>
      </c>
      <c r="B440" s="1" t="n">
        <v>44734</v>
      </c>
      <c r="C440" s="1" t="n">
        <v>45851</v>
      </c>
      <c r="D440" t="inlineStr">
        <is>
          <t>DALARNAS LÄN</t>
        </is>
      </c>
      <c r="E440" t="inlineStr">
        <is>
          <t>SMEDJEBACKEN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26009-2022</t>
        </is>
      </c>
      <c r="B441" s="1" t="n">
        <v>44734</v>
      </c>
      <c r="C441" s="1" t="n">
        <v>45851</v>
      </c>
      <c r="D441" t="inlineStr">
        <is>
          <t>DALARNAS LÄN</t>
        </is>
      </c>
      <c r="E441" t="inlineStr">
        <is>
          <t>SMEDJEBACKEN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26305-2022</t>
        </is>
      </c>
      <c r="B442" s="1" t="n">
        <v>44735</v>
      </c>
      <c r="C442" s="1" t="n">
        <v>45851</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26298-2022</t>
        </is>
      </c>
      <c r="B443" s="1" t="n">
        <v>44735</v>
      </c>
      <c r="C443" s="1" t="n">
        <v>45851</v>
      </c>
      <c r="D443" t="inlineStr">
        <is>
          <t>DALARNAS LÄN</t>
        </is>
      </c>
      <c r="E443" t="inlineStr">
        <is>
          <t>SMEDJEBACKEN</t>
        </is>
      </c>
      <c r="G443" t="n">
        <v>0.4</v>
      </c>
      <c r="H443" t="n">
        <v>0</v>
      </c>
      <c r="I443" t="n">
        <v>0</v>
      </c>
      <c r="J443" t="n">
        <v>0</v>
      </c>
      <c r="K443" t="n">
        <v>0</v>
      </c>
      <c r="L443" t="n">
        <v>0</v>
      </c>
      <c r="M443" t="n">
        <v>0</v>
      </c>
      <c r="N443" t="n">
        <v>0</v>
      </c>
      <c r="O443" t="n">
        <v>0</v>
      </c>
      <c r="P443" t="n">
        <v>0</v>
      </c>
      <c r="Q443" t="n">
        <v>0</v>
      </c>
      <c r="R443" s="2" t="inlineStr"/>
    </row>
    <row r="444" ht="15" customHeight="1">
      <c r="A444" t="inlineStr">
        <is>
          <t>A 26294-2022</t>
        </is>
      </c>
      <c r="B444" s="1" t="n">
        <v>44735</v>
      </c>
      <c r="C444" s="1" t="n">
        <v>45851</v>
      </c>
      <c r="D444" t="inlineStr">
        <is>
          <t>DALARNAS LÄN</t>
        </is>
      </c>
      <c r="E444" t="inlineStr">
        <is>
          <t>SMEDJEBACKEN</t>
        </is>
      </c>
      <c r="G444" t="n">
        <v>1.2</v>
      </c>
      <c r="H444" t="n">
        <v>0</v>
      </c>
      <c r="I444" t="n">
        <v>0</v>
      </c>
      <c r="J444" t="n">
        <v>0</v>
      </c>
      <c r="K444" t="n">
        <v>0</v>
      </c>
      <c r="L444" t="n">
        <v>0</v>
      </c>
      <c r="M444" t="n">
        <v>0</v>
      </c>
      <c r="N444" t="n">
        <v>0</v>
      </c>
      <c r="O444" t="n">
        <v>0</v>
      </c>
      <c r="P444" t="n">
        <v>0</v>
      </c>
      <c r="Q444" t="n">
        <v>0</v>
      </c>
      <c r="R444" s="2" t="inlineStr"/>
    </row>
    <row r="445" ht="15" customHeight="1">
      <c r="A445" t="inlineStr">
        <is>
          <t>A 26669-2022</t>
        </is>
      </c>
      <c r="B445" s="1" t="n">
        <v>44739</v>
      </c>
      <c r="C445" s="1" t="n">
        <v>45851</v>
      </c>
      <c r="D445" t="inlineStr">
        <is>
          <t>DALARNAS LÄN</t>
        </is>
      </c>
      <c r="E445" t="inlineStr">
        <is>
          <t>SMEDJEBACKEN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27070-2022</t>
        </is>
      </c>
      <c r="B446" s="1" t="n">
        <v>44741</v>
      </c>
      <c r="C446" s="1" t="n">
        <v>45851</v>
      </c>
      <c r="D446" t="inlineStr">
        <is>
          <t>DALARNAS LÄN</t>
        </is>
      </c>
      <c r="E446" t="inlineStr">
        <is>
          <t>SMEDJEBACKEN</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28613-2022</t>
        </is>
      </c>
      <c r="B447" s="1" t="n">
        <v>44748</v>
      </c>
      <c r="C447" s="1" t="n">
        <v>45851</v>
      </c>
      <c r="D447" t="inlineStr">
        <is>
          <t>DALARNAS LÄN</t>
        </is>
      </c>
      <c r="E447" t="inlineStr">
        <is>
          <t>SMEDJEBACKEN</t>
        </is>
      </c>
      <c r="G447" t="n">
        <v>0.9</v>
      </c>
      <c r="H447" t="n">
        <v>0</v>
      </c>
      <c r="I447" t="n">
        <v>0</v>
      </c>
      <c r="J447" t="n">
        <v>0</v>
      </c>
      <c r="K447" t="n">
        <v>0</v>
      </c>
      <c r="L447" t="n">
        <v>0</v>
      </c>
      <c r="M447" t="n">
        <v>0</v>
      </c>
      <c r="N447" t="n">
        <v>0</v>
      </c>
      <c r="O447" t="n">
        <v>0</v>
      </c>
      <c r="P447" t="n">
        <v>0</v>
      </c>
      <c r="Q447" t="n">
        <v>0</v>
      </c>
      <c r="R447" s="2" t="inlineStr"/>
    </row>
    <row r="448" ht="15" customHeight="1">
      <c r="A448" t="inlineStr">
        <is>
          <t>A 31143-2022</t>
        </is>
      </c>
      <c r="B448" s="1" t="n">
        <v>44770</v>
      </c>
      <c r="C448" s="1" t="n">
        <v>45851</v>
      </c>
      <c r="D448" t="inlineStr">
        <is>
          <t>DALARNAS LÄN</t>
        </is>
      </c>
      <c r="E448" t="inlineStr">
        <is>
          <t>SMEDJEBACKEN</t>
        </is>
      </c>
      <c r="G448" t="n">
        <v>1.5</v>
      </c>
      <c r="H448" t="n">
        <v>0</v>
      </c>
      <c r="I448" t="n">
        <v>0</v>
      </c>
      <c r="J448" t="n">
        <v>0</v>
      </c>
      <c r="K448" t="n">
        <v>0</v>
      </c>
      <c r="L448" t="n">
        <v>0</v>
      </c>
      <c r="M448" t="n">
        <v>0</v>
      </c>
      <c r="N448" t="n">
        <v>0</v>
      </c>
      <c r="O448" t="n">
        <v>0</v>
      </c>
      <c r="P448" t="n">
        <v>0</v>
      </c>
      <c r="Q448" t="n">
        <v>0</v>
      </c>
      <c r="R448" s="2" t="inlineStr"/>
    </row>
    <row r="449" ht="15" customHeight="1">
      <c r="A449" t="inlineStr">
        <is>
          <t>A 31326-2022</t>
        </is>
      </c>
      <c r="B449" s="1" t="n">
        <v>44774</v>
      </c>
      <c r="C449" s="1" t="n">
        <v>45851</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31781-2022</t>
        </is>
      </c>
      <c r="B450" s="1" t="n">
        <v>44776</v>
      </c>
      <c r="C450" s="1" t="n">
        <v>45851</v>
      </c>
      <c r="D450" t="inlineStr">
        <is>
          <t>DALARNAS LÄN</t>
        </is>
      </c>
      <c r="E450" t="inlineStr">
        <is>
          <t>SMEDJEBACKEN</t>
        </is>
      </c>
      <c r="F450" t="inlineStr">
        <is>
          <t>Bergvik skog väst AB</t>
        </is>
      </c>
      <c r="G450" t="n">
        <v>7.6</v>
      </c>
      <c r="H450" t="n">
        <v>0</v>
      </c>
      <c r="I450" t="n">
        <v>0</v>
      </c>
      <c r="J450" t="n">
        <v>0</v>
      </c>
      <c r="K450" t="n">
        <v>0</v>
      </c>
      <c r="L450" t="n">
        <v>0</v>
      </c>
      <c r="M450" t="n">
        <v>0</v>
      </c>
      <c r="N450" t="n">
        <v>0</v>
      </c>
      <c r="O450" t="n">
        <v>0</v>
      </c>
      <c r="P450" t="n">
        <v>0</v>
      </c>
      <c r="Q450" t="n">
        <v>0</v>
      </c>
      <c r="R450" s="2" t="inlineStr"/>
    </row>
    <row r="451" ht="15" customHeight="1">
      <c r="A451" t="inlineStr">
        <is>
          <t>A 31791-2022</t>
        </is>
      </c>
      <c r="B451" s="1" t="n">
        <v>44776</v>
      </c>
      <c r="C451" s="1" t="n">
        <v>45851</v>
      </c>
      <c r="D451" t="inlineStr">
        <is>
          <t>DALARNAS LÄN</t>
        </is>
      </c>
      <c r="E451" t="inlineStr">
        <is>
          <t>SMEDJEBACKEN</t>
        </is>
      </c>
      <c r="F451" t="inlineStr">
        <is>
          <t>Bergvik skog väst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31809-2022</t>
        </is>
      </c>
      <c r="B452" s="1" t="n">
        <v>44776</v>
      </c>
      <c r="C452" s="1" t="n">
        <v>45851</v>
      </c>
      <c r="D452" t="inlineStr">
        <is>
          <t>DALARNAS LÄN</t>
        </is>
      </c>
      <c r="E452" t="inlineStr">
        <is>
          <t>SMEDJEBACKEN</t>
        </is>
      </c>
      <c r="F452" t="inlineStr">
        <is>
          <t>Bergvik skog väst AB</t>
        </is>
      </c>
      <c r="G452" t="n">
        <v>5.5</v>
      </c>
      <c r="H452" t="n">
        <v>0</v>
      </c>
      <c r="I452" t="n">
        <v>0</v>
      </c>
      <c r="J452" t="n">
        <v>0</v>
      </c>
      <c r="K452" t="n">
        <v>0</v>
      </c>
      <c r="L452" t="n">
        <v>0</v>
      </c>
      <c r="M452" t="n">
        <v>0</v>
      </c>
      <c r="N452" t="n">
        <v>0</v>
      </c>
      <c r="O452" t="n">
        <v>0</v>
      </c>
      <c r="P452" t="n">
        <v>0</v>
      </c>
      <c r="Q452" t="n">
        <v>0</v>
      </c>
      <c r="R452" s="2" t="inlineStr"/>
    </row>
    <row r="453" ht="15" customHeight="1">
      <c r="A453" t="inlineStr">
        <is>
          <t>A 31788-2022</t>
        </is>
      </c>
      <c r="B453" s="1" t="n">
        <v>44776</v>
      </c>
      <c r="C453" s="1" t="n">
        <v>45851</v>
      </c>
      <c r="D453" t="inlineStr">
        <is>
          <t>DALARNAS LÄN</t>
        </is>
      </c>
      <c r="E453" t="inlineStr">
        <is>
          <t>SMEDJEBACKEN</t>
        </is>
      </c>
      <c r="F453" t="inlineStr">
        <is>
          <t>Bergvik skog väst AB</t>
        </is>
      </c>
      <c r="G453" t="n">
        <v>3.9</v>
      </c>
      <c r="H453" t="n">
        <v>0</v>
      </c>
      <c r="I453" t="n">
        <v>0</v>
      </c>
      <c r="J453" t="n">
        <v>0</v>
      </c>
      <c r="K453" t="n">
        <v>0</v>
      </c>
      <c r="L453" t="n">
        <v>0</v>
      </c>
      <c r="M453" t="n">
        <v>0</v>
      </c>
      <c r="N453" t="n">
        <v>0</v>
      </c>
      <c r="O453" t="n">
        <v>0</v>
      </c>
      <c r="P453" t="n">
        <v>0</v>
      </c>
      <c r="Q453" t="n">
        <v>0</v>
      </c>
      <c r="R453" s="2" t="inlineStr"/>
    </row>
    <row r="454" ht="15" customHeight="1">
      <c r="A454" t="inlineStr">
        <is>
          <t>A 31795-2022</t>
        </is>
      </c>
      <c r="B454" s="1" t="n">
        <v>44776</v>
      </c>
      <c r="C454" s="1" t="n">
        <v>45851</v>
      </c>
      <c r="D454" t="inlineStr">
        <is>
          <t>DALARNAS LÄN</t>
        </is>
      </c>
      <c r="E454" t="inlineStr">
        <is>
          <t>SMEDJEBACKEN</t>
        </is>
      </c>
      <c r="F454" t="inlineStr">
        <is>
          <t>Bergvik skog väst AB</t>
        </is>
      </c>
      <c r="G454" t="n">
        <v>7.5</v>
      </c>
      <c r="H454" t="n">
        <v>0</v>
      </c>
      <c r="I454" t="n">
        <v>0</v>
      </c>
      <c r="J454" t="n">
        <v>0</v>
      </c>
      <c r="K454" t="n">
        <v>0</v>
      </c>
      <c r="L454" t="n">
        <v>0</v>
      </c>
      <c r="M454" t="n">
        <v>0</v>
      </c>
      <c r="N454" t="n">
        <v>0</v>
      </c>
      <c r="O454" t="n">
        <v>0</v>
      </c>
      <c r="P454" t="n">
        <v>0</v>
      </c>
      <c r="Q454" t="n">
        <v>0</v>
      </c>
      <c r="R454" s="2" t="inlineStr"/>
    </row>
    <row r="455" ht="15" customHeight="1">
      <c r="A455" t="inlineStr">
        <is>
          <t>A 31792-2022</t>
        </is>
      </c>
      <c r="B455" s="1" t="n">
        <v>44776</v>
      </c>
      <c r="C455" s="1" t="n">
        <v>45851</v>
      </c>
      <c r="D455" t="inlineStr">
        <is>
          <t>DALARNAS LÄN</t>
        </is>
      </c>
      <c r="E455" t="inlineStr">
        <is>
          <t>SMEDJEBACKEN</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31799-2022</t>
        </is>
      </c>
      <c r="B456" s="1" t="n">
        <v>44776</v>
      </c>
      <c r="C456" s="1" t="n">
        <v>45851</v>
      </c>
      <c r="D456" t="inlineStr">
        <is>
          <t>DALARNAS LÄN</t>
        </is>
      </c>
      <c r="E456" t="inlineStr">
        <is>
          <t>SMEDJEBACKEN</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32013-2022</t>
        </is>
      </c>
      <c r="B457" s="1" t="n">
        <v>44778</v>
      </c>
      <c r="C457" s="1" t="n">
        <v>45851</v>
      </c>
      <c r="D457" t="inlineStr">
        <is>
          <t>DALARNAS LÄN</t>
        </is>
      </c>
      <c r="E457" t="inlineStr">
        <is>
          <t>SMEDJEBACKEN</t>
        </is>
      </c>
      <c r="G457" t="n">
        <v>1.7</v>
      </c>
      <c r="H457" t="n">
        <v>0</v>
      </c>
      <c r="I457" t="n">
        <v>0</v>
      </c>
      <c r="J457" t="n">
        <v>0</v>
      </c>
      <c r="K457" t="n">
        <v>0</v>
      </c>
      <c r="L457" t="n">
        <v>0</v>
      </c>
      <c r="M457" t="n">
        <v>0</v>
      </c>
      <c r="N457" t="n">
        <v>0</v>
      </c>
      <c r="O457" t="n">
        <v>0</v>
      </c>
      <c r="P457" t="n">
        <v>0</v>
      </c>
      <c r="Q457" t="n">
        <v>0</v>
      </c>
      <c r="R457" s="2" t="inlineStr"/>
    </row>
    <row r="458" ht="15" customHeight="1">
      <c r="A458" t="inlineStr">
        <is>
          <t>A 32016-2022</t>
        </is>
      </c>
      <c r="B458" s="1" t="n">
        <v>44778</v>
      </c>
      <c r="C458" s="1" t="n">
        <v>45851</v>
      </c>
      <c r="D458" t="inlineStr">
        <is>
          <t>DALARNAS LÄN</t>
        </is>
      </c>
      <c r="E458" t="inlineStr">
        <is>
          <t>SMEDJEBACKEN</t>
        </is>
      </c>
      <c r="G458" t="n">
        <v>1.1</v>
      </c>
      <c r="H458" t="n">
        <v>0</v>
      </c>
      <c r="I458" t="n">
        <v>0</v>
      </c>
      <c r="J458" t="n">
        <v>0</v>
      </c>
      <c r="K458" t="n">
        <v>0</v>
      </c>
      <c r="L458" t="n">
        <v>0</v>
      </c>
      <c r="M458" t="n">
        <v>0</v>
      </c>
      <c r="N458" t="n">
        <v>0</v>
      </c>
      <c r="O458" t="n">
        <v>0</v>
      </c>
      <c r="P458" t="n">
        <v>0</v>
      </c>
      <c r="Q458" t="n">
        <v>0</v>
      </c>
      <c r="R458" s="2" t="inlineStr"/>
    </row>
    <row r="459" ht="15" customHeight="1">
      <c r="A459" t="inlineStr">
        <is>
          <t>A 32381-2022</t>
        </is>
      </c>
      <c r="B459" s="1" t="n">
        <v>44781</v>
      </c>
      <c r="C459" s="1" t="n">
        <v>45851</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32384-2022</t>
        </is>
      </c>
      <c r="B460" s="1" t="n">
        <v>44782</v>
      </c>
      <c r="C460" s="1" t="n">
        <v>45851</v>
      </c>
      <c r="D460" t="inlineStr">
        <is>
          <t>DALARNAS LÄN</t>
        </is>
      </c>
      <c r="E460" t="inlineStr">
        <is>
          <t>SMEDJEBACKEN</t>
        </is>
      </c>
      <c r="G460" t="n">
        <v>2.9</v>
      </c>
      <c r="H460" t="n">
        <v>0</v>
      </c>
      <c r="I460" t="n">
        <v>0</v>
      </c>
      <c r="J460" t="n">
        <v>0</v>
      </c>
      <c r="K460" t="n">
        <v>0</v>
      </c>
      <c r="L460" t="n">
        <v>0</v>
      </c>
      <c r="M460" t="n">
        <v>0</v>
      </c>
      <c r="N460" t="n">
        <v>0</v>
      </c>
      <c r="O460" t="n">
        <v>0</v>
      </c>
      <c r="P460" t="n">
        <v>0</v>
      </c>
      <c r="Q460" t="n">
        <v>0</v>
      </c>
      <c r="R460" s="2" t="inlineStr"/>
    </row>
    <row r="461" ht="15" customHeight="1">
      <c r="A461" t="inlineStr">
        <is>
          <t>A 32903-2022</t>
        </is>
      </c>
      <c r="B461" s="1" t="n">
        <v>44784</v>
      </c>
      <c r="C461" s="1" t="n">
        <v>45851</v>
      </c>
      <c r="D461" t="inlineStr">
        <is>
          <t>DALARNAS LÄN</t>
        </is>
      </c>
      <c r="E461" t="inlineStr">
        <is>
          <t>SMEDJEBACKEN</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32945-2022</t>
        </is>
      </c>
      <c r="B462" s="1" t="n">
        <v>44784</v>
      </c>
      <c r="C462" s="1" t="n">
        <v>45851</v>
      </c>
      <c r="D462" t="inlineStr">
        <is>
          <t>DALARNAS LÄN</t>
        </is>
      </c>
      <c r="E462" t="inlineStr">
        <is>
          <t>SMEDJEBACKEN</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32939-2022</t>
        </is>
      </c>
      <c r="B463" s="1" t="n">
        <v>44784</v>
      </c>
      <c r="C463" s="1" t="n">
        <v>45851</v>
      </c>
      <c r="D463" t="inlineStr">
        <is>
          <t>DALARNAS LÄN</t>
        </is>
      </c>
      <c r="E463" t="inlineStr">
        <is>
          <t>SMEDJEBACKEN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33253-2022</t>
        </is>
      </c>
      <c r="B464" s="1" t="n">
        <v>44787</v>
      </c>
      <c r="C464" s="1" t="n">
        <v>45851</v>
      </c>
      <c r="D464" t="inlineStr">
        <is>
          <t>DALARNAS LÄN</t>
        </is>
      </c>
      <c r="E464" t="inlineStr">
        <is>
          <t>SMEDJEBACKEN</t>
        </is>
      </c>
      <c r="G464" t="n">
        <v>0.5</v>
      </c>
      <c r="H464" t="n">
        <v>0</v>
      </c>
      <c r="I464" t="n">
        <v>0</v>
      </c>
      <c r="J464" t="n">
        <v>0</v>
      </c>
      <c r="K464" t="n">
        <v>0</v>
      </c>
      <c r="L464" t="n">
        <v>0</v>
      </c>
      <c r="M464" t="n">
        <v>0</v>
      </c>
      <c r="N464" t="n">
        <v>0</v>
      </c>
      <c r="O464" t="n">
        <v>0</v>
      </c>
      <c r="P464" t="n">
        <v>0</v>
      </c>
      <c r="Q464" t="n">
        <v>0</v>
      </c>
      <c r="R464" s="2" t="inlineStr"/>
    </row>
    <row r="465" ht="15" customHeight="1">
      <c r="A465" t="inlineStr">
        <is>
          <t>A 33257-2022</t>
        </is>
      </c>
      <c r="B465" s="1" t="n">
        <v>44787</v>
      </c>
      <c r="C465" s="1" t="n">
        <v>45851</v>
      </c>
      <c r="D465" t="inlineStr">
        <is>
          <t>DALARNAS LÄN</t>
        </is>
      </c>
      <c r="E465" t="inlineStr">
        <is>
          <t>SMEDJEBACKEN</t>
        </is>
      </c>
      <c r="G465" t="n">
        <v>4</v>
      </c>
      <c r="H465" t="n">
        <v>0</v>
      </c>
      <c r="I465" t="n">
        <v>0</v>
      </c>
      <c r="J465" t="n">
        <v>0</v>
      </c>
      <c r="K465" t="n">
        <v>0</v>
      </c>
      <c r="L465" t="n">
        <v>0</v>
      </c>
      <c r="M465" t="n">
        <v>0</v>
      </c>
      <c r="N465" t="n">
        <v>0</v>
      </c>
      <c r="O465" t="n">
        <v>0</v>
      </c>
      <c r="P465" t="n">
        <v>0</v>
      </c>
      <c r="Q465" t="n">
        <v>0</v>
      </c>
      <c r="R465" s="2" t="inlineStr"/>
    </row>
    <row r="466" ht="15" customHeight="1">
      <c r="A466" t="inlineStr">
        <is>
          <t>A 33256-2022</t>
        </is>
      </c>
      <c r="B466" s="1" t="n">
        <v>44787</v>
      </c>
      <c r="C466" s="1" t="n">
        <v>45851</v>
      </c>
      <c r="D466" t="inlineStr">
        <is>
          <t>DALARNAS LÄN</t>
        </is>
      </c>
      <c r="E466" t="inlineStr">
        <is>
          <t>SMEDJEBACKEN</t>
        </is>
      </c>
      <c r="G466" t="n">
        <v>6.6</v>
      </c>
      <c r="H466" t="n">
        <v>0</v>
      </c>
      <c r="I466" t="n">
        <v>0</v>
      </c>
      <c r="J466" t="n">
        <v>0</v>
      </c>
      <c r="K466" t="n">
        <v>0</v>
      </c>
      <c r="L466" t="n">
        <v>0</v>
      </c>
      <c r="M466" t="n">
        <v>0</v>
      </c>
      <c r="N466" t="n">
        <v>0</v>
      </c>
      <c r="O466" t="n">
        <v>0</v>
      </c>
      <c r="P466" t="n">
        <v>0</v>
      </c>
      <c r="Q466" t="n">
        <v>0</v>
      </c>
      <c r="R466" s="2" t="inlineStr"/>
    </row>
    <row r="467" ht="15" customHeight="1">
      <c r="A467" t="inlineStr">
        <is>
          <t>A 33255-2022</t>
        </is>
      </c>
      <c r="B467" s="1" t="n">
        <v>44787</v>
      </c>
      <c r="C467" s="1" t="n">
        <v>45851</v>
      </c>
      <c r="D467" t="inlineStr">
        <is>
          <t>DALARNAS LÄN</t>
        </is>
      </c>
      <c r="E467" t="inlineStr">
        <is>
          <t>SMEDJEBACKEN</t>
        </is>
      </c>
      <c r="G467" t="n">
        <v>2.1</v>
      </c>
      <c r="H467" t="n">
        <v>0</v>
      </c>
      <c r="I467" t="n">
        <v>0</v>
      </c>
      <c r="J467" t="n">
        <v>0</v>
      </c>
      <c r="K467" t="n">
        <v>0</v>
      </c>
      <c r="L467" t="n">
        <v>0</v>
      </c>
      <c r="M467" t="n">
        <v>0</v>
      </c>
      <c r="N467" t="n">
        <v>0</v>
      </c>
      <c r="O467" t="n">
        <v>0</v>
      </c>
      <c r="P467" t="n">
        <v>0</v>
      </c>
      <c r="Q467" t="n">
        <v>0</v>
      </c>
      <c r="R467" s="2" t="inlineStr"/>
    </row>
    <row r="468" ht="15" customHeight="1">
      <c r="A468" t="inlineStr">
        <is>
          <t>A 33707-2022</t>
        </is>
      </c>
      <c r="B468" s="1" t="n">
        <v>44789</v>
      </c>
      <c r="C468" s="1" t="n">
        <v>45851</v>
      </c>
      <c r="D468" t="inlineStr">
        <is>
          <t>DALARNAS LÄN</t>
        </is>
      </c>
      <c r="E468" t="inlineStr">
        <is>
          <t>SMEDJEBACKEN</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33843-2022</t>
        </is>
      </c>
      <c r="B469" s="1" t="n">
        <v>44790</v>
      </c>
      <c r="C469" s="1" t="n">
        <v>45851</v>
      </c>
      <c r="D469" t="inlineStr">
        <is>
          <t>DALARNAS LÄN</t>
        </is>
      </c>
      <c r="E469" t="inlineStr">
        <is>
          <t>SMEDJEBACKEN</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33846-2022</t>
        </is>
      </c>
      <c r="B470" s="1" t="n">
        <v>44790</v>
      </c>
      <c r="C470" s="1" t="n">
        <v>45851</v>
      </c>
      <c r="D470" t="inlineStr">
        <is>
          <t>DALARNAS LÄN</t>
        </is>
      </c>
      <c r="E470" t="inlineStr">
        <is>
          <t>SMEDJEBACKEN</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34123-2022</t>
        </is>
      </c>
      <c r="B471" s="1" t="n">
        <v>44791</v>
      </c>
      <c r="C471" s="1" t="n">
        <v>45851</v>
      </c>
      <c r="D471" t="inlineStr">
        <is>
          <t>DALARNAS LÄN</t>
        </is>
      </c>
      <c r="E471" t="inlineStr">
        <is>
          <t>SMEDJEBACKEN</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34216-2022</t>
        </is>
      </c>
      <c r="B472" s="1" t="n">
        <v>44791</v>
      </c>
      <c r="C472" s="1" t="n">
        <v>45851</v>
      </c>
      <c r="D472" t="inlineStr">
        <is>
          <t>DALARNAS LÄN</t>
        </is>
      </c>
      <c r="E472" t="inlineStr">
        <is>
          <t>SMEDJEBACKEN</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34235-2022</t>
        </is>
      </c>
      <c r="B473" s="1" t="n">
        <v>44791</v>
      </c>
      <c r="C473" s="1" t="n">
        <v>45851</v>
      </c>
      <c r="D473" t="inlineStr">
        <is>
          <t>DALARNAS LÄN</t>
        </is>
      </c>
      <c r="E473" t="inlineStr">
        <is>
          <t>SMEDJEBACKEN</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34382-2022</t>
        </is>
      </c>
      <c r="B474" s="1" t="n">
        <v>44792</v>
      </c>
      <c r="C474" s="1" t="n">
        <v>45851</v>
      </c>
      <c r="D474" t="inlineStr">
        <is>
          <t>DALARNAS LÄN</t>
        </is>
      </c>
      <c r="E474" t="inlineStr">
        <is>
          <t>SMEDJEBACKEN</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34372-2022</t>
        </is>
      </c>
      <c r="B475" s="1" t="n">
        <v>44792</v>
      </c>
      <c r="C475" s="1" t="n">
        <v>45851</v>
      </c>
      <c r="D475" t="inlineStr">
        <is>
          <t>DALARNAS LÄN</t>
        </is>
      </c>
      <c r="E475" t="inlineStr">
        <is>
          <t>SMEDJEBACKEN</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34360-2022</t>
        </is>
      </c>
      <c r="B476" s="1" t="n">
        <v>44792</v>
      </c>
      <c r="C476" s="1" t="n">
        <v>45851</v>
      </c>
      <c r="D476" t="inlineStr">
        <is>
          <t>DALARNAS LÄN</t>
        </is>
      </c>
      <c r="E476" t="inlineStr">
        <is>
          <t>SMEDJEBACKEN</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34369-2022</t>
        </is>
      </c>
      <c r="B477" s="1" t="n">
        <v>44792</v>
      </c>
      <c r="C477" s="1" t="n">
        <v>45851</v>
      </c>
      <c r="D477" t="inlineStr">
        <is>
          <t>DALARNAS LÄN</t>
        </is>
      </c>
      <c r="E477" t="inlineStr">
        <is>
          <t>SMEDJEBACKEN</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34374-2022</t>
        </is>
      </c>
      <c r="B478" s="1" t="n">
        <v>44792</v>
      </c>
      <c r="C478" s="1" t="n">
        <v>45851</v>
      </c>
      <c r="D478" t="inlineStr">
        <is>
          <t>DALARNAS LÄN</t>
        </is>
      </c>
      <c r="E478" t="inlineStr">
        <is>
          <t>SMEDJEBACKEN</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34755-2022</t>
        </is>
      </c>
      <c r="B479" s="1" t="n">
        <v>44795</v>
      </c>
      <c r="C479" s="1" t="n">
        <v>45851</v>
      </c>
      <c r="D479" t="inlineStr">
        <is>
          <t>DALARNAS LÄN</t>
        </is>
      </c>
      <c r="E479" t="inlineStr">
        <is>
          <t>SMEDJEBACKEN</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35666-2022</t>
        </is>
      </c>
      <c r="B480" s="1" t="n">
        <v>44799</v>
      </c>
      <c r="C480" s="1" t="n">
        <v>45851</v>
      </c>
      <c r="D480" t="inlineStr">
        <is>
          <t>DALARNAS LÄN</t>
        </is>
      </c>
      <c r="E480" t="inlineStr">
        <is>
          <t>SMEDJEBACKEN</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35785-2022</t>
        </is>
      </c>
      <c r="B481" s="1" t="n">
        <v>44801</v>
      </c>
      <c r="C481" s="1" t="n">
        <v>45851</v>
      </c>
      <c r="D481" t="inlineStr">
        <is>
          <t>DALARNAS LÄN</t>
        </is>
      </c>
      <c r="E481" t="inlineStr">
        <is>
          <t>SMEDJEBACKEN</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35812-2022</t>
        </is>
      </c>
      <c r="B482" s="1" t="n">
        <v>44802</v>
      </c>
      <c r="C482" s="1" t="n">
        <v>45851</v>
      </c>
      <c r="D482" t="inlineStr">
        <is>
          <t>DALARNAS LÄN</t>
        </is>
      </c>
      <c r="E482" t="inlineStr">
        <is>
          <t>SMEDJEBACKEN</t>
        </is>
      </c>
      <c r="F482" t="inlineStr">
        <is>
          <t>Sveaskog</t>
        </is>
      </c>
      <c r="G482" t="n">
        <v>15.9</v>
      </c>
      <c r="H482" t="n">
        <v>0</v>
      </c>
      <c r="I482" t="n">
        <v>0</v>
      </c>
      <c r="J482" t="n">
        <v>0</v>
      </c>
      <c r="K482" t="n">
        <v>0</v>
      </c>
      <c r="L482" t="n">
        <v>0</v>
      </c>
      <c r="M482" t="n">
        <v>0</v>
      </c>
      <c r="N482" t="n">
        <v>0</v>
      </c>
      <c r="O482" t="n">
        <v>0</v>
      </c>
      <c r="P482" t="n">
        <v>0</v>
      </c>
      <c r="Q482" t="n">
        <v>0</v>
      </c>
      <c r="R482" s="2" t="inlineStr"/>
    </row>
    <row r="483" ht="15" customHeight="1">
      <c r="A483" t="inlineStr">
        <is>
          <t>A 36238-2022</t>
        </is>
      </c>
      <c r="B483" s="1" t="n">
        <v>44803</v>
      </c>
      <c r="C483" s="1" t="n">
        <v>45851</v>
      </c>
      <c r="D483" t="inlineStr">
        <is>
          <t>DALARNAS LÄN</t>
        </is>
      </c>
      <c r="E483" t="inlineStr">
        <is>
          <t>SMEDJEBACKEN</t>
        </is>
      </c>
      <c r="G483" t="n">
        <v>3.2</v>
      </c>
      <c r="H483" t="n">
        <v>0</v>
      </c>
      <c r="I483" t="n">
        <v>0</v>
      </c>
      <c r="J483" t="n">
        <v>0</v>
      </c>
      <c r="K483" t="n">
        <v>0</v>
      </c>
      <c r="L483" t="n">
        <v>0</v>
      </c>
      <c r="M483" t="n">
        <v>0</v>
      </c>
      <c r="N483" t="n">
        <v>0</v>
      </c>
      <c r="O483" t="n">
        <v>0</v>
      </c>
      <c r="P483" t="n">
        <v>0</v>
      </c>
      <c r="Q483" t="n">
        <v>0</v>
      </c>
      <c r="R483" s="2" t="inlineStr"/>
    </row>
    <row r="484" ht="15" customHeight="1">
      <c r="A484" t="inlineStr">
        <is>
          <t>A 36231-2022</t>
        </is>
      </c>
      <c r="B484" s="1" t="n">
        <v>44803</v>
      </c>
      <c r="C484" s="1" t="n">
        <v>45851</v>
      </c>
      <c r="D484" t="inlineStr">
        <is>
          <t>DALARNAS LÄN</t>
        </is>
      </c>
      <c r="E484" t="inlineStr">
        <is>
          <t>SMEDJEBACKEN</t>
        </is>
      </c>
      <c r="G484" t="n">
        <v>5.7</v>
      </c>
      <c r="H484" t="n">
        <v>0</v>
      </c>
      <c r="I484" t="n">
        <v>0</v>
      </c>
      <c r="J484" t="n">
        <v>0</v>
      </c>
      <c r="K484" t="n">
        <v>0</v>
      </c>
      <c r="L484" t="n">
        <v>0</v>
      </c>
      <c r="M484" t="n">
        <v>0</v>
      </c>
      <c r="N484" t="n">
        <v>0</v>
      </c>
      <c r="O484" t="n">
        <v>0</v>
      </c>
      <c r="P484" t="n">
        <v>0</v>
      </c>
      <c r="Q484" t="n">
        <v>0</v>
      </c>
      <c r="R484" s="2" t="inlineStr"/>
    </row>
    <row r="485" ht="15" customHeight="1">
      <c r="A485" t="inlineStr">
        <is>
          <t>A 36243-2022</t>
        </is>
      </c>
      <c r="B485" s="1" t="n">
        <v>44803</v>
      </c>
      <c r="C485" s="1" t="n">
        <v>45851</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36663-2022</t>
        </is>
      </c>
      <c r="B486" s="1" t="n">
        <v>44804</v>
      </c>
      <c r="C486" s="1" t="n">
        <v>45851</v>
      </c>
      <c r="D486" t="inlineStr">
        <is>
          <t>DALARNAS LÄN</t>
        </is>
      </c>
      <c r="E486" t="inlineStr">
        <is>
          <t>SMEDJEBACKEN</t>
        </is>
      </c>
      <c r="G486" t="n">
        <v>0.9</v>
      </c>
      <c r="H486" t="n">
        <v>0</v>
      </c>
      <c r="I486" t="n">
        <v>0</v>
      </c>
      <c r="J486" t="n">
        <v>0</v>
      </c>
      <c r="K486" t="n">
        <v>0</v>
      </c>
      <c r="L486" t="n">
        <v>0</v>
      </c>
      <c r="M486" t="n">
        <v>0</v>
      </c>
      <c r="N486" t="n">
        <v>0</v>
      </c>
      <c r="O486" t="n">
        <v>0</v>
      </c>
      <c r="P486" t="n">
        <v>0</v>
      </c>
      <c r="Q486" t="n">
        <v>0</v>
      </c>
      <c r="R486" s="2" t="inlineStr"/>
    </row>
    <row r="487" ht="15" customHeight="1">
      <c r="A487" t="inlineStr">
        <is>
          <t>A 37039-2022</t>
        </is>
      </c>
      <c r="B487" s="1" t="n">
        <v>44806</v>
      </c>
      <c r="C487" s="1" t="n">
        <v>45851</v>
      </c>
      <c r="D487" t="inlineStr">
        <is>
          <t>DALARNAS LÄN</t>
        </is>
      </c>
      <c r="E487" t="inlineStr">
        <is>
          <t>SMEDJEBACKEN</t>
        </is>
      </c>
      <c r="F487" t="inlineStr">
        <is>
          <t>Bergvik skog väst AB</t>
        </is>
      </c>
      <c r="G487" t="n">
        <v>7</v>
      </c>
      <c r="H487" t="n">
        <v>0</v>
      </c>
      <c r="I487" t="n">
        <v>0</v>
      </c>
      <c r="J487" t="n">
        <v>0</v>
      </c>
      <c r="K487" t="n">
        <v>0</v>
      </c>
      <c r="L487" t="n">
        <v>0</v>
      </c>
      <c r="M487" t="n">
        <v>0</v>
      </c>
      <c r="N487" t="n">
        <v>0</v>
      </c>
      <c r="O487" t="n">
        <v>0</v>
      </c>
      <c r="P487" t="n">
        <v>0</v>
      </c>
      <c r="Q487" t="n">
        <v>0</v>
      </c>
      <c r="R487" s="2" t="inlineStr"/>
    </row>
    <row r="488" ht="15" customHeight="1">
      <c r="A488" t="inlineStr">
        <is>
          <t>A 37370-2022</t>
        </is>
      </c>
      <c r="B488" s="1" t="n">
        <v>44809</v>
      </c>
      <c r="C488" s="1" t="n">
        <v>45851</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37375-2022</t>
        </is>
      </c>
      <c r="B489" s="1" t="n">
        <v>44809</v>
      </c>
      <c r="C489" s="1" t="n">
        <v>45851</v>
      </c>
      <c r="D489" t="inlineStr">
        <is>
          <t>DALARNAS LÄN</t>
        </is>
      </c>
      <c r="E489" t="inlineStr">
        <is>
          <t>SMEDJEBACKEN</t>
        </is>
      </c>
      <c r="F489" t="inlineStr">
        <is>
          <t>Sveaskog</t>
        </is>
      </c>
      <c r="G489" t="n">
        <v>2.5</v>
      </c>
      <c r="H489" t="n">
        <v>0</v>
      </c>
      <c r="I489" t="n">
        <v>0</v>
      </c>
      <c r="J489" t="n">
        <v>0</v>
      </c>
      <c r="K489" t="n">
        <v>0</v>
      </c>
      <c r="L489" t="n">
        <v>0</v>
      </c>
      <c r="M489" t="n">
        <v>0</v>
      </c>
      <c r="N489" t="n">
        <v>0</v>
      </c>
      <c r="O489" t="n">
        <v>0</v>
      </c>
      <c r="P489" t="n">
        <v>0</v>
      </c>
      <c r="Q489" t="n">
        <v>0</v>
      </c>
      <c r="R489" s="2" t="inlineStr"/>
    </row>
    <row r="490" ht="15" customHeight="1">
      <c r="A490" t="inlineStr">
        <is>
          <t>A 37501-2022</t>
        </is>
      </c>
      <c r="B490" s="1" t="n">
        <v>44809</v>
      </c>
      <c r="C490" s="1" t="n">
        <v>45851</v>
      </c>
      <c r="D490" t="inlineStr">
        <is>
          <t>DALARNAS LÄN</t>
        </is>
      </c>
      <c r="E490" t="inlineStr">
        <is>
          <t>SMEDJEBACKEN</t>
        </is>
      </c>
      <c r="G490" t="n">
        <v>1.7</v>
      </c>
      <c r="H490" t="n">
        <v>0</v>
      </c>
      <c r="I490" t="n">
        <v>0</v>
      </c>
      <c r="J490" t="n">
        <v>0</v>
      </c>
      <c r="K490" t="n">
        <v>0</v>
      </c>
      <c r="L490" t="n">
        <v>0</v>
      </c>
      <c r="M490" t="n">
        <v>0</v>
      </c>
      <c r="N490" t="n">
        <v>0</v>
      </c>
      <c r="O490" t="n">
        <v>0</v>
      </c>
      <c r="P490" t="n">
        <v>0</v>
      </c>
      <c r="Q490" t="n">
        <v>0</v>
      </c>
      <c r="R490" s="2" t="inlineStr"/>
    </row>
    <row r="491" ht="15" customHeight="1">
      <c r="A491" t="inlineStr">
        <is>
          <t>A 37881-2022</t>
        </is>
      </c>
      <c r="B491" s="1" t="n">
        <v>44811</v>
      </c>
      <c r="C491" s="1" t="n">
        <v>45851</v>
      </c>
      <c r="D491" t="inlineStr">
        <is>
          <t>DALARNAS LÄN</t>
        </is>
      </c>
      <c r="E491" t="inlineStr">
        <is>
          <t>SMEDJEBACKEN</t>
        </is>
      </c>
      <c r="G491" t="n">
        <v>1</v>
      </c>
      <c r="H491" t="n">
        <v>0</v>
      </c>
      <c r="I491" t="n">
        <v>0</v>
      </c>
      <c r="J491" t="n">
        <v>0</v>
      </c>
      <c r="K491" t="n">
        <v>0</v>
      </c>
      <c r="L491" t="n">
        <v>0</v>
      </c>
      <c r="M491" t="n">
        <v>0</v>
      </c>
      <c r="N491" t="n">
        <v>0</v>
      </c>
      <c r="O491" t="n">
        <v>0</v>
      </c>
      <c r="P491" t="n">
        <v>0</v>
      </c>
      <c r="Q491" t="n">
        <v>0</v>
      </c>
      <c r="R491" s="2" t="inlineStr"/>
    </row>
    <row r="492" ht="15" customHeight="1">
      <c r="A492" t="inlineStr">
        <is>
          <t>A 37884-2022</t>
        </is>
      </c>
      <c r="B492" s="1" t="n">
        <v>44811</v>
      </c>
      <c r="C492" s="1" t="n">
        <v>45851</v>
      </c>
      <c r="D492" t="inlineStr">
        <is>
          <t>DALARNAS LÄN</t>
        </is>
      </c>
      <c r="E492" t="inlineStr">
        <is>
          <t>SMEDJEBACKEN</t>
        </is>
      </c>
      <c r="G492" t="n">
        <v>3.7</v>
      </c>
      <c r="H492" t="n">
        <v>0</v>
      </c>
      <c r="I492" t="n">
        <v>0</v>
      </c>
      <c r="J492" t="n">
        <v>0</v>
      </c>
      <c r="K492" t="n">
        <v>0</v>
      </c>
      <c r="L492" t="n">
        <v>0</v>
      </c>
      <c r="M492" t="n">
        <v>0</v>
      </c>
      <c r="N492" t="n">
        <v>0</v>
      </c>
      <c r="O492" t="n">
        <v>0</v>
      </c>
      <c r="P492" t="n">
        <v>0</v>
      </c>
      <c r="Q492" t="n">
        <v>0</v>
      </c>
      <c r="R492" s="2" t="inlineStr"/>
    </row>
    <row r="493" ht="15" customHeight="1">
      <c r="A493" t="inlineStr">
        <is>
          <t>A 38438-2022</t>
        </is>
      </c>
      <c r="B493" s="1" t="n">
        <v>44813</v>
      </c>
      <c r="C493" s="1" t="n">
        <v>45851</v>
      </c>
      <c r="D493" t="inlineStr">
        <is>
          <t>DALARNAS LÄN</t>
        </is>
      </c>
      <c r="E493" t="inlineStr">
        <is>
          <t>SMEDJEBACKEN</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38439-2022</t>
        </is>
      </c>
      <c r="B494" s="1" t="n">
        <v>44813</v>
      </c>
      <c r="C494" s="1" t="n">
        <v>45851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38441-2022</t>
        </is>
      </c>
      <c r="B495" s="1" t="n">
        <v>44813</v>
      </c>
      <c r="C495" s="1" t="n">
        <v>45851</v>
      </c>
      <c r="D495" t="inlineStr">
        <is>
          <t>DALARNAS LÄN</t>
        </is>
      </c>
      <c r="E495" t="inlineStr">
        <is>
          <t>SMEDJEBACKEN</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38440-2022</t>
        </is>
      </c>
      <c r="B496" s="1" t="n">
        <v>44813</v>
      </c>
      <c r="C496" s="1" t="n">
        <v>45851</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38576-2022</t>
        </is>
      </c>
      <c r="B497" s="1" t="n">
        <v>44813</v>
      </c>
      <c r="C497" s="1" t="n">
        <v>45851</v>
      </c>
      <c r="D497" t="inlineStr">
        <is>
          <t>DALARNAS LÄN</t>
        </is>
      </c>
      <c r="E497" t="inlineStr">
        <is>
          <t>SMEDJEBACKEN</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39021-2022</t>
        </is>
      </c>
      <c r="B498" s="1" t="n">
        <v>44817</v>
      </c>
      <c r="C498" s="1" t="n">
        <v>45851</v>
      </c>
      <c r="D498" t="inlineStr">
        <is>
          <t>DALARNAS LÄN</t>
        </is>
      </c>
      <c r="E498" t="inlineStr">
        <is>
          <t>SMEDJEBACKEN</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39131-2022</t>
        </is>
      </c>
      <c r="B499" s="1" t="n">
        <v>44817</v>
      </c>
      <c r="C499" s="1" t="n">
        <v>45851</v>
      </c>
      <c r="D499" t="inlineStr">
        <is>
          <t>DALARNAS LÄN</t>
        </is>
      </c>
      <c r="E499" t="inlineStr">
        <is>
          <t>SMEDJEBACKEN</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40119-2022</t>
        </is>
      </c>
      <c r="B500" s="1" t="n">
        <v>44820</v>
      </c>
      <c r="C500" s="1" t="n">
        <v>45851</v>
      </c>
      <c r="D500" t="inlineStr">
        <is>
          <t>DALARNAS LÄN</t>
        </is>
      </c>
      <c r="E500" t="inlineStr">
        <is>
          <t>SMEDJEBACKEN</t>
        </is>
      </c>
      <c r="F500" t="inlineStr">
        <is>
          <t>Bergvik skog väst AB</t>
        </is>
      </c>
      <c r="G500" t="n">
        <v>7.6</v>
      </c>
      <c r="H500" t="n">
        <v>0</v>
      </c>
      <c r="I500" t="n">
        <v>0</v>
      </c>
      <c r="J500" t="n">
        <v>0</v>
      </c>
      <c r="K500" t="n">
        <v>0</v>
      </c>
      <c r="L500" t="n">
        <v>0</v>
      </c>
      <c r="M500" t="n">
        <v>0</v>
      </c>
      <c r="N500" t="n">
        <v>0</v>
      </c>
      <c r="O500" t="n">
        <v>0</v>
      </c>
      <c r="P500" t="n">
        <v>0</v>
      </c>
      <c r="Q500" t="n">
        <v>0</v>
      </c>
      <c r="R500" s="2" t="inlineStr"/>
    </row>
    <row r="501" ht="15" customHeight="1">
      <c r="A501" t="inlineStr">
        <is>
          <t>A 40644-2022</t>
        </is>
      </c>
      <c r="B501" s="1" t="n">
        <v>44824</v>
      </c>
      <c r="C501" s="1" t="n">
        <v>45851</v>
      </c>
      <c r="D501" t="inlineStr">
        <is>
          <t>DALARNAS LÄN</t>
        </is>
      </c>
      <c r="E501" t="inlineStr">
        <is>
          <t>SMEDJEBACKEN</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41337-2022</t>
        </is>
      </c>
      <c r="B502" s="1" t="n">
        <v>44826</v>
      </c>
      <c r="C502" s="1" t="n">
        <v>45851</v>
      </c>
      <c r="D502" t="inlineStr">
        <is>
          <t>DALARNAS LÄN</t>
        </is>
      </c>
      <c r="E502" t="inlineStr">
        <is>
          <t>SMEDJEBACKEN</t>
        </is>
      </c>
      <c r="G502" t="n">
        <v>1.5</v>
      </c>
      <c r="H502" t="n">
        <v>0</v>
      </c>
      <c r="I502" t="n">
        <v>0</v>
      </c>
      <c r="J502" t="n">
        <v>0</v>
      </c>
      <c r="K502" t="n">
        <v>0</v>
      </c>
      <c r="L502" t="n">
        <v>0</v>
      </c>
      <c r="M502" t="n">
        <v>0</v>
      </c>
      <c r="N502" t="n">
        <v>0</v>
      </c>
      <c r="O502" t="n">
        <v>0</v>
      </c>
      <c r="P502" t="n">
        <v>0</v>
      </c>
      <c r="Q502" t="n">
        <v>0</v>
      </c>
      <c r="R502" s="2" t="inlineStr"/>
    </row>
    <row r="503" ht="15" customHeight="1">
      <c r="A503" t="inlineStr">
        <is>
          <t>A 41730-2022</t>
        </is>
      </c>
      <c r="B503" s="1" t="n">
        <v>44827</v>
      </c>
      <c r="C503" s="1" t="n">
        <v>45851</v>
      </c>
      <c r="D503" t="inlineStr">
        <is>
          <t>DALARNAS LÄN</t>
        </is>
      </c>
      <c r="E503" t="inlineStr">
        <is>
          <t>SMEDJEBACKEN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42502-2022</t>
        </is>
      </c>
      <c r="B504" s="1" t="n">
        <v>44831</v>
      </c>
      <c r="C504" s="1" t="n">
        <v>45851</v>
      </c>
      <c r="D504" t="inlineStr">
        <is>
          <t>DALARNAS LÄN</t>
        </is>
      </c>
      <c r="E504" t="inlineStr">
        <is>
          <t>SMEDJEBACKEN</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42496-2022</t>
        </is>
      </c>
      <c r="B505" s="1" t="n">
        <v>44831</v>
      </c>
      <c r="C505" s="1" t="n">
        <v>45851</v>
      </c>
      <c r="D505" t="inlineStr">
        <is>
          <t>DALARNAS LÄN</t>
        </is>
      </c>
      <c r="E505" t="inlineStr">
        <is>
          <t>SMEDJEBACKEN</t>
        </is>
      </c>
      <c r="F505" t="inlineStr">
        <is>
          <t>Sveaskog</t>
        </is>
      </c>
      <c r="G505" t="n">
        <v>4.3</v>
      </c>
      <c r="H505" t="n">
        <v>0</v>
      </c>
      <c r="I505" t="n">
        <v>0</v>
      </c>
      <c r="J505" t="n">
        <v>0</v>
      </c>
      <c r="K505" t="n">
        <v>0</v>
      </c>
      <c r="L505" t="n">
        <v>0</v>
      </c>
      <c r="M505" t="n">
        <v>0</v>
      </c>
      <c r="N505" t="n">
        <v>0</v>
      </c>
      <c r="O505" t="n">
        <v>0</v>
      </c>
      <c r="P505" t="n">
        <v>0</v>
      </c>
      <c r="Q505" t="n">
        <v>0</v>
      </c>
      <c r="R505" s="2" t="inlineStr"/>
    </row>
    <row r="506" ht="15" customHeight="1">
      <c r="A506" t="inlineStr">
        <is>
          <t>A 42744-2022</t>
        </is>
      </c>
      <c r="B506" s="1" t="n">
        <v>44832</v>
      </c>
      <c r="C506" s="1" t="n">
        <v>45851</v>
      </c>
      <c r="D506" t="inlineStr">
        <is>
          <t>DALARNAS LÄN</t>
        </is>
      </c>
      <c r="E506" t="inlineStr">
        <is>
          <t>SMEDJEBACKEN</t>
        </is>
      </c>
      <c r="G506" t="n">
        <v>6.8</v>
      </c>
      <c r="H506" t="n">
        <v>0</v>
      </c>
      <c r="I506" t="n">
        <v>0</v>
      </c>
      <c r="J506" t="n">
        <v>0</v>
      </c>
      <c r="K506" t="n">
        <v>0</v>
      </c>
      <c r="L506" t="n">
        <v>0</v>
      </c>
      <c r="M506" t="n">
        <v>0</v>
      </c>
      <c r="N506" t="n">
        <v>0</v>
      </c>
      <c r="O506" t="n">
        <v>0</v>
      </c>
      <c r="P506" t="n">
        <v>0</v>
      </c>
      <c r="Q506" t="n">
        <v>0</v>
      </c>
      <c r="R506" s="2" t="inlineStr"/>
    </row>
    <row r="507" ht="15" customHeight="1">
      <c r="A507" t="inlineStr">
        <is>
          <t>A 43351-2022</t>
        </is>
      </c>
      <c r="B507" s="1" t="n">
        <v>44834</v>
      </c>
      <c r="C507" s="1" t="n">
        <v>45851</v>
      </c>
      <c r="D507" t="inlineStr">
        <is>
          <t>DALARNAS LÄN</t>
        </is>
      </c>
      <c r="E507" t="inlineStr">
        <is>
          <t>SMEDJEBACKEN</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44702-2022</t>
        </is>
      </c>
      <c r="B508" s="1" t="n">
        <v>44840</v>
      </c>
      <c r="C508" s="1" t="n">
        <v>45851</v>
      </c>
      <c r="D508" t="inlineStr">
        <is>
          <t>DALARNAS LÄN</t>
        </is>
      </c>
      <c r="E508" t="inlineStr">
        <is>
          <t>SMEDJEBACKEN</t>
        </is>
      </c>
      <c r="G508" t="n">
        <v>4.9</v>
      </c>
      <c r="H508" t="n">
        <v>0</v>
      </c>
      <c r="I508" t="n">
        <v>0</v>
      </c>
      <c r="J508" t="n">
        <v>0</v>
      </c>
      <c r="K508" t="n">
        <v>0</v>
      </c>
      <c r="L508" t="n">
        <v>0</v>
      </c>
      <c r="M508" t="n">
        <v>0</v>
      </c>
      <c r="N508" t="n">
        <v>0</v>
      </c>
      <c r="O508" t="n">
        <v>0</v>
      </c>
      <c r="P508" t="n">
        <v>0</v>
      </c>
      <c r="Q508" t="n">
        <v>0</v>
      </c>
      <c r="R508" s="2" t="inlineStr"/>
    </row>
    <row r="509" ht="15" customHeight="1">
      <c r="A509" t="inlineStr">
        <is>
          <t>A 45018-2022</t>
        </is>
      </c>
      <c r="B509" s="1" t="n">
        <v>44840</v>
      </c>
      <c r="C509" s="1" t="n">
        <v>45851</v>
      </c>
      <c r="D509" t="inlineStr">
        <is>
          <t>DALARNAS LÄN</t>
        </is>
      </c>
      <c r="E509" t="inlineStr">
        <is>
          <t>SMEDJEBACKEN</t>
        </is>
      </c>
      <c r="F509" t="inlineStr">
        <is>
          <t>Bergvik skog väst AB</t>
        </is>
      </c>
      <c r="G509" t="n">
        <v>7.2</v>
      </c>
      <c r="H509" t="n">
        <v>0</v>
      </c>
      <c r="I509" t="n">
        <v>0</v>
      </c>
      <c r="J509" t="n">
        <v>0</v>
      </c>
      <c r="K509" t="n">
        <v>0</v>
      </c>
      <c r="L509" t="n">
        <v>0</v>
      </c>
      <c r="M509" t="n">
        <v>0</v>
      </c>
      <c r="N509" t="n">
        <v>0</v>
      </c>
      <c r="O509" t="n">
        <v>0</v>
      </c>
      <c r="P509" t="n">
        <v>0</v>
      </c>
      <c r="Q509" t="n">
        <v>0</v>
      </c>
      <c r="R509" s="2" t="inlineStr"/>
    </row>
    <row r="510" ht="15" customHeight="1">
      <c r="A510" t="inlineStr">
        <is>
          <t>A 45174-2022</t>
        </is>
      </c>
      <c r="B510" s="1" t="n">
        <v>44840</v>
      </c>
      <c r="C510" s="1" t="n">
        <v>45851</v>
      </c>
      <c r="D510" t="inlineStr">
        <is>
          <t>DALARNAS LÄN</t>
        </is>
      </c>
      <c r="E510" t="inlineStr">
        <is>
          <t>SMEDJEBACKEN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45210-2022</t>
        </is>
      </c>
      <c r="B511" s="1" t="n">
        <v>44840</v>
      </c>
      <c r="C511" s="1" t="n">
        <v>45851</v>
      </c>
      <c r="D511" t="inlineStr">
        <is>
          <t>DALARNAS LÄN</t>
        </is>
      </c>
      <c r="E511" t="inlineStr">
        <is>
          <t>SMEDJEBACKEN</t>
        </is>
      </c>
      <c r="F511" t="inlineStr">
        <is>
          <t>Bergvik skog väst AB</t>
        </is>
      </c>
      <c r="G511" t="n">
        <v>22.7</v>
      </c>
      <c r="H511" t="n">
        <v>0</v>
      </c>
      <c r="I511" t="n">
        <v>0</v>
      </c>
      <c r="J511" t="n">
        <v>0</v>
      </c>
      <c r="K511" t="n">
        <v>0</v>
      </c>
      <c r="L511" t="n">
        <v>0</v>
      </c>
      <c r="M511" t="n">
        <v>0</v>
      </c>
      <c r="N511" t="n">
        <v>0</v>
      </c>
      <c r="O511" t="n">
        <v>0</v>
      </c>
      <c r="P511" t="n">
        <v>0</v>
      </c>
      <c r="Q511" t="n">
        <v>0</v>
      </c>
      <c r="R511" s="2" t="inlineStr"/>
    </row>
    <row r="512" ht="15" customHeight="1">
      <c r="A512" t="inlineStr">
        <is>
          <t>A 45091-2022</t>
        </is>
      </c>
      <c r="B512" s="1" t="n">
        <v>44842</v>
      </c>
      <c r="C512" s="1" t="n">
        <v>45851</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45478-2022</t>
        </is>
      </c>
      <c r="B513" s="1" t="n">
        <v>44845</v>
      </c>
      <c r="C513" s="1" t="n">
        <v>45851</v>
      </c>
      <c r="D513" t="inlineStr">
        <is>
          <t>DALARNAS LÄN</t>
        </is>
      </c>
      <c r="E513" t="inlineStr">
        <is>
          <t>SMEDJEBACKEN</t>
        </is>
      </c>
      <c r="G513" t="n">
        <v>1</v>
      </c>
      <c r="H513" t="n">
        <v>0</v>
      </c>
      <c r="I513" t="n">
        <v>0</v>
      </c>
      <c r="J513" t="n">
        <v>0</v>
      </c>
      <c r="K513" t="n">
        <v>0</v>
      </c>
      <c r="L513" t="n">
        <v>0</v>
      </c>
      <c r="M513" t="n">
        <v>0</v>
      </c>
      <c r="N513" t="n">
        <v>0</v>
      </c>
      <c r="O513" t="n">
        <v>0</v>
      </c>
      <c r="P513" t="n">
        <v>0</v>
      </c>
      <c r="Q513" t="n">
        <v>0</v>
      </c>
      <c r="R513" s="2" t="inlineStr"/>
    </row>
    <row r="514" ht="15" customHeight="1">
      <c r="A514" t="inlineStr">
        <is>
          <t>A 45529-2022</t>
        </is>
      </c>
      <c r="B514" s="1" t="n">
        <v>44845</v>
      </c>
      <c r="C514" s="1" t="n">
        <v>45851</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47839-2022</t>
        </is>
      </c>
      <c r="B515" s="1" t="n">
        <v>44855</v>
      </c>
      <c r="C515" s="1" t="n">
        <v>45851</v>
      </c>
      <c r="D515" t="inlineStr">
        <is>
          <t>DALARNAS LÄN</t>
        </is>
      </c>
      <c r="E515" t="inlineStr">
        <is>
          <t>SMEDJEBACKEN</t>
        </is>
      </c>
      <c r="F515" t="inlineStr">
        <is>
          <t>Sveaskog</t>
        </is>
      </c>
      <c r="G515" t="n">
        <v>6.1</v>
      </c>
      <c r="H515" t="n">
        <v>0</v>
      </c>
      <c r="I515" t="n">
        <v>0</v>
      </c>
      <c r="J515" t="n">
        <v>0</v>
      </c>
      <c r="K515" t="n">
        <v>0</v>
      </c>
      <c r="L515" t="n">
        <v>0</v>
      </c>
      <c r="M515" t="n">
        <v>0</v>
      </c>
      <c r="N515" t="n">
        <v>0</v>
      </c>
      <c r="O515" t="n">
        <v>0</v>
      </c>
      <c r="P515" t="n">
        <v>0</v>
      </c>
      <c r="Q515" t="n">
        <v>0</v>
      </c>
      <c r="R515" s="2" t="inlineStr"/>
    </row>
    <row r="516" ht="15" customHeight="1">
      <c r="A516" t="inlineStr">
        <is>
          <t>A 49042-2022</t>
        </is>
      </c>
      <c r="B516" s="1" t="n">
        <v>44855</v>
      </c>
      <c r="C516" s="1" t="n">
        <v>45851</v>
      </c>
      <c r="D516" t="inlineStr">
        <is>
          <t>DALARNAS LÄN</t>
        </is>
      </c>
      <c r="E516" t="inlineStr">
        <is>
          <t>SMEDJEBACKEN</t>
        </is>
      </c>
      <c r="F516" t="inlineStr">
        <is>
          <t>Bergvik skog väst AB</t>
        </is>
      </c>
      <c r="G516" t="n">
        <v>8.5</v>
      </c>
      <c r="H516" t="n">
        <v>0</v>
      </c>
      <c r="I516" t="n">
        <v>0</v>
      </c>
      <c r="J516" t="n">
        <v>0</v>
      </c>
      <c r="K516" t="n">
        <v>0</v>
      </c>
      <c r="L516" t="n">
        <v>0</v>
      </c>
      <c r="M516" t="n">
        <v>0</v>
      </c>
      <c r="N516" t="n">
        <v>0</v>
      </c>
      <c r="O516" t="n">
        <v>0</v>
      </c>
      <c r="P516" t="n">
        <v>0</v>
      </c>
      <c r="Q516" t="n">
        <v>0</v>
      </c>
      <c r="R516" s="2" t="inlineStr"/>
    </row>
    <row r="517" ht="15" customHeight="1">
      <c r="A517" t="inlineStr">
        <is>
          <t>A 48672-2022</t>
        </is>
      </c>
      <c r="B517" s="1" t="n">
        <v>44859</v>
      </c>
      <c r="C517" s="1" t="n">
        <v>45851</v>
      </c>
      <c r="D517" t="inlineStr">
        <is>
          <t>DALARNAS LÄN</t>
        </is>
      </c>
      <c r="E517" t="inlineStr">
        <is>
          <t>SMEDJEBACKEN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48730-2022</t>
        </is>
      </c>
      <c r="B518" s="1" t="n">
        <v>44859</v>
      </c>
      <c r="C518" s="1" t="n">
        <v>45851</v>
      </c>
      <c r="D518" t="inlineStr">
        <is>
          <t>DALARNAS LÄN</t>
        </is>
      </c>
      <c r="E518" t="inlineStr">
        <is>
          <t>SMEDJEBACKEN</t>
        </is>
      </c>
      <c r="F518" t="inlineStr">
        <is>
          <t>Sveaskog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48790-2022</t>
        </is>
      </c>
      <c r="B519" s="1" t="n">
        <v>44859</v>
      </c>
      <c r="C519" s="1" t="n">
        <v>45851</v>
      </c>
      <c r="D519" t="inlineStr">
        <is>
          <t>DALARNAS LÄN</t>
        </is>
      </c>
      <c r="E519" t="inlineStr">
        <is>
          <t>SMEDJEBACKEN</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48671-2022</t>
        </is>
      </c>
      <c r="B520" s="1" t="n">
        <v>44859</v>
      </c>
      <c r="C520" s="1" t="n">
        <v>45851</v>
      </c>
      <c r="D520" t="inlineStr">
        <is>
          <t>DALARNAS LÄN</t>
        </is>
      </c>
      <c r="E520" t="inlineStr">
        <is>
          <t>SMEDJEBACKEN</t>
        </is>
      </c>
      <c r="F520" t="inlineStr">
        <is>
          <t>Sveaskog</t>
        </is>
      </c>
      <c r="G520" t="n">
        <v>7</v>
      </c>
      <c r="H520" t="n">
        <v>0</v>
      </c>
      <c r="I520" t="n">
        <v>0</v>
      </c>
      <c r="J520" t="n">
        <v>0</v>
      </c>
      <c r="K520" t="n">
        <v>0</v>
      </c>
      <c r="L520" t="n">
        <v>0</v>
      </c>
      <c r="M520" t="n">
        <v>0</v>
      </c>
      <c r="N520" t="n">
        <v>0</v>
      </c>
      <c r="O520" t="n">
        <v>0</v>
      </c>
      <c r="P520" t="n">
        <v>0</v>
      </c>
      <c r="Q520" t="n">
        <v>0</v>
      </c>
      <c r="R520" s="2" t="inlineStr"/>
    </row>
    <row r="521" ht="15" customHeight="1">
      <c r="A521" t="inlineStr">
        <is>
          <t>A 48698-2022</t>
        </is>
      </c>
      <c r="B521" s="1" t="n">
        <v>44859</v>
      </c>
      <c r="C521" s="1" t="n">
        <v>45851</v>
      </c>
      <c r="D521" t="inlineStr">
        <is>
          <t>DALARNAS LÄN</t>
        </is>
      </c>
      <c r="E521" t="inlineStr">
        <is>
          <t>SMEDJEBACKEN</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48716-2022</t>
        </is>
      </c>
      <c r="B522" s="1" t="n">
        <v>44859</v>
      </c>
      <c r="C522" s="1" t="n">
        <v>45851</v>
      </c>
      <c r="D522" t="inlineStr">
        <is>
          <t>DALARNAS LÄN</t>
        </is>
      </c>
      <c r="E522" t="inlineStr">
        <is>
          <t>SMEDJEBACKEN</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48615-2022</t>
        </is>
      </c>
      <c r="B523" s="1" t="n">
        <v>44859</v>
      </c>
      <c r="C523" s="1" t="n">
        <v>45851</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48776-2022</t>
        </is>
      </c>
      <c r="B524" s="1" t="n">
        <v>44859</v>
      </c>
      <c r="C524" s="1" t="n">
        <v>45851</v>
      </c>
      <c r="D524" t="inlineStr">
        <is>
          <t>DALARNAS LÄN</t>
        </is>
      </c>
      <c r="E524" t="inlineStr">
        <is>
          <t>SMEDJEBACKEN</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49760-2022</t>
        </is>
      </c>
      <c r="B525" s="1" t="n">
        <v>44859</v>
      </c>
      <c r="C525" s="1" t="n">
        <v>45851</v>
      </c>
      <c r="D525" t="inlineStr">
        <is>
          <t>DALARNAS LÄN</t>
        </is>
      </c>
      <c r="E525" t="inlineStr">
        <is>
          <t>SMEDJEBACKEN</t>
        </is>
      </c>
      <c r="G525" t="n">
        <v>1.8</v>
      </c>
      <c r="H525" t="n">
        <v>0</v>
      </c>
      <c r="I525" t="n">
        <v>0</v>
      </c>
      <c r="J525" t="n">
        <v>0</v>
      </c>
      <c r="K525" t="n">
        <v>0</v>
      </c>
      <c r="L525" t="n">
        <v>0</v>
      </c>
      <c r="M525" t="n">
        <v>0</v>
      </c>
      <c r="N525" t="n">
        <v>0</v>
      </c>
      <c r="O525" t="n">
        <v>0</v>
      </c>
      <c r="P525" t="n">
        <v>0</v>
      </c>
      <c r="Q525" t="n">
        <v>0</v>
      </c>
      <c r="R525" s="2" t="inlineStr"/>
    </row>
    <row r="526" ht="15" customHeight="1">
      <c r="A526" t="inlineStr">
        <is>
          <t>A 49139-2022</t>
        </is>
      </c>
      <c r="B526" s="1" t="n">
        <v>44860</v>
      </c>
      <c r="C526" s="1" t="n">
        <v>45851</v>
      </c>
      <c r="D526" t="inlineStr">
        <is>
          <t>DALARNAS LÄN</t>
        </is>
      </c>
      <c r="E526" t="inlineStr">
        <is>
          <t>SMEDJEBACKEN</t>
        </is>
      </c>
      <c r="G526" t="n">
        <v>3.7</v>
      </c>
      <c r="H526" t="n">
        <v>0</v>
      </c>
      <c r="I526" t="n">
        <v>0</v>
      </c>
      <c r="J526" t="n">
        <v>0</v>
      </c>
      <c r="K526" t="n">
        <v>0</v>
      </c>
      <c r="L526" t="n">
        <v>0</v>
      </c>
      <c r="M526" t="n">
        <v>0</v>
      </c>
      <c r="N526" t="n">
        <v>0</v>
      </c>
      <c r="O526" t="n">
        <v>0</v>
      </c>
      <c r="P526" t="n">
        <v>0</v>
      </c>
      <c r="Q526" t="n">
        <v>0</v>
      </c>
      <c r="R526" s="2" t="inlineStr"/>
    </row>
    <row r="527" ht="15" customHeight="1">
      <c r="A527" t="inlineStr">
        <is>
          <t>A 49278-2022</t>
        </is>
      </c>
      <c r="B527" s="1" t="n">
        <v>44861</v>
      </c>
      <c r="C527" s="1" t="n">
        <v>45851</v>
      </c>
      <c r="D527" t="inlineStr">
        <is>
          <t>DALARNAS LÄN</t>
        </is>
      </c>
      <c r="E527" t="inlineStr">
        <is>
          <t>SMEDJEBACKEN</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49275-2022</t>
        </is>
      </c>
      <c r="B528" s="1" t="n">
        <v>44861</v>
      </c>
      <c r="C528" s="1" t="n">
        <v>45851</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49481-2022</t>
        </is>
      </c>
      <c r="B529" s="1" t="n">
        <v>44861</v>
      </c>
      <c r="C529" s="1" t="n">
        <v>45851</v>
      </c>
      <c r="D529" t="inlineStr">
        <is>
          <t>DALARNAS LÄN</t>
        </is>
      </c>
      <c r="E529" t="inlineStr">
        <is>
          <t>SMEDJEBACKEN</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50047-2022</t>
        </is>
      </c>
      <c r="B530" s="1" t="n">
        <v>44865</v>
      </c>
      <c r="C530" s="1" t="n">
        <v>45851</v>
      </c>
      <c r="D530" t="inlineStr">
        <is>
          <t>DALARNAS LÄN</t>
        </is>
      </c>
      <c r="E530" t="inlineStr">
        <is>
          <t>SMEDJEBACKEN</t>
        </is>
      </c>
      <c r="F530" t="inlineStr">
        <is>
          <t>Sveaskog</t>
        </is>
      </c>
      <c r="G530" t="n">
        <v>10.7</v>
      </c>
      <c r="H530" t="n">
        <v>0</v>
      </c>
      <c r="I530" t="n">
        <v>0</v>
      </c>
      <c r="J530" t="n">
        <v>0</v>
      </c>
      <c r="K530" t="n">
        <v>0</v>
      </c>
      <c r="L530" t="n">
        <v>0</v>
      </c>
      <c r="M530" t="n">
        <v>0</v>
      </c>
      <c r="N530" t="n">
        <v>0</v>
      </c>
      <c r="O530" t="n">
        <v>0</v>
      </c>
      <c r="P530" t="n">
        <v>0</v>
      </c>
      <c r="Q530" t="n">
        <v>0</v>
      </c>
      <c r="R530" s="2" t="inlineStr"/>
    </row>
    <row r="531" ht="15" customHeight="1">
      <c r="A531" t="inlineStr">
        <is>
          <t>A 50072-2022</t>
        </is>
      </c>
      <c r="B531" s="1" t="n">
        <v>44865</v>
      </c>
      <c r="C531" s="1" t="n">
        <v>45851</v>
      </c>
      <c r="D531" t="inlineStr">
        <is>
          <t>DALARNAS LÄN</t>
        </is>
      </c>
      <c r="E531" t="inlineStr">
        <is>
          <t>SMEDJEBACKEN</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51866-2022</t>
        </is>
      </c>
      <c r="B532" s="1" t="n">
        <v>44872</v>
      </c>
      <c r="C532" s="1" t="n">
        <v>45851</v>
      </c>
      <c r="D532" t="inlineStr">
        <is>
          <t>DALARNAS LÄN</t>
        </is>
      </c>
      <c r="E532" t="inlineStr">
        <is>
          <t>SMEDJEBACKEN</t>
        </is>
      </c>
      <c r="F532" t="inlineStr">
        <is>
          <t>Sveaskog</t>
        </is>
      </c>
      <c r="G532" t="n">
        <v>10.5</v>
      </c>
      <c r="H532" t="n">
        <v>0</v>
      </c>
      <c r="I532" t="n">
        <v>0</v>
      </c>
      <c r="J532" t="n">
        <v>0</v>
      </c>
      <c r="K532" t="n">
        <v>0</v>
      </c>
      <c r="L532" t="n">
        <v>0</v>
      </c>
      <c r="M532" t="n">
        <v>0</v>
      </c>
      <c r="N532" t="n">
        <v>0</v>
      </c>
      <c r="O532" t="n">
        <v>0</v>
      </c>
      <c r="P532" t="n">
        <v>0</v>
      </c>
      <c r="Q532" t="n">
        <v>0</v>
      </c>
      <c r="R532" s="2" t="inlineStr"/>
    </row>
    <row r="533" ht="15" customHeight="1">
      <c r="A533" t="inlineStr">
        <is>
          <t>A 52127-2022</t>
        </is>
      </c>
      <c r="B533" s="1" t="n">
        <v>44873</v>
      </c>
      <c r="C533" s="1" t="n">
        <v>45851</v>
      </c>
      <c r="D533" t="inlineStr">
        <is>
          <t>DALARNAS LÄN</t>
        </is>
      </c>
      <c r="E533" t="inlineStr">
        <is>
          <t>SMEDJEBACKEN</t>
        </is>
      </c>
      <c r="G533" t="n">
        <v>4.3</v>
      </c>
      <c r="H533" t="n">
        <v>0</v>
      </c>
      <c r="I533" t="n">
        <v>0</v>
      </c>
      <c r="J533" t="n">
        <v>0</v>
      </c>
      <c r="K533" t="n">
        <v>0</v>
      </c>
      <c r="L533" t="n">
        <v>0</v>
      </c>
      <c r="M533" t="n">
        <v>0</v>
      </c>
      <c r="N533" t="n">
        <v>0</v>
      </c>
      <c r="O533" t="n">
        <v>0</v>
      </c>
      <c r="P533" t="n">
        <v>0</v>
      </c>
      <c r="Q533" t="n">
        <v>0</v>
      </c>
      <c r="R533" s="2" t="inlineStr"/>
    </row>
    <row r="534" ht="15" customHeight="1">
      <c r="A534" t="inlineStr">
        <is>
          <t>A 53290-2022</t>
        </is>
      </c>
      <c r="B534" s="1" t="n">
        <v>44876</v>
      </c>
      <c r="C534" s="1" t="n">
        <v>45851</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53210-2022</t>
        </is>
      </c>
      <c r="B535" s="1" t="n">
        <v>44876</v>
      </c>
      <c r="C535" s="1" t="n">
        <v>45851</v>
      </c>
      <c r="D535" t="inlineStr">
        <is>
          <t>DALARNAS LÄN</t>
        </is>
      </c>
      <c r="E535" t="inlineStr">
        <is>
          <t>SMEDJEBACKEN</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53273-2022</t>
        </is>
      </c>
      <c r="B536" s="1" t="n">
        <v>44876</v>
      </c>
      <c r="C536" s="1" t="n">
        <v>45851</v>
      </c>
      <c r="D536" t="inlineStr">
        <is>
          <t>DALARNAS LÄN</t>
        </is>
      </c>
      <c r="E536" t="inlineStr">
        <is>
          <t>SMEDJEBACKEN</t>
        </is>
      </c>
      <c r="G536" t="n">
        <v>1.9</v>
      </c>
      <c r="H536" t="n">
        <v>0</v>
      </c>
      <c r="I536" t="n">
        <v>0</v>
      </c>
      <c r="J536" t="n">
        <v>0</v>
      </c>
      <c r="K536" t="n">
        <v>0</v>
      </c>
      <c r="L536" t="n">
        <v>0</v>
      </c>
      <c r="M536" t="n">
        <v>0</v>
      </c>
      <c r="N536" t="n">
        <v>0</v>
      </c>
      <c r="O536" t="n">
        <v>0</v>
      </c>
      <c r="P536" t="n">
        <v>0</v>
      </c>
      <c r="Q536" t="n">
        <v>0</v>
      </c>
      <c r="R536" s="2" t="inlineStr"/>
    </row>
    <row r="537" ht="15" customHeight="1">
      <c r="A537" t="inlineStr">
        <is>
          <t>A 53702-2022</t>
        </is>
      </c>
      <c r="B537" s="1" t="n">
        <v>44880</v>
      </c>
      <c r="C537" s="1" t="n">
        <v>45851</v>
      </c>
      <c r="D537" t="inlineStr">
        <is>
          <t>DALARNAS LÄN</t>
        </is>
      </c>
      <c r="E537" t="inlineStr">
        <is>
          <t>SMEDJEBACKEN</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53707-2022</t>
        </is>
      </c>
      <c r="B538" s="1" t="n">
        <v>44880</v>
      </c>
      <c r="C538" s="1" t="n">
        <v>45851</v>
      </c>
      <c r="D538" t="inlineStr">
        <is>
          <t>DALARNAS LÄN</t>
        </is>
      </c>
      <c r="E538" t="inlineStr">
        <is>
          <t>SMEDJEBACKEN</t>
        </is>
      </c>
      <c r="F538" t="inlineStr">
        <is>
          <t>Sveaskog</t>
        </is>
      </c>
      <c r="G538" t="n">
        <v>7.3</v>
      </c>
      <c r="H538" t="n">
        <v>0</v>
      </c>
      <c r="I538" t="n">
        <v>0</v>
      </c>
      <c r="J538" t="n">
        <v>0</v>
      </c>
      <c r="K538" t="n">
        <v>0</v>
      </c>
      <c r="L538" t="n">
        <v>0</v>
      </c>
      <c r="M538" t="n">
        <v>0</v>
      </c>
      <c r="N538" t="n">
        <v>0</v>
      </c>
      <c r="O538" t="n">
        <v>0</v>
      </c>
      <c r="P538" t="n">
        <v>0</v>
      </c>
      <c r="Q538" t="n">
        <v>0</v>
      </c>
      <c r="R538" s="2" t="inlineStr"/>
    </row>
    <row r="539" ht="15" customHeight="1">
      <c r="A539" t="inlineStr">
        <is>
          <t>A 53718-2022</t>
        </is>
      </c>
      <c r="B539" s="1" t="n">
        <v>44880</v>
      </c>
      <c r="C539" s="1" t="n">
        <v>45851</v>
      </c>
      <c r="D539" t="inlineStr">
        <is>
          <t>DALARNAS LÄN</t>
        </is>
      </c>
      <c r="E539" t="inlineStr">
        <is>
          <t>SMEDJEBACKEN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54259-2022</t>
        </is>
      </c>
      <c r="B540" s="1" t="n">
        <v>44882</v>
      </c>
      <c r="C540" s="1" t="n">
        <v>45851</v>
      </c>
      <c r="D540" t="inlineStr">
        <is>
          <t>DALARNAS LÄN</t>
        </is>
      </c>
      <c r="E540" t="inlineStr">
        <is>
          <t>SMEDJEBACKEN</t>
        </is>
      </c>
      <c r="F540" t="inlineStr">
        <is>
          <t>Kyrkan</t>
        </is>
      </c>
      <c r="G540" t="n">
        <v>11.1</v>
      </c>
      <c r="H540" t="n">
        <v>0</v>
      </c>
      <c r="I540" t="n">
        <v>0</v>
      </c>
      <c r="J540" t="n">
        <v>0</v>
      </c>
      <c r="K540" t="n">
        <v>0</v>
      </c>
      <c r="L540" t="n">
        <v>0</v>
      </c>
      <c r="M540" t="n">
        <v>0</v>
      </c>
      <c r="N540" t="n">
        <v>0</v>
      </c>
      <c r="O540" t="n">
        <v>0</v>
      </c>
      <c r="P540" t="n">
        <v>0</v>
      </c>
      <c r="Q540" t="n">
        <v>0</v>
      </c>
      <c r="R540" s="2" t="inlineStr"/>
    </row>
    <row r="541" ht="15" customHeight="1">
      <c r="A541" t="inlineStr">
        <is>
          <t>A 54260-2022</t>
        </is>
      </c>
      <c r="B541" s="1" t="n">
        <v>44882</v>
      </c>
      <c r="C541" s="1" t="n">
        <v>45851</v>
      </c>
      <c r="D541" t="inlineStr">
        <is>
          <t>DALARNAS LÄN</t>
        </is>
      </c>
      <c r="E541" t="inlineStr">
        <is>
          <t>SMEDJEBACKEN</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55680-2022</t>
        </is>
      </c>
      <c r="B542" s="1" t="n">
        <v>44883</v>
      </c>
      <c r="C542" s="1" t="n">
        <v>45851</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54965-2022</t>
        </is>
      </c>
      <c r="B543" s="1" t="n">
        <v>44886</v>
      </c>
      <c r="C543" s="1" t="n">
        <v>45851</v>
      </c>
      <c r="D543" t="inlineStr">
        <is>
          <t>DALARNAS LÄN</t>
        </is>
      </c>
      <c r="E543" t="inlineStr">
        <is>
          <t>SMEDJEBACKEN</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55000-2022</t>
        </is>
      </c>
      <c r="B544" s="1" t="n">
        <v>44886</v>
      </c>
      <c r="C544" s="1" t="n">
        <v>45851</v>
      </c>
      <c r="D544" t="inlineStr">
        <is>
          <t>DALARNAS LÄN</t>
        </is>
      </c>
      <c r="E544" t="inlineStr">
        <is>
          <t>SMEDJEBACKEN</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45851</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45851</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45851</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45851</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45851</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45851</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45851</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45851</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45851</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45851</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45851</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45851</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45851</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45851</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45851</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45851</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45851</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45851</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45851</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45851</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45851</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45851</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45851</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45851</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45851</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45851</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45851</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45851</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45851</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45851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45851</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45851</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45851</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45851</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45851</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45851</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45851</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45851</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45851</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45851</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45851</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45851</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45851</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45851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45851</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45851</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45851</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45851</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45851</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45851</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45851</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45851</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45851</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45851</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45851</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45851</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45851</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45851</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45851</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45851</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45851</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45851</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45851</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45851</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45851</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45851</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45851</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45851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45851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45851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45851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45851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45851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45851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45851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45851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45851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45851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45851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45851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45851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45851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45851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45851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45851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45851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45851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45851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45851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45851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45851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45851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45851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45851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45851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45851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45851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45851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45851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45851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45851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45851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45851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45851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45851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45851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45851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45851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45851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45851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45851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45851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45851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45851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45851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45851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45851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45851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45851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45851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45851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45851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45851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45851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45851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45851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45851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45851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45851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45851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45851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45851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45851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45851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45851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45851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45851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45851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45851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45851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45851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45851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45851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45851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45851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45851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45851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45851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45851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45851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45851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45851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45851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45851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45851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45851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45851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45851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45851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45851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45851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45851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45851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45851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45851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45851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45851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45851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45851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45851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45851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45851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45851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45851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45851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45851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45851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45851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45851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45851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45851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45851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45851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45851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45851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45851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45851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45851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45851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45851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45851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45851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45851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45851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45851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45851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45851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45851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45851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45851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45851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45851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45851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45851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45851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45851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45851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45851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45851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45851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45851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45851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45851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45851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45851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45851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45851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45851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45851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45851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45851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45851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45851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45851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45851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45851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45851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45851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45851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45851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45851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45851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45851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45851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45851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45851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45851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45851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45851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45851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45851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45851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45851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45851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45851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45851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45851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45851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45851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45851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45851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45851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45851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45851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45851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45851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45851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45851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45851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45851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45851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45851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45851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45851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45851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45851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45851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45851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45851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45851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45851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45851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45851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45851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45851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45851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45851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45851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45851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45851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45851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45851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45851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45851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45851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45851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45851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45851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45851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45851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45851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45851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45851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45851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45851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45851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45851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45851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45851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45851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45851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45851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45851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45851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45851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45851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45851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45851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45851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45851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45851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45851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45851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45851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45851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45851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45851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45851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45851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45851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45851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45851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45851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45851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45851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45851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45851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45851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45851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45851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45851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45851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45851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45851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45851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45851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45851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45851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45851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45851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45851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45851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45851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45851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45851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45851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45851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45851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45851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45851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45851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45851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45851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45851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45851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45851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45851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45851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45851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45851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45851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45851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45851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45851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45851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45851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45851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45851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45851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45851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45851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45851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45851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45851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45851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45851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45851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45851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45851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45851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45851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45851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45851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45851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45851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45851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45851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45851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45851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45851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45851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45851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45851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45851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45851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45851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45851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45851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45851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45851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45851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45851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45851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45851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45851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45851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45851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45851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45851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45851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45851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45851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45851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45851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45851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45851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45851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45851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45851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45851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45851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45851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45851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45851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45851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45851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45851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45851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45851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45851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45851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45851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45851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45851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45851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45851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45851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45851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45851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45851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45851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45851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45851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45851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45851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45851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45851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45851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45851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45851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45851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45851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45851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45851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45851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45851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45851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45851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45851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45851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45851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45851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45851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45851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45851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45851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45851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45851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45851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45851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45851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45851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45851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45851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45851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45851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45851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45851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45851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45851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45851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45851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45851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45851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45851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45851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45851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45851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45851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45851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45851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45851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45851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45851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45851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45851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45851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45851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45851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45851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45851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45851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45851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45851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45851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45851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45851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45851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45851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45851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45851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45851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45851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45851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45851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45851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45851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45851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45851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45851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45851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45851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45851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45851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45851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45851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45851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45851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45851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45851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45851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45851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45851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45851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45851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45851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45851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45851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45851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45851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45851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45851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45851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45851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45851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45851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45851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45851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45851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45851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45851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45851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45851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45851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45851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45851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45851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45851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45851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45851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45851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45851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45851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45851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45851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45851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45851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45851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45851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45851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45851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45851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45851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45851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45851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45851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45851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45851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45851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45851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45851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45851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45851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45851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45851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45851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45851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45851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45851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45851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45851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45851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45851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45851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45851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45851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45851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45851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45851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45851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45851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45851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45851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45851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45851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45851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45851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45851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45851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45851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45851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45851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45851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45851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45851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45851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45851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45851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45851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45851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45851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45851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45851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45851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45851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45851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45851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45851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45851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45851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45851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45851</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45851</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45851</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45851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45851</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45851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45851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45851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45851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45851</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45851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45851</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45851</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45851</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45851</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45851</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45851</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45851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45851</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45851</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45851</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45851</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45851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45851</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45851</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45851</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45851</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45851</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45851</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45851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45851</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45851</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45851</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45851</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45851</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45851</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45851</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45851</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45851</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45851</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45851</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45851</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45851</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31473-2025</t>
        </is>
      </c>
      <c r="B1219" s="1" t="n">
        <v>45833</v>
      </c>
      <c r="C1219" s="1" t="n">
        <v>45851</v>
      </c>
      <c r="D1219" t="inlineStr">
        <is>
          <t>DALARNAS LÄN</t>
        </is>
      </c>
      <c r="E1219" t="inlineStr">
        <is>
          <t>SMEDJEBACKEN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31470-2025</t>
        </is>
      </c>
      <c r="B1220" s="1" t="n">
        <v>45833</v>
      </c>
      <c r="C1220" s="1" t="n">
        <v>45851</v>
      </c>
      <c r="D1220" t="inlineStr">
        <is>
          <t>DALARNAS LÄN</t>
        </is>
      </c>
      <c r="E1220" t="inlineStr">
        <is>
          <t>SMEDJEBACKEN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45851</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45851</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45851</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33064-2025</t>
        </is>
      </c>
      <c r="B1224" s="1" t="n">
        <v>45840</v>
      </c>
      <c r="C1224" s="1" t="n">
        <v>45851</v>
      </c>
      <c r="D1224" t="inlineStr">
        <is>
          <t>DALARNAS LÄN</t>
        </is>
      </c>
      <c r="E1224" t="inlineStr">
        <is>
          <t>SMEDJEBACKEN</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45851</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45851</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45851</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45851</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33912-2025</t>
        </is>
      </c>
      <c r="B1229" s="1" t="n">
        <v>45842</v>
      </c>
      <c r="C1229" s="1" t="n">
        <v>45851</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34510-2025</t>
        </is>
      </c>
      <c r="B1230" s="1" t="n">
        <v>45846</v>
      </c>
      <c r="C1230" s="1" t="n">
        <v>45851</v>
      </c>
      <c r="D1230" t="inlineStr">
        <is>
          <t>DALARNAS LÄN</t>
        </is>
      </c>
      <c r="E1230" t="inlineStr">
        <is>
          <t>SMEDJEBACKEN</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34444-2025</t>
        </is>
      </c>
      <c r="B1231" s="1" t="n">
        <v>45846</v>
      </c>
      <c r="C1231" s="1" t="n">
        <v>45851</v>
      </c>
      <c r="D1231" t="inlineStr">
        <is>
          <t>DALARNAS LÄN</t>
        </is>
      </c>
      <c r="E1231" t="inlineStr">
        <is>
          <t>SMEDJEBACKEN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34511-2025</t>
        </is>
      </c>
      <c r="B1232" s="1" t="n">
        <v>45846</v>
      </c>
      <c r="C1232" s="1" t="n">
        <v>45851</v>
      </c>
      <c r="D1232" t="inlineStr">
        <is>
          <t>DALARNAS LÄN</t>
        </is>
      </c>
      <c r="E1232" t="inlineStr">
        <is>
          <t>SMEDJEBACKEN</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34523-2025</t>
        </is>
      </c>
      <c r="B1233" s="1" t="n">
        <v>45846</v>
      </c>
      <c r="C1233" s="1" t="n">
        <v>45851</v>
      </c>
      <c r="D1233" t="inlineStr">
        <is>
          <t>DALARNAS LÄN</t>
        </is>
      </c>
      <c r="E1233" t="inlineStr">
        <is>
          <t>SMEDJEBACKEN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34706-2025</t>
        </is>
      </c>
      <c r="B1234" s="1" t="n">
        <v>45848</v>
      </c>
      <c r="C1234" s="1" t="n">
        <v>45851</v>
      </c>
      <c r="D1234" t="inlineStr">
        <is>
          <t>DALARNAS LÄN</t>
        </is>
      </c>
      <c r="E1234" t="inlineStr">
        <is>
          <t>SMEDJEBACKEN</t>
        </is>
      </c>
      <c r="G1234" t="n">
        <v>0.9</v>
      </c>
      <c r="H1234" t="n">
        <v>0</v>
      </c>
      <c r="I1234" t="n">
        <v>0</v>
      </c>
      <c r="J1234" t="n">
        <v>0</v>
      </c>
      <c r="K1234" t="n">
        <v>0</v>
      </c>
      <c r="L1234" t="n">
        <v>0</v>
      </c>
      <c r="M1234" t="n">
        <v>0</v>
      </c>
      <c r="N1234" t="n">
        <v>0</v>
      </c>
      <c r="O1234" t="n">
        <v>0</v>
      </c>
      <c r="P1234" t="n">
        <v>0</v>
      </c>
      <c r="Q1234" t="n">
        <v>0</v>
      </c>
      <c r="R1234" s="2" t="inlineStr"/>
    </row>
    <row r="1235">
      <c r="A1235" t="inlineStr">
        <is>
          <t>A 34711-2025</t>
        </is>
      </c>
      <c r="B1235" s="1" t="n">
        <v>45848</v>
      </c>
      <c r="C1235" s="1" t="n">
        <v>45851</v>
      </c>
      <c r="D1235" t="inlineStr">
        <is>
          <t>DALARNAS LÄN</t>
        </is>
      </c>
      <c r="E1235" t="inlineStr">
        <is>
          <t>SMEDJEBACKEN</t>
        </is>
      </c>
      <c r="G1235" t="n">
        <v>1.2</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2025-07-13T19:47:10Z</dcterms:created>
  <dcterms:modified xmlns:dcterms="http://purl.org/dc/terms/" xmlns:xsi="http://www.w3.org/2001/XMLSchema-instance" xsi:type="dcterms:W3CDTF">2025-07-13T19:47:11Z</dcterms:modified>
</cp:coreProperties>
</file>