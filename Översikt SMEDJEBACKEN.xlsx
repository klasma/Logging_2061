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45718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45718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45718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45718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45718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45718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45718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45718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45718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45718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45718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45718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33216-2023</t>
        </is>
      </c>
      <c r="B15" s="1" t="n">
        <v>45127</v>
      </c>
      <c r="C15" s="1" t="n">
        <v>45718</v>
      </c>
      <c r="D15" t="inlineStr">
        <is>
          <t>DALARNAS LÄN</t>
        </is>
      </c>
      <c r="E15" t="inlineStr">
        <is>
          <t>SMEDJEBACKEN</t>
        </is>
      </c>
      <c r="G15" t="n">
        <v>13.3</v>
      </c>
      <c r="H15" t="n">
        <v>4</v>
      </c>
      <c r="I15" t="n">
        <v>0</v>
      </c>
      <c r="J15" t="n">
        <v>3</v>
      </c>
      <c r="K15" t="n">
        <v>1</v>
      </c>
      <c r="L15" t="n">
        <v>0</v>
      </c>
      <c r="M15" t="n">
        <v>0</v>
      </c>
      <c r="N15" t="n">
        <v>0</v>
      </c>
      <c r="O15" t="n">
        <v>4</v>
      </c>
      <c r="P15" t="n">
        <v>1</v>
      </c>
      <c r="Q15" t="n">
        <v>4</v>
      </c>
      <c r="R15" s="2" t="inlineStr">
        <is>
          <t>Hasselsnok
Brunlångöra
Spillkråka
Tretåig hackspett</t>
        </is>
      </c>
      <c r="S15">
        <f>HYPERLINK("https://klasma.github.io/Logging_2061/artfynd/A 33216-2023 artfynd.xlsx", "A 33216-2023")</f>
        <v/>
      </c>
      <c r="T15">
        <f>HYPERLINK("https://klasma.github.io/Logging_2061/kartor/A 33216-2023 karta.png", "A 33216-2023")</f>
        <v/>
      </c>
      <c r="V15">
        <f>HYPERLINK("https://klasma.github.io/Logging_2061/klagomål/A 33216-2023 FSC-klagomål.docx", "A 33216-2023")</f>
        <v/>
      </c>
      <c r="W15">
        <f>HYPERLINK("https://klasma.github.io/Logging_2061/klagomålsmail/A 33216-2023 FSC-klagomål mail.docx", "A 33216-2023")</f>
        <v/>
      </c>
      <c r="X15">
        <f>HYPERLINK("https://klasma.github.io/Logging_2061/tillsyn/A 33216-2023 tillsynsbegäran.docx", "A 33216-2023")</f>
        <v/>
      </c>
      <c r="Y15">
        <f>HYPERLINK("https://klasma.github.io/Logging_2061/tillsynsmail/A 33216-2023 tillsynsbegäran mail.docx", "A 33216-2023")</f>
        <v/>
      </c>
      <c r="Z15">
        <f>HYPERLINK("https://klasma.github.io/Logging_2061/fåglar/A 33216-2023 prioriterade fågelarter.docx", "A 33216-2023")</f>
        <v/>
      </c>
    </row>
    <row r="16" ht="15" customHeight="1">
      <c r="A16" t="inlineStr">
        <is>
          <t>A 34671-2023</t>
        </is>
      </c>
      <c r="B16" s="1" t="n">
        <v>45140</v>
      </c>
      <c r="C16" s="1" t="n">
        <v>45718</v>
      </c>
      <c r="D16" t="inlineStr">
        <is>
          <t>DALARNAS LÄN</t>
        </is>
      </c>
      <c r="E16" t="inlineStr">
        <is>
          <t>SMEDJEBACKEN</t>
        </is>
      </c>
      <c r="G16" t="n">
        <v>5.5</v>
      </c>
      <c r="H16" t="n">
        <v>2</v>
      </c>
      <c r="I16" t="n">
        <v>1</v>
      </c>
      <c r="J16" t="n">
        <v>1</v>
      </c>
      <c r="K16" t="n">
        <v>0</v>
      </c>
      <c r="L16" t="n">
        <v>0</v>
      </c>
      <c r="M16" t="n">
        <v>0</v>
      </c>
      <c r="N16" t="n">
        <v>0</v>
      </c>
      <c r="O16" t="n">
        <v>1</v>
      </c>
      <c r="P16" t="n">
        <v>0</v>
      </c>
      <c r="Q16" t="n">
        <v>4</v>
      </c>
      <c r="R16" s="2" t="inlineStr">
        <is>
          <t>Motaggsvamp
Rödgul trumpetsvamp
Fläcknycklar
Revlummer</t>
        </is>
      </c>
      <c r="S16">
        <f>HYPERLINK("https://klasma.github.io/Logging_2061/artfynd/A 34671-2023 artfynd.xlsx", "A 34671-2023")</f>
        <v/>
      </c>
      <c r="T16">
        <f>HYPERLINK("https://klasma.github.io/Logging_2061/kartor/A 34671-2023 karta.png", "A 34671-2023")</f>
        <v/>
      </c>
      <c r="V16">
        <f>HYPERLINK("https://klasma.github.io/Logging_2061/klagomål/A 34671-2023 FSC-klagomål.docx", "A 34671-2023")</f>
        <v/>
      </c>
      <c r="W16">
        <f>HYPERLINK("https://klasma.github.io/Logging_2061/klagomålsmail/A 34671-2023 FSC-klagomål mail.docx", "A 34671-2023")</f>
        <v/>
      </c>
      <c r="X16">
        <f>HYPERLINK("https://klasma.github.io/Logging_2061/tillsyn/A 34671-2023 tillsynsbegäran.docx", "A 34671-2023")</f>
        <v/>
      </c>
      <c r="Y16">
        <f>HYPERLINK("https://klasma.github.io/Logging_2061/tillsynsmail/A 34671-2023 tillsynsbegäran mail.docx", "A 34671-2023")</f>
        <v/>
      </c>
    </row>
    <row r="17" ht="15" customHeight="1">
      <c r="A17" t="inlineStr">
        <is>
          <t>A 20246-2024</t>
        </is>
      </c>
      <c r="B17" s="1" t="n">
        <v>45434</v>
      </c>
      <c r="C17" s="1" t="n">
        <v>45718</v>
      </c>
      <c r="D17" t="inlineStr">
        <is>
          <t>DALARNAS LÄN</t>
        </is>
      </c>
      <c r="E17" t="inlineStr">
        <is>
          <t>SMEDJEBACKEN</t>
        </is>
      </c>
      <c r="F17" t="inlineStr">
        <is>
          <t>Övriga Aktiebolag</t>
        </is>
      </c>
      <c r="G17" t="n">
        <v>11.5</v>
      </c>
      <c r="H17" t="n">
        <v>4</v>
      </c>
      <c r="I17" t="n">
        <v>0</v>
      </c>
      <c r="J17" t="n">
        <v>1</v>
      </c>
      <c r="K17" t="n">
        <v>0</v>
      </c>
      <c r="L17" t="n">
        <v>0</v>
      </c>
      <c r="M17" t="n">
        <v>0</v>
      </c>
      <c r="N17" t="n">
        <v>0</v>
      </c>
      <c r="O17" t="n">
        <v>1</v>
      </c>
      <c r="P17" t="n">
        <v>0</v>
      </c>
      <c r="Q17" t="n">
        <v>4</v>
      </c>
      <c r="R17" s="2" t="inlineStr">
        <is>
          <t>Talltita
Vanlig padda
Fläcknycklar
Revlummer</t>
        </is>
      </c>
      <c r="S17">
        <f>HYPERLINK("https://klasma.github.io/Logging_2061/artfynd/A 20246-2024 artfynd.xlsx", "A 20246-2024")</f>
        <v/>
      </c>
      <c r="T17">
        <f>HYPERLINK("https://klasma.github.io/Logging_2061/kartor/A 20246-2024 karta.png", "A 20246-2024")</f>
        <v/>
      </c>
      <c r="V17">
        <f>HYPERLINK("https://klasma.github.io/Logging_2061/klagomål/A 20246-2024 FSC-klagomål.docx", "A 20246-2024")</f>
        <v/>
      </c>
      <c r="W17">
        <f>HYPERLINK("https://klasma.github.io/Logging_2061/klagomålsmail/A 20246-2024 FSC-klagomål mail.docx", "A 20246-2024")</f>
        <v/>
      </c>
      <c r="X17">
        <f>HYPERLINK("https://klasma.github.io/Logging_2061/tillsyn/A 20246-2024 tillsynsbegäran.docx", "A 20246-2024")</f>
        <v/>
      </c>
      <c r="Y17">
        <f>HYPERLINK("https://klasma.github.io/Logging_2061/tillsynsmail/A 20246-2024 tillsynsbegäran mail.docx", "A 20246-2024")</f>
        <v/>
      </c>
      <c r="Z17">
        <f>HYPERLINK("https://klasma.github.io/Logging_2061/fåglar/A 20246-2024 prioriterade fågelarter.docx", "A 20246-2024")</f>
        <v/>
      </c>
    </row>
    <row r="18" ht="15" customHeight="1">
      <c r="A18" t="inlineStr">
        <is>
          <t>A 47051-2020</t>
        </is>
      </c>
      <c r="B18" s="1" t="n">
        <v>44091</v>
      </c>
      <c r="C18" s="1" t="n">
        <v>45718</v>
      </c>
      <c r="D18" t="inlineStr">
        <is>
          <t>DALARNAS LÄN</t>
        </is>
      </c>
      <c r="E18" t="inlineStr">
        <is>
          <t>SMEDJEBACKEN</t>
        </is>
      </c>
      <c r="F18" t="inlineStr">
        <is>
          <t>Bergvik skog väst AB</t>
        </is>
      </c>
      <c r="G18" t="n">
        <v>2.5</v>
      </c>
      <c r="H18" t="n">
        <v>1</v>
      </c>
      <c r="I18" t="n">
        <v>1</v>
      </c>
      <c r="J18" t="n">
        <v>1</v>
      </c>
      <c r="K18" t="n">
        <v>0</v>
      </c>
      <c r="L18" t="n">
        <v>0</v>
      </c>
      <c r="M18" t="n">
        <v>0</v>
      </c>
      <c r="N18" t="n">
        <v>0</v>
      </c>
      <c r="O18" t="n">
        <v>1</v>
      </c>
      <c r="P18" t="n">
        <v>0</v>
      </c>
      <c r="Q18" t="n">
        <v>3</v>
      </c>
      <c r="R18" s="2" t="inlineStr">
        <is>
          <t>Grantaggsvamp
Dropptaggsvamp
Fläcknycklar</t>
        </is>
      </c>
      <c r="S18">
        <f>HYPERLINK("https://klasma.github.io/Logging_2061/artfynd/A 47051-2020 artfynd.xlsx", "A 47051-2020")</f>
        <v/>
      </c>
      <c r="T18">
        <f>HYPERLINK("https://klasma.github.io/Logging_2061/kartor/A 47051-2020 karta.png", "A 47051-2020")</f>
        <v/>
      </c>
      <c r="V18">
        <f>HYPERLINK("https://klasma.github.io/Logging_2061/klagomål/A 47051-2020 FSC-klagomål.docx", "A 47051-2020")</f>
        <v/>
      </c>
      <c r="W18">
        <f>HYPERLINK("https://klasma.github.io/Logging_2061/klagomålsmail/A 47051-2020 FSC-klagomål mail.docx", "A 47051-2020")</f>
        <v/>
      </c>
      <c r="X18">
        <f>HYPERLINK("https://klasma.github.io/Logging_2061/tillsyn/A 47051-2020 tillsynsbegäran.docx", "A 47051-2020")</f>
        <v/>
      </c>
      <c r="Y18">
        <f>HYPERLINK("https://klasma.github.io/Logging_2061/tillsynsmail/A 47051-2020 tillsynsbegäran mail.docx", "A 47051-2020")</f>
        <v/>
      </c>
    </row>
    <row r="19" ht="15" customHeight="1">
      <c r="A19" t="inlineStr">
        <is>
          <t>A 63684-2020</t>
        </is>
      </c>
      <c r="B19" s="1" t="n">
        <v>44166</v>
      </c>
      <c r="C19" s="1" t="n">
        <v>45718</v>
      </c>
      <c r="D19" t="inlineStr">
        <is>
          <t>DALARNAS LÄN</t>
        </is>
      </c>
      <c r="E19" t="inlineStr">
        <is>
          <t>SMEDJEBACKEN</t>
        </is>
      </c>
      <c r="F19" t="inlineStr">
        <is>
          <t>Sveaskog</t>
        </is>
      </c>
      <c r="G19" t="n">
        <v>2.9</v>
      </c>
      <c r="H19" t="n">
        <v>0</v>
      </c>
      <c r="I19" t="n">
        <v>2</v>
      </c>
      <c r="J19" t="n">
        <v>0</v>
      </c>
      <c r="K19" t="n">
        <v>0</v>
      </c>
      <c r="L19" t="n">
        <v>0</v>
      </c>
      <c r="M19" t="n">
        <v>1</v>
      </c>
      <c r="N19" t="n">
        <v>0</v>
      </c>
      <c r="O19" t="n">
        <v>1</v>
      </c>
      <c r="P19" t="n">
        <v>1</v>
      </c>
      <c r="Q19" t="n">
        <v>3</v>
      </c>
      <c r="R19" s="2" t="inlineStr">
        <is>
          <t>Skogsalm
Brandticka
Dvärgtufs</t>
        </is>
      </c>
      <c r="S19">
        <f>HYPERLINK("https://klasma.github.io/Logging_2061/artfynd/A 63684-2020 artfynd.xlsx", "A 63684-2020")</f>
        <v/>
      </c>
      <c r="T19">
        <f>HYPERLINK("https://klasma.github.io/Logging_2061/kartor/A 63684-2020 karta.png", "A 63684-2020")</f>
        <v/>
      </c>
      <c r="V19">
        <f>HYPERLINK("https://klasma.github.io/Logging_2061/klagomål/A 63684-2020 FSC-klagomål.docx", "A 63684-2020")</f>
        <v/>
      </c>
      <c r="W19">
        <f>HYPERLINK("https://klasma.github.io/Logging_2061/klagomålsmail/A 63684-2020 FSC-klagomål mail.docx", "A 63684-2020")</f>
        <v/>
      </c>
      <c r="X19">
        <f>HYPERLINK("https://klasma.github.io/Logging_2061/tillsyn/A 63684-2020 tillsynsbegäran.docx", "A 63684-2020")</f>
        <v/>
      </c>
      <c r="Y19">
        <f>HYPERLINK("https://klasma.github.io/Logging_2061/tillsynsmail/A 63684-2020 tillsynsbegäran mail.docx", "A 63684-2020")</f>
        <v/>
      </c>
    </row>
    <row r="20" ht="15" customHeight="1">
      <c r="A20" t="inlineStr">
        <is>
          <t>A 30934-2024</t>
        </is>
      </c>
      <c r="B20" s="1" t="n">
        <v>45498</v>
      </c>
      <c r="C20" s="1" t="n">
        <v>45718</v>
      </c>
      <c r="D20" t="inlineStr">
        <is>
          <t>DALARNAS LÄN</t>
        </is>
      </c>
      <c r="E20" t="inlineStr">
        <is>
          <t>SMEDJEBACKEN</t>
        </is>
      </c>
      <c r="F20" t="inlineStr">
        <is>
          <t>Övriga Aktiebolag</t>
        </is>
      </c>
      <c r="G20" t="n">
        <v>1.4</v>
      </c>
      <c r="H20" t="n">
        <v>1</v>
      </c>
      <c r="I20" t="n">
        <v>2</v>
      </c>
      <c r="J20" t="n">
        <v>0</v>
      </c>
      <c r="K20" t="n">
        <v>0</v>
      </c>
      <c r="L20" t="n">
        <v>0</v>
      </c>
      <c r="M20" t="n">
        <v>0</v>
      </c>
      <c r="N20" t="n">
        <v>0</v>
      </c>
      <c r="O20" t="n">
        <v>0</v>
      </c>
      <c r="P20" t="n">
        <v>0</v>
      </c>
      <c r="Q20" t="n">
        <v>3</v>
      </c>
      <c r="R20" s="2" t="inlineStr">
        <is>
          <t>Björksplintborre
Vedticka
Revlummer</t>
        </is>
      </c>
      <c r="S20">
        <f>HYPERLINK("https://klasma.github.io/Logging_2061/artfynd/A 30934-2024 artfynd.xlsx", "A 30934-2024")</f>
        <v/>
      </c>
      <c r="T20">
        <f>HYPERLINK("https://klasma.github.io/Logging_2061/kartor/A 30934-2024 karta.png", "A 30934-2024")</f>
        <v/>
      </c>
      <c r="V20">
        <f>HYPERLINK("https://klasma.github.io/Logging_2061/klagomål/A 30934-2024 FSC-klagomål.docx", "A 30934-2024")</f>
        <v/>
      </c>
      <c r="W20">
        <f>HYPERLINK("https://klasma.github.io/Logging_2061/klagomålsmail/A 30934-2024 FSC-klagomål mail.docx", "A 30934-2024")</f>
        <v/>
      </c>
      <c r="X20">
        <f>HYPERLINK("https://klasma.github.io/Logging_2061/tillsyn/A 30934-2024 tillsynsbegäran.docx", "A 30934-2024")</f>
        <v/>
      </c>
      <c r="Y20">
        <f>HYPERLINK("https://klasma.github.io/Logging_2061/tillsynsmail/A 30934-2024 tillsynsbegäran mail.docx", "A 30934-2024")</f>
        <v/>
      </c>
    </row>
    <row r="21" ht="15" customHeight="1">
      <c r="A21" t="inlineStr">
        <is>
          <t>A 21403-2021</t>
        </is>
      </c>
      <c r="B21" s="1" t="n">
        <v>44321</v>
      </c>
      <c r="C21" s="1" t="n">
        <v>45718</v>
      </c>
      <c r="D21" t="inlineStr">
        <is>
          <t>DALARNAS LÄN</t>
        </is>
      </c>
      <c r="E21" t="inlineStr">
        <is>
          <t>SMEDJEBACKEN</t>
        </is>
      </c>
      <c r="G21" t="n">
        <v>1.6</v>
      </c>
      <c r="H21" t="n">
        <v>1</v>
      </c>
      <c r="I21" t="n">
        <v>0</v>
      </c>
      <c r="J21" t="n">
        <v>1</v>
      </c>
      <c r="K21" t="n">
        <v>0</v>
      </c>
      <c r="L21" t="n">
        <v>0</v>
      </c>
      <c r="M21" t="n">
        <v>0</v>
      </c>
      <c r="N21" t="n">
        <v>0</v>
      </c>
      <c r="O21" t="n">
        <v>1</v>
      </c>
      <c r="P21" t="n">
        <v>0</v>
      </c>
      <c r="Q21" t="n">
        <v>2</v>
      </c>
      <c r="R21" s="2" t="inlineStr">
        <is>
          <t>Motaggsvamp
Blåsippa</t>
        </is>
      </c>
      <c r="S21">
        <f>HYPERLINK("https://klasma.github.io/Logging_2061/artfynd/A 21403-2021 artfynd.xlsx", "A 21403-2021")</f>
        <v/>
      </c>
      <c r="T21">
        <f>HYPERLINK("https://klasma.github.io/Logging_2061/kartor/A 21403-2021 karta.png", "A 21403-2021")</f>
        <v/>
      </c>
      <c r="V21">
        <f>HYPERLINK("https://klasma.github.io/Logging_2061/klagomål/A 21403-2021 FSC-klagomål.docx", "A 21403-2021")</f>
        <v/>
      </c>
      <c r="W21">
        <f>HYPERLINK("https://klasma.github.io/Logging_2061/klagomålsmail/A 21403-2021 FSC-klagomål mail.docx", "A 21403-2021")</f>
        <v/>
      </c>
      <c r="X21">
        <f>HYPERLINK("https://klasma.github.io/Logging_2061/tillsyn/A 21403-2021 tillsynsbegäran.docx", "A 21403-2021")</f>
        <v/>
      </c>
      <c r="Y21">
        <f>HYPERLINK("https://klasma.github.io/Logging_2061/tillsynsmail/A 21403-2021 tillsynsbegäran mail.docx", "A 21403-2021")</f>
        <v/>
      </c>
    </row>
    <row r="22" ht="15" customHeight="1">
      <c r="A22" t="inlineStr">
        <is>
          <t>A 40537-2021</t>
        </is>
      </c>
      <c r="B22" s="1" t="n">
        <v>44420</v>
      </c>
      <c r="C22" s="1" t="n">
        <v>45718</v>
      </c>
      <c r="D22" t="inlineStr">
        <is>
          <t>DALARNAS LÄN</t>
        </is>
      </c>
      <c r="E22" t="inlineStr">
        <is>
          <t>SMEDJEBACKEN</t>
        </is>
      </c>
      <c r="F22" t="inlineStr">
        <is>
          <t>Övriga Aktiebolag</t>
        </is>
      </c>
      <c r="G22" t="n">
        <v>10</v>
      </c>
      <c r="H22" t="n">
        <v>2</v>
      </c>
      <c r="I22" t="n">
        <v>0</v>
      </c>
      <c r="J22" t="n">
        <v>1</v>
      </c>
      <c r="K22" t="n">
        <v>0</v>
      </c>
      <c r="L22" t="n">
        <v>0</v>
      </c>
      <c r="M22" t="n">
        <v>0</v>
      </c>
      <c r="N22" t="n">
        <v>0</v>
      </c>
      <c r="O22" t="n">
        <v>1</v>
      </c>
      <c r="P22" t="n">
        <v>0</v>
      </c>
      <c r="Q22" t="n">
        <v>2</v>
      </c>
      <c r="R22" s="2" t="inlineStr">
        <is>
          <t>Tretåig hackspett
Blåsippa</t>
        </is>
      </c>
      <c r="S22">
        <f>HYPERLINK("https://klasma.github.io/Logging_2061/artfynd/A 40537-2021 artfynd.xlsx", "A 40537-2021")</f>
        <v/>
      </c>
      <c r="T22">
        <f>HYPERLINK("https://klasma.github.io/Logging_2061/kartor/A 40537-2021 karta.png", "A 40537-2021")</f>
        <v/>
      </c>
      <c r="V22">
        <f>HYPERLINK("https://klasma.github.io/Logging_2061/klagomål/A 40537-2021 FSC-klagomål.docx", "A 40537-2021")</f>
        <v/>
      </c>
      <c r="W22">
        <f>HYPERLINK("https://klasma.github.io/Logging_2061/klagomålsmail/A 40537-2021 FSC-klagomål mail.docx", "A 40537-2021")</f>
        <v/>
      </c>
      <c r="X22">
        <f>HYPERLINK("https://klasma.github.io/Logging_2061/tillsyn/A 40537-2021 tillsynsbegäran.docx", "A 40537-2021")</f>
        <v/>
      </c>
      <c r="Y22">
        <f>HYPERLINK("https://klasma.github.io/Logging_2061/tillsynsmail/A 40537-2021 tillsynsbegäran mail.docx", "A 40537-2021")</f>
        <v/>
      </c>
      <c r="Z22">
        <f>HYPERLINK("https://klasma.github.io/Logging_2061/fåglar/A 40537-2021 prioriterade fågelarter.docx", "A 40537-2021")</f>
        <v/>
      </c>
    </row>
    <row r="23" ht="15" customHeight="1">
      <c r="A23" t="inlineStr">
        <is>
          <t>A 57246-2021</t>
        </is>
      </c>
      <c r="B23" s="1" t="n">
        <v>44482</v>
      </c>
      <c r="C23" s="1" t="n">
        <v>45718</v>
      </c>
      <c r="D23" t="inlineStr">
        <is>
          <t>DALARNAS LÄN</t>
        </is>
      </c>
      <c r="E23" t="inlineStr">
        <is>
          <t>SMEDJEBACKEN</t>
        </is>
      </c>
      <c r="F23" t="inlineStr">
        <is>
          <t>Bergvik skog väst AB</t>
        </is>
      </c>
      <c r="G23" t="n">
        <v>10.2</v>
      </c>
      <c r="H23" t="n">
        <v>0</v>
      </c>
      <c r="I23" t="n">
        <v>1</v>
      </c>
      <c r="J23" t="n">
        <v>1</v>
      </c>
      <c r="K23" t="n">
        <v>0</v>
      </c>
      <c r="L23" t="n">
        <v>0</v>
      </c>
      <c r="M23" t="n">
        <v>0</v>
      </c>
      <c r="N23" t="n">
        <v>0</v>
      </c>
      <c r="O23" t="n">
        <v>1</v>
      </c>
      <c r="P23" t="n">
        <v>0</v>
      </c>
      <c r="Q23" t="n">
        <v>2</v>
      </c>
      <c r="R23" s="2" t="inlineStr">
        <is>
          <t>Vedtrappmossa
Flagellkvastmossa</t>
        </is>
      </c>
      <c r="S23">
        <f>HYPERLINK("https://klasma.github.io/Logging_2061/artfynd/A 57246-2021 artfynd.xlsx", "A 57246-2021")</f>
        <v/>
      </c>
      <c r="T23">
        <f>HYPERLINK("https://klasma.github.io/Logging_2061/kartor/A 57246-2021 karta.png", "A 57246-2021")</f>
        <v/>
      </c>
      <c r="V23">
        <f>HYPERLINK("https://klasma.github.io/Logging_2061/klagomål/A 57246-2021 FSC-klagomål.docx", "A 57246-2021")</f>
        <v/>
      </c>
      <c r="W23">
        <f>HYPERLINK("https://klasma.github.io/Logging_2061/klagomålsmail/A 57246-2021 FSC-klagomål mail.docx", "A 57246-2021")</f>
        <v/>
      </c>
      <c r="X23">
        <f>HYPERLINK("https://klasma.github.io/Logging_2061/tillsyn/A 57246-2021 tillsynsbegäran.docx", "A 57246-2021")</f>
        <v/>
      </c>
      <c r="Y23">
        <f>HYPERLINK("https://klasma.github.io/Logging_2061/tillsynsmail/A 57246-2021 tillsynsbegäran mail.docx", "A 57246-2021")</f>
        <v/>
      </c>
    </row>
    <row r="24" ht="15" customHeight="1">
      <c r="A24" t="inlineStr">
        <is>
          <t>A 36059-2022</t>
        </is>
      </c>
      <c r="B24" s="1" t="n">
        <v>44802</v>
      </c>
      <c r="C24" s="1" t="n">
        <v>45718</v>
      </c>
      <c r="D24" t="inlineStr">
        <is>
          <t>DALARNAS LÄN</t>
        </is>
      </c>
      <c r="E24" t="inlineStr">
        <is>
          <t>SMEDJEBACKEN</t>
        </is>
      </c>
      <c r="G24" t="n">
        <v>8.9</v>
      </c>
      <c r="H24" t="n">
        <v>2</v>
      </c>
      <c r="I24" t="n">
        <v>0</v>
      </c>
      <c r="J24" t="n">
        <v>2</v>
      </c>
      <c r="K24" t="n">
        <v>0</v>
      </c>
      <c r="L24" t="n">
        <v>0</v>
      </c>
      <c r="M24" t="n">
        <v>0</v>
      </c>
      <c r="N24" t="n">
        <v>0</v>
      </c>
      <c r="O24" t="n">
        <v>2</v>
      </c>
      <c r="P24" t="n">
        <v>0</v>
      </c>
      <c r="Q24" t="n">
        <v>2</v>
      </c>
      <c r="R24" s="2" t="inlineStr">
        <is>
          <t>Brunlångöra
Tretåig hackspett</t>
        </is>
      </c>
      <c r="S24">
        <f>HYPERLINK("https://klasma.github.io/Logging_2061/artfynd/A 36059-2022 artfynd.xlsx", "A 36059-2022")</f>
        <v/>
      </c>
      <c r="T24">
        <f>HYPERLINK("https://klasma.github.io/Logging_2061/kartor/A 36059-2022 karta.png", "A 36059-2022")</f>
        <v/>
      </c>
      <c r="V24">
        <f>HYPERLINK("https://klasma.github.io/Logging_2061/klagomål/A 36059-2022 FSC-klagomål.docx", "A 36059-2022")</f>
        <v/>
      </c>
      <c r="W24">
        <f>HYPERLINK("https://klasma.github.io/Logging_2061/klagomålsmail/A 36059-2022 FSC-klagomål mail.docx", "A 36059-2022")</f>
        <v/>
      </c>
      <c r="X24">
        <f>HYPERLINK("https://klasma.github.io/Logging_2061/tillsyn/A 36059-2022 tillsynsbegäran.docx", "A 36059-2022")</f>
        <v/>
      </c>
      <c r="Y24">
        <f>HYPERLINK("https://klasma.github.io/Logging_2061/tillsynsmail/A 36059-2022 tillsynsbegäran mail.docx", "A 36059-2022")</f>
        <v/>
      </c>
      <c r="Z24">
        <f>HYPERLINK("https://klasma.github.io/Logging_2061/fåglar/A 36059-2022 prioriterade fågelarter.docx", "A 36059-2022")</f>
        <v/>
      </c>
    </row>
    <row r="25" ht="15" customHeight="1">
      <c r="A25" t="inlineStr">
        <is>
          <t>A 61289-2022</t>
        </is>
      </c>
      <c r="B25" s="1" t="n">
        <v>44909</v>
      </c>
      <c r="C25" s="1" t="n">
        <v>45718</v>
      </c>
      <c r="D25" t="inlineStr">
        <is>
          <t>DALARNAS LÄN</t>
        </is>
      </c>
      <c r="E25" t="inlineStr">
        <is>
          <t>SMEDJEBACKEN</t>
        </is>
      </c>
      <c r="F25" t="inlineStr">
        <is>
          <t>Bergvik skog väst AB</t>
        </is>
      </c>
      <c r="G25" t="n">
        <v>9.6</v>
      </c>
      <c r="H25" t="n">
        <v>1</v>
      </c>
      <c r="I25" t="n">
        <v>0</v>
      </c>
      <c r="J25" t="n">
        <v>2</v>
      </c>
      <c r="K25" t="n">
        <v>0</v>
      </c>
      <c r="L25" t="n">
        <v>0</v>
      </c>
      <c r="M25" t="n">
        <v>0</v>
      </c>
      <c r="N25" t="n">
        <v>0</v>
      </c>
      <c r="O25" t="n">
        <v>2</v>
      </c>
      <c r="P25" t="n">
        <v>0</v>
      </c>
      <c r="Q25" t="n">
        <v>2</v>
      </c>
      <c r="R25" s="2" t="inlineStr">
        <is>
          <t>Kungsörn
Skogshare</t>
        </is>
      </c>
      <c r="S25">
        <f>HYPERLINK("https://klasma.github.io/Logging_2061/artfynd/A 61289-2022 artfynd.xlsx", "A 61289-2022")</f>
        <v/>
      </c>
      <c r="T25">
        <f>HYPERLINK("https://klasma.github.io/Logging_2061/kartor/A 61289-2022 karta.png", "A 61289-2022")</f>
        <v/>
      </c>
      <c r="V25">
        <f>HYPERLINK("https://klasma.github.io/Logging_2061/klagomål/A 61289-2022 FSC-klagomål.docx", "A 61289-2022")</f>
        <v/>
      </c>
      <c r="W25">
        <f>HYPERLINK("https://klasma.github.io/Logging_2061/klagomålsmail/A 61289-2022 FSC-klagomål mail.docx", "A 61289-2022")</f>
        <v/>
      </c>
      <c r="X25">
        <f>HYPERLINK("https://klasma.github.io/Logging_2061/tillsyn/A 61289-2022 tillsynsbegäran.docx", "A 61289-2022")</f>
        <v/>
      </c>
      <c r="Y25">
        <f>HYPERLINK("https://klasma.github.io/Logging_2061/tillsynsmail/A 61289-2022 tillsynsbegäran mail.docx", "A 61289-2022")</f>
        <v/>
      </c>
      <c r="Z25">
        <f>HYPERLINK("https://klasma.github.io/Logging_2061/fåglar/A 61289-2022 prioriterade fågelarter.docx", "A 61289-2022")</f>
        <v/>
      </c>
    </row>
    <row r="26" ht="15" customHeight="1">
      <c r="A26" t="inlineStr">
        <is>
          <t>A 15210-2023</t>
        </is>
      </c>
      <c r="B26" s="1" t="n">
        <v>45018</v>
      </c>
      <c r="C26" s="1" t="n">
        <v>45718</v>
      </c>
      <c r="D26" t="inlineStr">
        <is>
          <t>DALARNAS LÄN</t>
        </is>
      </c>
      <c r="E26" t="inlineStr">
        <is>
          <t>SMEDJEBACKEN</t>
        </is>
      </c>
      <c r="G26" t="n">
        <v>9.4</v>
      </c>
      <c r="H26" t="n">
        <v>2</v>
      </c>
      <c r="I26" t="n">
        <v>0</v>
      </c>
      <c r="J26" t="n">
        <v>1</v>
      </c>
      <c r="K26" t="n">
        <v>0</v>
      </c>
      <c r="L26" t="n">
        <v>0</v>
      </c>
      <c r="M26" t="n">
        <v>0</v>
      </c>
      <c r="N26" t="n">
        <v>0</v>
      </c>
      <c r="O26" t="n">
        <v>1</v>
      </c>
      <c r="P26" t="n">
        <v>0</v>
      </c>
      <c r="Q26" t="n">
        <v>2</v>
      </c>
      <c r="R26" s="2" t="inlineStr">
        <is>
          <t>Nordfladdermus
Vattenfladdermus</t>
        </is>
      </c>
      <c r="S26">
        <f>HYPERLINK("https://klasma.github.io/Logging_2061/artfynd/A 15210-2023 artfynd.xlsx", "A 15210-2023")</f>
        <v/>
      </c>
      <c r="T26">
        <f>HYPERLINK("https://klasma.github.io/Logging_2061/kartor/A 15210-2023 karta.png", "A 15210-2023")</f>
        <v/>
      </c>
      <c r="V26">
        <f>HYPERLINK("https://klasma.github.io/Logging_2061/klagomål/A 15210-2023 FSC-klagomål.docx", "A 15210-2023")</f>
        <v/>
      </c>
      <c r="W26">
        <f>HYPERLINK("https://klasma.github.io/Logging_2061/klagomålsmail/A 15210-2023 FSC-klagomål mail.docx", "A 15210-2023")</f>
        <v/>
      </c>
      <c r="X26">
        <f>HYPERLINK("https://klasma.github.io/Logging_2061/tillsyn/A 15210-2023 tillsynsbegäran.docx", "A 15210-2023")</f>
        <v/>
      </c>
      <c r="Y26">
        <f>HYPERLINK("https://klasma.github.io/Logging_2061/tillsynsmail/A 15210-2023 tillsynsbegäran mail.docx", "A 15210-2023")</f>
        <v/>
      </c>
    </row>
    <row r="27" ht="15" customHeight="1">
      <c r="A27" t="inlineStr">
        <is>
          <t>A 21423-2023</t>
        </is>
      </c>
      <c r="B27" s="1" t="n">
        <v>45063</v>
      </c>
      <c r="C27" s="1" t="n">
        <v>45718</v>
      </c>
      <c r="D27" t="inlineStr">
        <is>
          <t>DALARNAS LÄN</t>
        </is>
      </c>
      <c r="E27" t="inlineStr">
        <is>
          <t>SMEDJEBACKEN</t>
        </is>
      </c>
      <c r="F27" t="inlineStr">
        <is>
          <t>Bergvik skog väst AB</t>
        </is>
      </c>
      <c r="G27" t="n">
        <v>0.5</v>
      </c>
      <c r="H27" t="n">
        <v>1</v>
      </c>
      <c r="I27" t="n">
        <v>0</v>
      </c>
      <c r="J27" t="n">
        <v>1</v>
      </c>
      <c r="K27" t="n">
        <v>0</v>
      </c>
      <c r="L27" t="n">
        <v>0</v>
      </c>
      <c r="M27" t="n">
        <v>0</v>
      </c>
      <c r="N27" t="n">
        <v>0</v>
      </c>
      <c r="O27" t="n">
        <v>1</v>
      </c>
      <c r="P27" t="n">
        <v>0</v>
      </c>
      <c r="Q27" t="n">
        <v>2</v>
      </c>
      <c r="R27" s="2" t="inlineStr">
        <is>
          <t>Leptoporus erubescens
Törnskata</t>
        </is>
      </c>
      <c r="S27">
        <f>HYPERLINK("https://klasma.github.io/Logging_2061/artfynd/A 21423-2023 artfynd.xlsx", "A 21423-2023")</f>
        <v/>
      </c>
      <c r="T27">
        <f>HYPERLINK("https://klasma.github.io/Logging_2061/kartor/A 21423-2023 karta.png", "A 21423-2023")</f>
        <v/>
      </c>
      <c r="V27">
        <f>HYPERLINK("https://klasma.github.io/Logging_2061/klagomål/A 21423-2023 FSC-klagomål.docx", "A 21423-2023")</f>
        <v/>
      </c>
      <c r="W27">
        <f>HYPERLINK("https://klasma.github.io/Logging_2061/klagomålsmail/A 21423-2023 FSC-klagomål mail.docx", "A 21423-2023")</f>
        <v/>
      </c>
      <c r="X27">
        <f>HYPERLINK("https://klasma.github.io/Logging_2061/tillsyn/A 21423-2023 tillsynsbegäran.docx", "A 21423-2023")</f>
        <v/>
      </c>
      <c r="Y27">
        <f>HYPERLINK("https://klasma.github.io/Logging_2061/tillsynsmail/A 21423-2023 tillsynsbegäran mail.docx", "A 21423-2023")</f>
        <v/>
      </c>
      <c r="Z27">
        <f>HYPERLINK("https://klasma.github.io/Logging_2061/fåglar/A 21423-2023 prioriterade fågelarter.docx", "A 21423-2023")</f>
        <v/>
      </c>
    </row>
    <row r="28" ht="15" customHeight="1">
      <c r="A28" t="inlineStr">
        <is>
          <t>A 21706-2023</t>
        </is>
      </c>
      <c r="B28" s="1" t="n">
        <v>45064</v>
      </c>
      <c r="C28" s="1" t="n">
        <v>45718</v>
      </c>
      <c r="D28" t="inlineStr">
        <is>
          <t>DALARNAS LÄN</t>
        </is>
      </c>
      <c r="E28" t="inlineStr">
        <is>
          <t>SMEDJEBACKEN</t>
        </is>
      </c>
      <c r="F28" t="inlineStr">
        <is>
          <t>Övriga Aktiebolag</t>
        </is>
      </c>
      <c r="G28" t="n">
        <v>7.1</v>
      </c>
      <c r="H28" t="n">
        <v>2</v>
      </c>
      <c r="I28" t="n">
        <v>0</v>
      </c>
      <c r="J28" t="n">
        <v>0</v>
      </c>
      <c r="K28" t="n">
        <v>0</v>
      </c>
      <c r="L28" t="n">
        <v>0</v>
      </c>
      <c r="M28" t="n">
        <v>0</v>
      </c>
      <c r="N28" t="n">
        <v>0</v>
      </c>
      <c r="O28" t="n">
        <v>0</v>
      </c>
      <c r="P28" t="n">
        <v>0</v>
      </c>
      <c r="Q28" t="n">
        <v>2</v>
      </c>
      <c r="R28" s="2" t="inlineStr">
        <is>
          <t>Fläcknycklar
Mattlummer</t>
        </is>
      </c>
      <c r="S28">
        <f>HYPERLINK("https://klasma.github.io/Logging_2061/artfynd/A 21706-2023 artfynd.xlsx", "A 21706-2023")</f>
        <v/>
      </c>
      <c r="T28">
        <f>HYPERLINK("https://klasma.github.io/Logging_2061/kartor/A 21706-2023 karta.png", "A 21706-2023")</f>
        <v/>
      </c>
      <c r="V28">
        <f>HYPERLINK("https://klasma.github.io/Logging_2061/klagomål/A 21706-2023 FSC-klagomål.docx", "A 21706-2023")</f>
        <v/>
      </c>
      <c r="W28">
        <f>HYPERLINK("https://klasma.github.io/Logging_2061/klagomålsmail/A 21706-2023 FSC-klagomål mail.docx", "A 21706-2023")</f>
        <v/>
      </c>
      <c r="X28">
        <f>HYPERLINK("https://klasma.github.io/Logging_2061/tillsyn/A 21706-2023 tillsynsbegäran.docx", "A 21706-2023")</f>
        <v/>
      </c>
      <c r="Y28">
        <f>HYPERLINK("https://klasma.github.io/Logging_2061/tillsynsmail/A 21706-2023 tillsynsbegäran mail.docx", "A 21706-2023")</f>
        <v/>
      </c>
    </row>
    <row r="29" ht="15" customHeight="1">
      <c r="A29" t="inlineStr">
        <is>
          <t>A 38763-2023</t>
        </is>
      </c>
      <c r="B29" s="1" t="n">
        <v>45163</v>
      </c>
      <c r="C29" s="1" t="n">
        <v>45718</v>
      </c>
      <c r="D29" t="inlineStr">
        <is>
          <t>DALARNAS LÄN</t>
        </is>
      </c>
      <c r="E29" t="inlineStr">
        <is>
          <t>SMEDJEBACKEN</t>
        </is>
      </c>
      <c r="F29" t="inlineStr">
        <is>
          <t>Sveaskog</t>
        </is>
      </c>
      <c r="G29" t="n">
        <v>22.7</v>
      </c>
      <c r="H29" t="n">
        <v>2</v>
      </c>
      <c r="I29" t="n">
        <v>0</v>
      </c>
      <c r="J29" t="n">
        <v>1</v>
      </c>
      <c r="K29" t="n">
        <v>0</v>
      </c>
      <c r="L29" t="n">
        <v>0</v>
      </c>
      <c r="M29" t="n">
        <v>0</v>
      </c>
      <c r="N29" t="n">
        <v>0</v>
      </c>
      <c r="O29" t="n">
        <v>1</v>
      </c>
      <c r="P29" t="n">
        <v>0</v>
      </c>
      <c r="Q29" t="n">
        <v>2</v>
      </c>
      <c r="R29" s="2" t="inlineStr">
        <is>
          <t>Talltita
Mattlummer</t>
        </is>
      </c>
      <c r="S29">
        <f>HYPERLINK("https://klasma.github.io/Logging_2061/artfynd/A 38763-2023 artfynd.xlsx", "A 38763-2023")</f>
        <v/>
      </c>
      <c r="T29">
        <f>HYPERLINK("https://klasma.github.io/Logging_2061/kartor/A 38763-2023 karta.png", "A 38763-2023")</f>
        <v/>
      </c>
      <c r="V29">
        <f>HYPERLINK("https://klasma.github.io/Logging_2061/klagomål/A 38763-2023 FSC-klagomål.docx", "A 38763-2023")</f>
        <v/>
      </c>
      <c r="W29">
        <f>HYPERLINK("https://klasma.github.io/Logging_2061/klagomålsmail/A 38763-2023 FSC-klagomål mail.docx", "A 38763-2023")</f>
        <v/>
      </c>
      <c r="X29">
        <f>HYPERLINK("https://klasma.github.io/Logging_2061/tillsyn/A 38763-2023 tillsynsbegäran.docx", "A 38763-2023")</f>
        <v/>
      </c>
      <c r="Y29">
        <f>HYPERLINK("https://klasma.github.io/Logging_2061/tillsynsmail/A 38763-2023 tillsynsbegäran mail.docx", "A 38763-2023")</f>
        <v/>
      </c>
      <c r="Z29">
        <f>HYPERLINK("https://klasma.github.io/Logging_2061/fåglar/A 38763-2023 prioriterade fågelarter.docx", "A 38763-2023")</f>
        <v/>
      </c>
    </row>
    <row r="30" ht="15" customHeight="1">
      <c r="A30" t="inlineStr">
        <is>
          <t>A 21678-2024</t>
        </is>
      </c>
      <c r="B30" s="1" t="n">
        <v>45442</v>
      </c>
      <c r="C30" s="1" t="n">
        <v>45718</v>
      </c>
      <c r="D30" t="inlineStr">
        <is>
          <t>DALARNAS LÄN</t>
        </is>
      </c>
      <c r="E30" t="inlineStr">
        <is>
          <t>SMEDJEBACKEN</t>
        </is>
      </c>
      <c r="F30" t="inlineStr">
        <is>
          <t>Sveaskog</t>
        </is>
      </c>
      <c r="G30" t="n">
        <v>20</v>
      </c>
      <c r="H30" t="n">
        <v>2</v>
      </c>
      <c r="I30" t="n">
        <v>0</v>
      </c>
      <c r="J30" t="n">
        <v>0</v>
      </c>
      <c r="K30" t="n">
        <v>0</v>
      </c>
      <c r="L30" t="n">
        <v>0</v>
      </c>
      <c r="M30" t="n">
        <v>0</v>
      </c>
      <c r="N30" t="n">
        <v>0</v>
      </c>
      <c r="O30" t="n">
        <v>0</v>
      </c>
      <c r="P30" t="n">
        <v>0</v>
      </c>
      <c r="Q30" t="n">
        <v>2</v>
      </c>
      <c r="R30" s="2" t="inlineStr">
        <is>
          <t>Fläcknycklar
Mattlummer</t>
        </is>
      </c>
      <c r="S30">
        <f>HYPERLINK("https://klasma.github.io/Logging_2061/artfynd/A 21678-2024 artfynd.xlsx", "A 21678-2024")</f>
        <v/>
      </c>
      <c r="T30">
        <f>HYPERLINK("https://klasma.github.io/Logging_2061/kartor/A 21678-2024 karta.png", "A 21678-2024")</f>
        <v/>
      </c>
      <c r="V30">
        <f>HYPERLINK("https://klasma.github.io/Logging_2061/klagomål/A 21678-2024 FSC-klagomål.docx", "A 21678-2024")</f>
        <v/>
      </c>
      <c r="W30">
        <f>HYPERLINK("https://klasma.github.io/Logging_2061/klagomålsmail/A 21678-2024 FSC-klagomål mail.docx", "A 21678-2024")</f>
        <v/>
      </c>
      <c r="X30">
        <f>HYPERLINK("https://klasma.github.io/Logging_2061/tillsyn/A 21678-2024 tillsynsbegäran.docx", "A 21678-2024")</f>
        <v/>
      </c>
      <c r="Y30">
        <f>HYPERLINK("https://klasma.github.io/Logging_2061/tillsynsmail/A 21678-2024 tillsynsbegäran mail.docx", "A 21678-2024")</f>
        <v/>
      </c>
    </row>
    <row r="31" ht="15" customHeight="1">
      <c r="A31" t="inlineStr">
        <is>
          <t>A 23619-2024</t>
        </is>
      </c>
      <c r="B31" s="1" t="n">
        <v>45454</v>
      </c>
      <c r="C31" s="1" t="n">
        <v>45718</v>
      </c>
      <c r="D31" t="inlineStr">
        <is>
          <t>DALARNAS LÄN</t>
        </is>
      </c>
      <c r="E31" t="inlineStr">
        <is>
          <t>SMEDJEBACKEN</t>
        </is>
      </c>
      <c r="F31" t="inlineStr">
        <is>
          <t>Bergvik skog väst AB</t>
        </is>
      </c>
      <c r="G31" t="n">
        <v>4.2</v>
      </c>
      <c r="H31" t="n">
        <v>1</v>
      </c>
      <c r="I31" t="n">
        <v>1</v>
      </c>
      <c r="J31" t="n">
        <v>0</v>
      </c>
      <c r="K31" t="n">
        <v>1</v>
      </c>
      <c r="L31" t="n">
        <v>0</v>
      </c>
      <c r="M31" t="n">
        <v>0</v>
      </c>
      <c r="N31" t="n">
        <v>0</v>
      </c>
      <c r="O31" t="n">
        <v>1</v>
      </c>
      <c r="P31" t="n">
        <v>1</v>
      </c>
      <c r="Q31" t="n">
        <v>2</v>
      </c>
      <c r="R31" s="2" t="inlineStr">
        <is>
          <t>Knärot
Dropptaggsvamp</t>
        </is>
      </c>
      <c r="S31">
        <f>HYPERLINK("https://klasma.github.io/Logging_2061/artfynd/A 23619-2024 artfynd.xlsx", "A 23619-2024")</f>
        <v/>
      </c>
      <c r="T31">
        <f>HYPERLINK("https://klasma.github.io/Logging_2061/kartor/A 23619-2024 karta.png", "A 23619-2024")</f>
        <v/>
      </c>
      <c r="U31">
        <f>HYPERLINK("https://klasma.github.io/Logging_2061/knärot/A 23619-2024 karta knärot.png", "A 23619-2024")</f>
        <v/>
      </c>
      <c r="V31">
        <f>HYPERLINK("https://klasma.github.io/Logging_2061/klagomål/A 23619-2024 FSC-klagomål.docx", "A 23619-2024")</f>
        <v/>
      </c>
      <c r="W31">
        <f>HYPERLINK("https://klasma.github.io/Logging_2061/klagomålsmail/A 23619-2024 FSC-klagomål mail.docx", "A 23619-2024")</f>
        <v/>
      </c>
      <c r="X31">
        <f>HYPERLINK("https://klasma.github.io/Logging_2061/tillsyn/A 23619-2024 tillsynsbegäran.docx", "A 23619-2024")</f>
        <v/>
      </c>
      <c r="Y31">
        <f>HYPERLINK("https://klasma.github.io/Logging_2061/tillsynsmail/A 23619-2024 tillsynsbegäran mail.docx", "A 23619-2024")</f>
        <v/>
      </c>
    </row>
    <row r="32" ht="15" customHeight="1">
      <c r="A32" t="inlineStr">
        <is>
          <t>A 33017-2024</t>
        </is>
      </c>
      <c r="B32" s="1" t="n">
        <v>45517</v>
      </c>
      <c r="C32" s="1" t="n">
        <v>45718</v>
      </c>
      <c r="D32" t="inlineStr">
        <is>
          <t>DALARNAS LÄN</t>
        </is>
      </c>
      <c r="E32" t="inlineStr">
        <is>
          <t>SMEDJEBACKEN</t>
        </is>
      </c>
      <c r="F32" t="inlineStr">
        <is>
          <t>Övriga Aktiebolag</t>
        </is>
      </c>
      <c r="G32" t="n">
        <v>3.9</v>
      </c>
      <c r="H32" t="n">
        <v>2</v>
      </c>
      <c r="I32" t="n">
        <v>1</v>
      </c>
      <c r="J32" t="n">
        <v>0</v>
      </c>
      <c r="K32" t="n">
        <v>1</v>
      </c>
      <c r="L32" t="n">
        <v>0</v>
      </c>
      <c r="M32" t="n">
        <v>0</v>
      </c>
      <c r="N32" t="n">
        <v>0</v>
      </c>
      <c r="O32" t="n">
        <v>1</v>
      </c>
      <c r="P32" t="n">
        <v>1</v>
      </c>
      <c r="Q32" t="n">
        <v>2</v>
      </c>
      <c r="R32" s="2" t="inlineStr">
        <is>
          <t>Knärot
Plattlummer</t>
        </is>
      </c>
      <c r="S32">
        <f>HYPERLINK("https://klasma.github.io/Logging_2061/artfynd/A 33017-2024 artfynd.xlsx", "A 33017-2024")</f>
        <v/>
      </c>
      <c r="T32">
        <f>HYPERLINK("https://klasma.github.io/Logging_2061/kartor/A 33017-2024 karta.png", "A 33017-2024")</f>
        <v/>
      </c>
      <c r="U32">
        <f>HYPERLINK("https://klasma.github.io/Logging_2061/knärot/A 33017-2024 karta knärot.png", "A 33017-2024")</f>
        <v/>
      </c>
      <c r="V32">
        <f>HYPERLINK("https://klasma.github.io/Logging_2061/klagomål/A 33017-2024 FSC-klagomål.docx", "A 33017-2024")</f>
        <v/>
      </c>
      <c r="W32">
        <f>HYPERLINK("https://klasma.github.io/Logging_2061/klagomålsmail/A 33017-2024 FSC-klagomål mail.docx", "A 33017-2024")</f>
        <v/>
      </c>
      <c r="X32">
        <f>HYPERLINK("https://klasma.github.io/Logging_2061/tillsyn/A 33017-2024 tillsynsbegäran.docx", "A 33017-2024")</f>
        <v/>
      </c>
      <c r="Y32">
        <f>HYPERLINK("https://klasma.github.io/Logging_2061/tillsynsmail/A 33017-2024 tillsynsbegäran mail.docx", "A 33017-2024")</f>
        <v/>
      </c>
    </row>
    <row r="33" ht="15" customHeight="1">
      <c r="A33" t="inlineStr">
        <is>
          <t>A 53286-2024</t>
        </is>
      </c>
      <c r="B33" s="1" t="n">
        <v>45614</v>
      </c>
      <c r="C33" s="1" t="n">
        <v>45718</v>
      </c>
      <c r="D33" t="inlineStr">
        <is>
          <t>DALARNAS LÄN</t>
        </is>
      </c>
      <c r="E33" t="inlineStr">
        <is>
          <t>SMEDJEBACKEN</t>
        </is>
      </c>
      <c r="F33" t="inlineStr">
        <is>
          <t>Övriga Aktiebolag</t>
        </is>
      </c>
      <c r="G33" t="n">
        <v>2.1</v>
      </c>
      <c r="H33" t="n">
        <v>0</v>
      </c>
      <c r="I33" t="n">
        <v>2</v>
      </c>
      <c r="J33" t="n">
        <v>0</v>
      </c>
      <c r="K33" t="n">
        <v>0</v>
      </c>
      <c r="L33" t="n">
        <v>0</v>
      </c>
      <c r="M33" t="n">
        <v>0</v>
      </c>
      <c r="N33" t="n">
        <v>0</v>
      </c>
      <c r="O33" t="n">
        <v>0</v>
      </c>
      <c r="P33" t="n">
        <v>0</v>
      </c>
      <c r="Q33" t="n">
        <v>2</v>
      </c>
      <c r="R33" s="2" t="inlineStr">
        <is>
          <t>Bronshjon
Vågbandad barkbock</t>
        </is>
      </c>
      <c r="S33">
        <f>HYPERLINK("https://klasma.github.io/Logging_2061/artfynd/A 53286-2024 artfynd.xlsx", "A 53286-2024")</f>
        <v/>
      </c>
      <c r="T33">
        <f>HYPERLINK("https://klasma.github.io/Logging_2061/kartor/A 53286-2024 karta.png", "A 53286-2024")</f>
        <v/>
      </c>
      <c r="V33">
        <f>HYPERLINK("https://klasma.github.io/Logging_2061/klagomål/A 53286-2024 FSC-klagomål.docx", "A 53286-2024")</f>
        <v/>
      </c>
      <c r="W33">
        <f>HYPERLINK("https://klasma.github.io/Logging_2061/klagomålsmail/A 53286-2024 FSC-klagomål mail.docx", "A 53286-2024")</f>
        <v/>
      </c>
      <c r="X33">
        <f>HYPERLINK("https://klasma.github.io/Logging_2061/tillsyn/A 53286-2024 tillsynsbegäran.docx", "A 53286-2024")</f>
        <v/>
      </c>
      <c r="Y33">
        <f>HYPERLINK("https://klasma.github.io/Logging_2061/tillsynsmail/A 53286-2024 tillsynsbegäran mail.docx", "A 53286-2024")</f>
        <v/>
      </c>
    </row>
    <row r="34" ht="15" customHeight="1">
      <c r="A34" t="inlineStr">
        <is>
          <t>A 43858-2019</t>
        </is>
      </c>
      <c r="B34" s="1" t="n">
        <v>43707</v>
      </c>
      <c r="C34" s="1" t="n">
        <v>45718</v>
      </c>
      <c r="D34" t="inlineStr">
        <is>
          <t>DALARNAS LÄN</t>
        </is>
      </c>
      <c r="E34" t="inlineStr">
        <is>
          <t>SMEDJEBACKEN</t>
        </is>
      </c>
      <c r="G34" t="n">
        <v>2</v>
      </c>
      <c r="H34" t="n">
        <v>0</v>
      </c>
      <c r="I34" t="n">
        <v>1</v>
      </c>
      <c r="J34" t="n">
        <v>0</v>
      </c>
      <c r="K34" t="n">
        <v>0</v>
      </c>
      <c r="L34" t="n">
        <v>0</v>
      </c>
      <c r="M34" t="n">
        <v>0</v>
      </c>
      <c r="N34" t="n">
        <v>0</v>
      </c>
      <c r="O34" t="n">
        <v>0</v>
      </c>
      <c r="P34" t="n">
        <v>0</v>
      </c>
      <c r="Q34" t="n">
        <v>1</v>
      </c>
      <c r="R34" s="2" t="inlineStr">
        <is>
          <t>Sotlav</t>
        </is>
      </c>
      <c r="S34">
        <f>HYPERLINK("https://klasma.github.io/Logging_2061/artfynd/A 43858-2019 artfynd.xlsx", "A 43858-2019")</f>
        <v/>
      </c>
      <c r="T34">
        <f>HYPERLINK("https://klasma.github.io/Logging_2061/kartor/A 43858-2019 karta.png", "A 43858-2019")</f>
        <v/>
      </c>
      <c r="V34">
        <f>HYPERLINK("https://klasma.github.io/Logging_2061/klagomål/A 43858-2019 FSC-klagomål.docx", "A 43858-2019")</f>
        <v/>
      </c>
      <c r="W34">
        <f>HYPERLINK("https://klasma.github.io/Logging_2061/klagomålsmail/A 43858-2019 FSC-klagomål mail.docx", "A 43858-2019")</f>
        <v/>
      </c>
      <c r="X34">
        <f>HYPERLINK("https://klasma.github.io/Logging_2061/tillsyn/A 43858-2019 tillsynsbegäran.docx", "A 43858-2019")</f>
        <v/>
      </c>
      <c r="Y34">
        <f>HYPERLINK("https://klasma.github.io/Logging_2061/tillsynsmail/A 43858-2019 tillsynsbegäran mail.docx", "A 43858-2019")</f>
        <v/>
      </c>
    </row>
    <row r="35" ht="15" customHeight="1">
      <c r="A35" t="inlineStr">
        <is>
          <t>A 57073-2019</t>
        </is>
      </c>
      <c r="B35" s="1" t="n">
        <v>43766</v>
      </c>
      <c r="C35" s="1" t="n">
        <v>45718</v>
      </c>
      <c r="D35" t="inlineStr">
        <is>
          <t>DALARNAS LÄN</t>
        </is>
      </c>
      <c r="E35" t="inlineStr">
        <is>
          <t>SMEDJEBACKEN</t>
        </is>
      </c>
      <c r="F35" t="inlineStr">
        <is>
          <t>Sveaskog</t>
        </is>
      </c>
      <c r="G35" t="n">
        <v>1.1</v>
      </c>
      <c r="H35" t="n">
        <v>0</v>
      </c>
      <c r="I35" t="n">
        <v>0</v>
      </c>
      <c r="J35" t="n">
        <v>1</v>
      </c>
      <c r="K35" t="n">
        <v>0</v>
      </c>
      <c r="L35" t="n">
        <v>0</v>
      </c>
      <c r="M35" t="n">
        <v>0</v>
      </c>
      <c r="N35" t="n">
        <v>0</v>
      </c>
      <c r="O35" t="n">
        <v>1</v>
      </c>
      <c r="P35" t="n">
        <v>0</v>
      </c>
      <c r="Q35" t="n">
        <v>1</v>
      </c>
      <c r="R35" s="2" t="inlineStr">
        <is>
          <t>Vedtrappmossa</t>
        </is>
      </c>
      <c r="S35">
        <f>HYPERLINK("https://klasma.github.io/Logging_2061/artfynd/A 57073-2019 artfynd.xlsx", "A 57073-2019")</f>
        <v/>
      </c>
      <c r="T35">
        <f>HYPERLINK("https://klasma.github.io/Logging_2061/kartor/A 57073-2019 karta.png", "A 57073-2019")</f>
        <v/>
      </c>
      <c r="V35">
        <f>HYPERLINK("https://klasma.github.io/Logging_2061/klagomål/A 57073-2019 FSC-klagomål.docx", "A 57073-2019")</f>
        <v/>
      </c>
      <c r="W35">
        <f>HYPERLINK("https://klasma.github.io/Logging_2061/klagomålsmail/A 57073-2019 FSC-klagomål mail.docx", "A 57073-2019")</f>
        <v/>
      </c>
      <c r="X35">
        <f>HYPERLINK("https://klasma.github.io/Logging_2061/tillsyn/A 57073-2019 tillsynsbegäran.docx", "A 57073-2019")</f>
        <v/>
      </c>
      <c r="Y35">
        <f>HYPERLINK("https://klasma.github.io/Logging_2061/tillsynsmail/A 57073-2019 tillsynsbegäran mail.docx", "A 57073-2019")</f>
        <v/>
      </c>
    </row>
    <row r="36" ht="15" customHeight="1">
      <c r="A36" t="inlineStr">
        <is>
          <t>A 60407-2019</t>
        </is>
      </c>
      <c r="B36" s="1" t="n">
        <v>43780</v>
      </c>
      <c r="C36" s="1" t="n">
        <v>45718</v>
      </c>
      <c r="D36" t="inlineStr">
        <is>
          <t>DALARNAS LÄN</t>
        </is>
      </c>
      <c r="E36" t="inlineStr">
        <is>
          <t>SMEDJEBACKEN</t>
        </is>
      </c>
      <c r="G36" t="n">
        <v>1.3</v>
      </c>
      <c r="H36" t="n">
        <v>0</v>
      </c>
      <c r="I36" t="n">
        <v>1</v>
      </c>
      <c r="J36" t="n">
        <v>0</v>
      </c>
      <c r="K36" t="n">
        <v>0</v>
      </c>
      <c r="L36" t="n">
        <v>0</v>
      </c>
      <c r="M36" t="n">
        <v>0</v>
      </c>
      <c r="N36" t="n">
        <v>0</v>
      </c>
      <c r="O36" t="n">
        <v>0</v>
      </c>
      <c r="P36" t="n">
        <v>0</v>
      </c>
      <c r="Q36" t="n">
        <v>1</v>
      </c>
      <c r="R36" s="2" t="inlineStr">
        <is>
          <t>Tibast</t>
        </is>
      </c>
      <c r="S36">
        <f>HYPERLINK("https://klasma.github.io/Logging_2061/artfynd/A 60407-2019 artfynd.xlsx", "A 60407-2019")</f>
        <v/>
      </c>
      <c r="T36">
        <f>HYPERLINK("https://klasma.github.io/Logging_2061/kartor/A 60407-2019 karta.png", "A 60407-2019")</f>
        <v/>
      </c>
      <c r="V36">
        <f>HYPERLINK("https://klasma.github.io/Logging_2061/klagomål/A 60407-2019 FSC-klagomål.docx", "A 60407-2019")</f>
        <v/>
      </c>
      <c r="W36">
        <f>HYPERLINK("https://klasma.github.io/Logging_2061/klagomålsmail/A 60407-2019 FSC-klagomål mail.docx", "A 60407-2019")</f>
        <v/>
      </c>
      <c r="X36">
        <f>HYPERLINK("https://klasma.github.io/Logging_2061/tillsyn/A 60407-2019 tillsynsbegäran.docx", "A 60407-2019")</f>
        <v/>
      </c>
      <c r="Y36">
        <f>HYPERLINK("https://klasma.github.io/Logging_2061/tillsynsmail/A 60407-2019 tillsynsbegäran mail.docx", "A 60407-2019")</f>
        <v/>
      </c>
    </row>
    <row r="37" ht="15" customHeight="1">
      <c r="A37" t="inlineStr">
        <is>
          <t>A 67991-2019</t>
        </is>
      </c>
      <c r="B37" s="1" t="n">
        <v>43811</v>
      </c>
      <c r="C37" s="1" t="n">
        <v>45718</v>
      </c>
      <c r="D37" t="inlineStr">
        <is>
          <t>DALARNAS LÄN</t>
        </is>
      </c>
      <c r="E37" t="inlineStr">
        <is>
          <t>SMEDJEBACKEN</t>
        </is>
      </c>
      <c r="F37" t="inlineStr">
        <is>
          <t>Bergvik skog väst AB</t>
        </is>
      </c>
      <c r="G37" t="n">
        <v>13.9</v>
      </c>
      <c r="H37" t="n">
        <v>1</v>
      </c>
      <c r="I37" t="n">
        <v>0</v>
      </c>
      <c r="J37" t="n">
        <v>1</v>
      </c>
      <c r="K37" t="n">
        <v>0</v>
      </c>
      <c r="L37" t="n">
        <v>0</v>
      </c>
      <c r="M37" t="n">
        <v>0</v>
      </c>
      <c r="N37" t="n">
        <v>0</v>
      </c>
      <c r="O37" t="n">
        <v>1</v>
      </c>
      <c r="P37" t="n">
        <v>0</v>
      </c>
      <c r="Q37" t="n">
        <v>1</v>
      </c>
      <c r="R37" s="2" t="inlineStr">
        <is>
          <t>Havsörn</t>
        </is>
      </c>
      <c r="S37">
        <f>HYPERLINK("https://klasma.github.io/Logging_2061/artfynd/A 67991-2019 artfynd.xlsx", "A 67991-2019")</f>
        <v/>
      </c>
      <c r="T37">
        <f>HYPERLINK("https://klasma.github.io/Logging_2061/kartor/A 67991-2019 karta.png", "A 67991-2019")</f>
        <v/>
      </c>
      <c r="V37">
        <f>HYPERLINK("https://klasma.github.io/Logging_2061/klagomål/A 67991-2019 FSC-klagomål.docx", "A 67991-2019")</f>
        <v/>
      </c>
      <c r="W37">
        <f>HYPERLINK("https://klasma.github.io/Logging_2061/klagomålsmail/A 67991-2019 FSC-klagomål mail.docx", "A 67991-2019")</f>
        <v/>
      </c>
      <c r="X37">
        <f>HYPERLINK("https://klasma.github.io/Logging_2061/tillsyn/A 67991-2019 tillsynsbegäran.docx", "A 67991-2019")</f>
        <v/>
      </c>
      <c r="Y37">
        <f>HYPERLINK("https://klasma.github.io/Logging_2061/tillsynsmail/A 67991-2019 tillsynsbegäran mail.docx", "A 67991-2019")</f>
        <v/>
      </c>
      <c r="Z37">
        <f>HYPERLINK("https://klasma.github.io/Logging_2061/fåglar/A 67991-2019 prioriterade fågelarter.docx", "A 67991-2019")</f>
        <v/>
      </c>
    </row>
    <row r="38" ht="15" customHeight="1">
      <c r="A38" t="inlineStr">
        <is>
          <t>A 43377-2021</t>
        </is>
      </c>
      <c r="B38" s="1" t="n">
        <v>44432</v>
      </c>
      <c r="C38" s="1" t="n">
        <v>45718</v>
      </c>
      <c r="D38" t="inlineStr">
        <is>
          <t>DALARNAS LÄN</t>
        </is>
      </c>
      <c r="E38" t="inlineStr">
        <is>
          <t>SMEDJEBACKEN</t>
        </is>
      </c>
      <c r="G38" t="n">
        <v>2.6</v>
      </c>
      <c r="H38" t="n">
        <v>0</v>
      </c>
      <c r="I38" t="n">
        <v>1</v>
      </c>
      <c r="J38" t="n">
        <v>0</v>
      </c>
      <c r="K38" t="n">
        <v>0</v>
      </c>
      <c r="L38" t="n">
        <v>0</v>
      </c>
      <c r="M38" t="n">
        <v>0</v>
      </c>
      <c r="N38" t="n">
        <v>0</v>
      </c>
      <c r="O38" t="n">
        <v>0</v>
      </c>
      <c r="P38" t="n">
        <v>0</v>
      </c>
      <c r="Q38" t="n">
        <v>1</v>
      </c>
      <c r="R38" s="2" t="inlineStr">
        <is>
          <t>Fjällig taggsvamp s.str.</t>
        </is>
      </c>
      <c r="S38">
        <f>HYPERLINK("https://klasma.github.io/Logging_2061/artfynd/A 43377-2021 artfynd.xlsx", "A 43377-2021")</f>
        <v/>
      </c>
      <c r="T38">
        <f>HYPERLINK("https://klasma.github.io/Logging_2061/kartor/A 43377-2021 karta.png", "A 43377-2021")</f>
        <v/>
      </c>
      <c r="U38">
        <f>HYPERLINK("https://klasma.github.io/Logging_2061/knärot/A 43377-2021 karta knärot.png", "A 43377-2021")</f>
        <v/>
      </c>
      <c r="V38">
        <f>HYPERLINK("https://klasma.github.io/Logging_2061/klagomål/A 43377-2021 FSC-klagomål.docx", "A 43377-2021")</f>
        <v/>
      </c>
      <c r="W38">
        <f>HYPERLINK("https://klasma.github.io/Logging_2061/klagomålsmail/A 43377-2021 FSC-klagomål mail.docx", "A 43377-2021")</f>
        <v/>
      </c>
      <c r="X38">
        <f>HYPERLINK("https://klasma.github.io/Logging_2061/tillsyn/A 43377-2021 tillsynsbegäran.docx", "A 43377-2021")</f>
        <v/>
      </c>
      <c r="Y38">
        <f>HYPERLINK("https://klasma.github.io/Logging_2061/tillsynsmail/A 43377-2021 tillsynsbegäran mail.docx", "A 43377-2021")</f>
        <v/>
      </c>
    </row>
    <row r="39" ht="15" customHeight="1">
      <c r="A39" t="inlineStr">
        <is>
          <t>A 24549-2022</t>
        </is>
      </c>
      <c r="B39" s="1" t="n">
        <v>44727</v>
      </c>
      <c r="C39" s="1" t="n">
        <v>45718</v>
      </c>
      <c r="D39" t="inlineStr">
        <is>
          <t>DALARNAS LÄN</t>
        </is>
      </c>
      <c r="E39" t="inlineStr">
        <is>
          <t>SMEDJEBACKEN</t>
        </is>
      </c>
      <c r="F39" t="inlineStr">
        <is>
          <t>Bergvik skog väst AB</t>
        </is>
      </c>
      <c r="G39" t="n">
        <v>3.3</v>
      </c>
      <c r="H39" t="n">
        <v>1</v>
      </c>
      <c r="I39" t="n">
        <v>0</v>
      </c>
      <c r="J39" t="n">
        <v>0</v>
      </c>
      <c r="K39" t="n">
        <v>0</v>
      </c>
      <c r="L39" t="n">
        <v>0</v>
      </c>
      <c r="M39" t="n">
        <v>0</v>
      </c>
      <c r="N39" t="n">
        <v>0</v>
      </c>
      <c r="O39" t="n">
        <v>0</v>
      </c>
      <c r="P39" t="n">
        <v>0</v>
      </c>
      <c r="Q39" t="n">
        <v>1</v>
      </c>
      <c r="R39" s="2" t="inlineStr">
        <is>
          <t>Blåsippa</t>
        </is>
      </c>
      <c r="S39">
        <f>HYPERLINK("https://klasma.github.io/Logging_2061/artfynd/A 24549-2022 artfynd.xlsx", "A 24549-2022")</f>
        <v/>
      </c>
      <c r="T39">
        <f>HYPERLINK("https://klasma.github.io/Logging_2061/kartor/A 24549-2022 karta.png", "A 24549-2022")</f>
        <v/>
      </c>
      <c r="V39">
        <f>HYPERLINK("https://klasma.github.io/Logging_2061/klagomål/A 24549-2022 FSC-klagomål.docx", "A 24549-2022")</f>
        <v/>
      </c>
      <c r="W39">
        <f>HYPERLINK("https://klasma.github.io/Logging_2061/klagomålsmail/A 24549-2022 FSC-klagomål mail.docx", "A 24549-2022")</f>
        <v/>
      </c>
      <c r="X39">
        <f>HYPERLINK("https://klasma.github.io/Logging_2061/tillsyn/A 24549-2022 tillsynsbegäran.docx", "A 24549-2022")</f>
        <v/>
      </c>
      <c r="Y39">
        <f>HYPERLINK("https://klasma.github.io/Logging_2061/tillsynsmail/A 24549-2022 tillsynsbegäran mail.docx", "A 24549-2022")</f>
        <v/>
      </c>
    </row>
    <row r="40" ht="15" customHeight="1">
      <c r="A40" t="inlineStr">
        <is>
          <t>A 31803-2022</t>
        </is>
      </c>
      <c r="B40" s="1" t="n">
        <v>44776</v>
      </c>
      <c r="C40" s="1" t="n">
        <v>45718</v>
      </c>
      <c r="D40" t="inlineStr">
        <is>
          <t>DALARNAS LÄN</t>
        </is>
      </c>
      <c r="E40" t="inlineStr">
        <is>
          <t>SMEDJEBACKEN</t>
        </is>
      </c>
      <c r="F40" t="inlineStr">
        <is>
          <t>Bergvik skog väst AB</t>
        </is>
      </c>
      <c r="G40" t="n">
        <v>9.699999999999999</v>
      </c>
      <c r="H40" t="n">
        <v>1</v>
      </c>
      <c r="I40" t="n">
        <v>0</v>
      </c>
      <c r="J40" t="n">
        <v>1</v>
      </c>
      <c r="K40" t="n">
        <v>0</v>
      </c>
      <c r="L40" t="n">
        <v>0</v>
      </c>
      <c r="M40" t="n">
        <v>0</v>
      </c>
      <c r="N40" t="n">
        <v>0</v>
      </c>
      <c r="O40" t="n">
        <v>1</v>
      </c>
      <c r="P40" t="n">
        <v>0</v>
      </c>
      <c r="Q40" t="n">
        <v>1</v>
      </c>
      <c r="R40" s="2" t="inlineStr">
        <is>
          <t>Spillkråka</t>
        </is>
      </c>
      <c r="S40">
        <f>HYPERLINK("https://klasma.github.io/Logging_2061/artfynd/A 31803-2022 artfynd.xlsx", "A 31803-2022")</f>
        <v/>
      </c>
      <c r="T40">
        <f>HYPERLINK("https://klasma.github.io/Logging_2061/kartor/A 31803-2022 karta.png", "A 31803-2022")</f>
        <v/>
      </c>
      <c r="V40">
        <f>HYPERLINK("https://klasma.github.io/Logging_2061/klagomål/A 31803-2022 FSC-klagomål.docx", "A 31803-2022")</f>
        <v/>
      </c>
      <c r="W40">
        <f>HYPERLINK("https://klasma.github.io/Logging_2061/klagomålsmail/A 31803-2022 FSC-klagomål mail.docx", "A 31803-2022")</f>
        <v/>
      </c>
      <c r="X40">
        <f>HYPERLINK("https://klasma.github.io/Logging_2061/tillsyn/A 31803-2022 tillsynsbegäran.docx", "A 31803-2022")</f>
        <v/>
      </c>
      <c r="Y40">
        <f>HYPERLINK("https://klasma.github.io/Logging_2061/tillsynsmail/A 31803-2022 tillsynsbegäran mail.docx", "A 31803-2022")</f>
        <v/>
      </c>
      <c r="Z40">
        <f>HYPERLINK("https://klasma.github.io/Logging_2061/fåglar/A 31803-2022 prioriterade fågelarter.docx", "A 31803-2022")</f>
        <v/>
      </c>
    </row>
    <row r="41" ht="15" customHeight="1">
      <c r="A41" t="inlineStr">
        <is>
          <t>A 31793-2022</t>
        </is>
      </c>
      <c r="B41" s="1" t="n">
        <v>44776</v>
      </c>
      <c r="C41" s="1" t="n">
        <v>45718</v>
      </c>
      <c r="D41" t="inlineStr">
        <is>
          <t>DALARNAS LÄN</t>
        </is>
      </c>
      <c r="E41" t="inlineStr">
        <is>
          <t>SMEDJEBACKEN</t>
        </is>
      </c>
      <c r="F41" t="inlineStr">
        <is>
          <t>Bergvik skog väst AB</t>
        </is>
      </c>
      <c r="G41" t="n">
        <v>6.1</v>
      </c>
      <c r="H41" t="n">
        <v>1</v>
      </c>
      <c r="I41" t="n">
        <v>0</v>
      </c>
      <c r="J41" t="n">
        <v>0</v>
      </c>
      <c r="K41" t="n">
        <v>0</v>
      </c>
      <c r="L41" t="n">
        <v>0</v>
      </c>
      <c r="M41" t="n">
        <v>0</v>
      </c>
      <c r="N41" t="n">
        <v>0</v>
      </c>
      <c r="O41" t="n">
        <v>0</v>
      </c>
      <c r="P41" t="n">
        <v>0</v>
      </c>
      <c r="Q41" t="n">
        <v>1</v>
      </c>
      <c r="R41" s="2" t="inlineStr">
        <is>
          <t>Blåsippa</t>
        </is>
      </c>
      <c r="S41">
        <f>HYPERLINK("https://klasma.github.io/Logging_2061/artfynd/A 31793-2022 artfynd.xlsx", "A 31793-2022")</f>
        <v/>
      </c>
      <c r="T41">
        <f>HYPERLINK("https://klasma.github.io/Logging_2061/kartor/A 31793-2022 karta.png", "A 31793-2022")</f>
        <v/>
      </c>
      <c r="V41">
        <f>HYPERLINK("https://klasma.github.io/Logging_2061/klagomål/A 31793-2022 FSC-klagomål.docx", "A 31793-2022")</f>
        <v/>
      </c>
      <c r="W41">
        <f>HYPERLINK("https://klasma.github.io/Logging_2061/klagomålsmail/A 31793-2022 FSC-klagomål mail.docx", "A 31793-2022")</f>
        <v/>
      </c>
      <c r="X41">
        <f>HYPERLINK("https://klasma.github.io/Logging_2061/tillsyn/A 31793-2022 tillsynsbegäran.docx", "A 31793-2022")</f>
        <v/>
      </c>
      <c r="Y41">
        <f>HYPERLINK("https://klasma.github.io/Logging_2061/tillsynsmail/A 31793-2022 tillsynsbegäran mail.docx", "A 31793-2022")</f>
        <v/>
      </c>
    </row>
    <row r="42" ht="15" customHeight="1">
      <c r="A42" t="inlineStr">
        <is>
          <t>A 41336-2022</t>
        </is>
      </c>
      <c r="B42" s="1" t="n">
        <v>44826</v>
      </c>
      <c r="C42" s="1" t="n">
        <v>45718</v>
      </c>
      <c r="D42" t="inlineStr">
        <is>
          <t>DALARNAS LÄN</t>
        </is>
      </c>
      <c r="E42" t="inlineStr">
        <is>
          <t>SMEDJEBACKEN</t>
        </is>
      </c>
      <c r="G42" t="n">
        <v>2.3</v>
      </c>
      <c r="H42" t="n">
        <v>1</v>
      </c>
      <c r="I42" t="n">
        <v>0</v>
      </c>
      <c r="J42" t="n">
        <v>1</v>
      </c>
      <c r="K42" t="n">
        <v>0</v>
      </c>
      <c r="L42" t="n">
        <v>0</v>
      </c>
      <c r="M42" t="n">
        <v>0</v>
      </c>
      <c r="N42" t="n">
        <v>0</v>
      </c>
      <c r="O42" t="n">
        <v>1</v>
      </c>
      <c r="P42" t="n">
        <v>0</v>
      </c>
      <c r="Q42" t="n">
        <v>1</v>
      </c>
      <c r="R42" s="2" t="inlineStr">
        <is>
          <t>Spillkråka</t>
        </is>
      </c>
      <c r="S42">
        <f>HYPERLINK("https://klasma.github.io/Logging_2061/artfynd/A 41336-2022 artfynd.xlsx", "A 41336-2022")</f>
        <v/>
      </c>
      <c r="T42">
        <f>HYPERLINK("https://klasma.github.io/Logging_2061/kartor/A 41336-2022 karta.png", "A 41336-2022")</f>
        <v/>
      </c>
      <c r="V42">
        <f>HYPERLINK("https://klasma.github.io/Logging_2061/klagomål/A 41336-2022 FSC-klagomål.docx", "A 41336-2022")</f>
        <v/>
      </c>
      <c r="W42">
        <f>HYPERLINK("https://klasma.github.io/Logging_2061/klagomålsmail/A 41336-2022 FSC-klagomål mail.docx", "A 41336-2022")</f>
        <v/>
      </c>
      <c r="X42">
        <f>HYPERLINK("https://klasma.github.io/Logging_2061/tillsyn/A 41336-2022 tillsynsbegäran.docx", "A 41336-2022")</f>
        <v/>
      </c>
      <c r="Y42">
        <f>HYPERLINK("https://klasma.github.io/Logging_2061/tillsynsmail/A 41336-2022 tillsynsbegäran mail.docx", "A 41336-2022")</f>
        <v/>
      </c>
      <c r="Z42">
        <f>HYPERLINK("https://klasma.github.io/Logging_2061/fåglar/A 41336-2022 prioriterade fågelarter.docx", "A 41336-2022")</f>
        <v/>
      </c>
    </row>
    <row r="43" ht="15" customHeight="1">
      <c r="A43" t="inlineStr">
        <is>
          <t>A 41584-2022</t>
        </is>
      </c>
      <c r="B43" s="1" t="n">
        <v>44827</v>
      </c>
      <c r="C43" s="1" t="n">
        <v>45718</v>
      </c>
      <c r="D43" t="inlineStr">
        <is>
          <t>DALARNAS LÄN</t>
        </is>
      </c>
      <c r="E43" t="inlineStr">
        <is>
          <t>SMEDJEBACKEN</t>
        </is>
      </c>
      <c r="G43" t="n">
        <v>8.699999999999999</v>
      </c>
      <c r="H43" t="n">
        <v>0</v>
      </c>
      <c r="I43" t="n">
        <v>0</v>
      </c>
      <c r="J43" t="n">
        <v>0</v>
      </c>
      <c r="K43" t="n">
        <v>1</v>
      </c>
      <c r="L43" t="n">
        <v>0</v>
      </c>
      <c r="M43" t="n">
        <v>0</v>
      </c>
      <c r="N43" t="n">
        <v>0</v>
      </c>
      <c r="O43" t="n">
        <v>1</v>
      </c>
      <c r="P43" t="n">
        <v>1</v>
      </c>
      <c r="Q43" t="n">
        <v>1</v>
      </c>
      <c r="R43" s="2" t="inlineStr">
        <is>
          <t>Gaffelskinn</t>
        </is>
      </c>
      <c r="S43">
        <f>HYPERLINK("https://klasma.github.io/Logging_2061/artfynd/A 41584-2022 artfynd.xlsx", "A 41584-2022")</f>
        <v/>
      </c>
      <c r="T43">
        <f>HYPERLINK("https://klasma.github.io/Logging_2061/kartor/A 41584-2022 karta.png", "A 41584-2022")</f>
        <v/>
      </c>
      <c r="V43">
        <f>HYPERLINK("https://klasma.github.io/Logging_2061/klagomål/A 41584-2022 FSC-klagomål.docx", "A 41584-2022")</f>
        <v/>
      </c>
      <c r="W43">
        <f>HYPERLINK("https://klasma.github.io/Logging_2061/klagomålsmail/A 41584-2022 FSC-klagomål mail.docx", "A 41584-2022")</f>
        <v/>
      </c>
      <c r="X43">
        <f>HYPERLINK("https://klasma.github.io/Logging_2061/tillsyn/A 41584-2022 tillsynsbegäran.docx", "A 41584-2022")</f>
        <v/>
      </c>
      <c r="Y43">
        <f>HYPERLINK("https://klasma.github.io/Logging_2061/tillsynsmail/A 41584-2022 tillsynsbegäran mail.docx", "A 41584-2022")</f>
        <v/>
      </c>
    </row>
    <row r="44" ht="15" customHeight="1">
      <c r="A44" t="inlineStr">
        <is>
          <t>A 41870-2022</t>
        </is>
      </c>
      <c r="B44" s="1" t="n">
        <v>44829</v>
      </c>
      <c r="C44" s="1" t="n">
        <v>45718</v>
      </c>
      <c r="D44" t="inlineStr">
        <is>
          <t>DALARNAS LÄN</t>
        </is>
      </c>
      <c r="E44" t="inlineStr">
        <is>
          <t>SMEDJEBACKEN</t>
        </is>
      </c>
      <c r="G44" t="n">
        <v>0.7</v>
      </c>
      <c r="H44" t="n">
        <v>0</v>
      </c>
      <c r="I44" t="n">
        <v>1</v>
      </c>
      <c r="J44" t="n">
        <v>0</v>
      </c>
      <c r="K44" t="n">
        <v>0</v>
      </c>
      <c r="L44" t="n">
        <v>0</v>
      </c>
      <c r="M44" t="n">
        <v>0</v>
      </c>
      <c r="N44" t="n">
        <v>0</v>
      </c>
      <c r="O44" t="n">
        <v>0</v>
      </c>
      <c r="P44" t="n">
        <v>0</v>
      </c>
      <c r="Q44" t="n">
        <v>1</v>
      </c>
      <c r="R44" s="2" t="inlineStr">
        <is>
          <t>Dropptaggsvamp</t>
        </is>
      </c>
      <c r="S44">
        <f>HYPERLINK("https://klasma.github.io/Logging_2061/artfynd/A 41870-2022 artfynd.xlsx", "A 41870-2022")</f>
        <v/>
      </c>
      <c r="T44">
        <f>HYPERLINK("https://klasma.github.io/Logging_2061/kartor/A 41870-2022 karta.png", "A 41870-2022")</f>
        <v/>
      </c>
      <c r="V44">
        <f>HYPERLINK("https://klasma.github.io/Logging_2061/klagomål/A 41870-2022 FSC-klagomål.docx", "A 41870-2022")</f>
        <v/>
      </c>
      <c r="W44">
        <f>HYPERLINK("https://klasma.github.io/Logging_2061/klagomålsmail/A 41870-2022 FSC-klagomål mail.docx", "A 41870-2022")</f>
        <v/>
      </c>
      <c r="X44">
        <f>HYPERLINK("https://klasma.github.io/Logging_2061/tillsyn/A 41870-2022 tillsynsbegäran.docx", "A 41870-2022")</f>
        <v/>
      </c>
      <c r="Y44">
        <f>HYPERLINK("https://klasma.github.io/Logging_2061/tillsynsmail/A 41870-2022 tillsynsbegäran mail.docx", "A 41870-2022")</f>
        <v/>
      </c>
    </row>
    <row r="45" ht="15" customHeight="1">
      <c r="A45" t="inlineStr">
        <is>
          <t>A 15124-2023</t>
        </is>
      </c>
      <c r="B45" s="1" t="n">
        <v>45015</v>
      </c>
      <c r="C45" s="1" t="n">
        <v>45718</v>
      </c>
      <c r="D45" t="inlineStr">
        <is>
          <t>DALARNAS LÄN</t>
        </is>
      </c>
      <c r="E45" t="inlineStr">
        <is>
          <t>SMEDJEBACKEN</t>
        </is>
      </c>
      <c r="F45" t="inlineStr">
        <is>
          <t>Bergvik skog väst AB</t>
        </is>
      </c>
      <c r="G45" t="n">
        <v>6.2</v>
      </c>
      <c r="H45" t="n">
        <v>0</v>
      </c>
      <c r="I45" t="n">
        <v>0</v>
      </c>
      <c r="J45" t="n">
        <v>1</v>
      </c>
      <c r="K45" t="n">
        <v>0</v>
      </c>
      <c r="L45" t="n">
        <v>0</v>
      </c>
      <c r="M45" t="n">
        <v>0</v>
      </c>
      <c r="N45" t="n">
        <v>0</v>
      </c>
      <c r="O45" t="n">
        <v>1</v>
      </c>
      <c r="P45" t="n">
        <v>0</v>
      </c>
      <c r="Q45" t="n">
        <v>1</v>
      </c>
      <c r="R45" s="2" t="inlineStr">
        <is>
          <t>Skogsklocka</t>
        </is>
      </c>
      <c r="S45">
        <f>HYPERLINK("https://klasma.github.io/Logging_2061/artfynd/A 15124-2023 artfynd.xlsx", "A 15124-2023")</f>
        <v/>
      </c>
      <c r="T45">
        <f>HYPERLINK("https://klasma.github.io/Logging_2061/kartor/A 15124-2023 karta.png", "A 15124-2023")</f>
        <v/>
      </c>
      <c r="V45">
        <f>HYPERLINK("https://klasma.github.io/Logging_2061/klagomål/A 15124-2023 FSC-klagomål.docx", "A 15124-2023")</f>
        <v/>
      </c>
      <c r="W45">
        <f>HYPERLINK("https://klasma.github.io/Logging_2061/klagomålsmail/A 15124-2023 FSC-klagomål mail.docx", "A 15124-2023")</f>
        <v/>
      </c>
      <c r="X45">
        <f>HYPERLINK("https://klasma.github.io/Logging_2061/tillsyn/A 15124-2023 tillsynsbegäran.docx", "A 15124-2023")</f>
        <v/>
      </c>
      <c r="Y45">
        <f>HYPERLINK("https://klasma.github.io/Logging_2061/tillsynsmail/A 15124-2023 tillsynsbegäran mail.docx", "A 15124-2023")</f>
        <v/>
      </c>
    </row>
    <row r="46" ht="15" customHeight="1">
      <c r="A46" t="inlineStr">
        <is>
          <t>A 32029-2023</t>
        </is>
      </c>
      <c r="B46" s="1" t="n">
        <v>45119</v>
      </c>
      <c r="C46" s="1" t="n">
        <v>45718</v>
      </c>
      <c r="D46" t="inlineStr">
        <is>
          <t>DALARNAS LÄN</t>
        </is>
      </c>
      <c r="E46" t="inlineStr">
        <is>
          <t>SMEDJEBACKEN</t>
        </is>
      </c>
      <c r="F46" t="inlineStr">
        <is>
          <t>Bergvik skog väst AB</t>
        </is>
      </c>
      <c r="G46" t="n">
        <v>3.9</v>
      </c>
      <c r="H46" t="n">
        <v>1</v>
      </c>
      <c r="I46" t="n">
        <v>0</v>
      </c>
      <c r="J46" t="n">
        <v>1</v>
      </c>
      <c r="K46" t="n">
        <v>0</v>
      </c>
      <c r="L46" t="n">
        <v>0</v>
      </c>
      <c r="M46" t="n">
        <v>0</v>
      </c>
      <c r="N46" t="n">
        <v>0</v>
      </c>
      <c r="O46" t="n">
        <v>1</v>
      </c>
      <c r="P46" t="n">
        <v>0</v>
      </c>
      <c r="Q46" t="n">
        <v>1</v>
      </c>
      <c r="R46" s="2" t="inlineStr">
        <is>
          <t>Spillkråka</t>
        </is>
      </c>
      <c r="S46">
        <f>HYPERLINK("https://klasma.github.io/Logging_2061/artfynd/A 32029-2023 artfynd.xlsx", "A 32029-2023")</f>
        <v/>
      </c>
      <c r="T46">
        <f>HYPERLINK("https://klasma.github.io/Logging_2061/kartor/A 32029-2023 karta.png", "A 32029-2023")</f>
        <v/>
      </c>
      <c r="V46">
        <f>HYPERLINK("https://klasma.github.io/Logging_2061/klagomål/A 32029-2023 FSC-klagomål.docx", "A 32029-2023")</f>
        <v/>
      </c>
      <c r="W46">
        <f>HYPERLINK("https://klasma.github.io/Logging_2061/klagomålsmail/A 32029-2023 FSC-klagomål mail.docx", "A 32029-2023")</f>
        <v/>
      </c>
      <c r="X46">
        <f>HYPERLINK("https://klasma.github.io/Logging_2061/tillsyn/A 32029-2023 tillsynsbegäran.docx", "A 32029-2023")</f>
        <v/>
      </c>
      <c r="Y46">
        <f>HYPERLINK("https://klasma.github.io/Logging_2061/tillsynsmail/A 32029-2023 tillsynsbegäran mail.docx", "A 32029-2023")</f>
        <v/>
      </c>
      <c r="Z46">
        <f>HYPERLINK("https://klasma.github.io/Logging_2061/fåglar/A 32029-2023 prioriterade fågelarter.docx", "A 32029-2023")</f>
        <v/>
      </c>
    </row>
    <row r="47" ht="15" customHeight="1">
      <c r="A47" t="inlineStr">
        <is>
          <t>A 46775-2023</t>
        </is>
      </c>
      <c r="B47" s="1" t="n">
        <v>45198</v>
      </c>
      <c r="C47" s="1" t="n">
        <v>45718</v>
      </c>
      <c r="D47" t="inlineStr">
        <is>
          <t>DALARNAS LÄN</t>
        </is>
      </c>
      <c r="E47" t="inlineStr">
        <is>
          <t>SMEDJEBACKEN</t>
        </is>
      </c>
      <c r="F47" t="inlineStr">
        <is>
          <t>Bergvik skog väst AB</t>
        </is>
      </c>
      <c r="G47" t="n">
        <v>1</v>
      </c>
      <c r="H47" t="n">
        <v>0</v>
      </c>
      <c r="I47" t="n">
        <v>1</v>
      </c>
      <c r="J47" t="n">
        <v>0</v>
      </c>
      <c r="K47" t="n">
        <v>0</v>
      </c>
      <c r="L47" t="n">
        <v>0</v>
      </c>
      <c r="M47" t="n">
        <v>0</v>
      </c>
      <c r="N47" t="n">
        <v>0</v>
      </c>
      <c r="O47" t="n">
        <v>0</v>
      </c>
      <c r="P47" t="n">
        <v>0</v>
      </c>
      <c r="Q47" t="n">
        <v>1</v>
      </c>
      <c r="R47" s="2" t="inlineStr">
        <is>
          <t>Tibast</t>
        </is>
      </c>
      <c r="S47">
        <f>HYPERLINK("https://klasma.github.io/Logging_2061/artfynd/A 46775-2023 artfynd.xlsx", "A 46775-2023")</f>
        <v/>
      </c>
      <c r="T47">
        <f>HYPERLINK("https://klasma.github.io/Logging_2061/kartor/A 46775-2023 karta.png", "A 46775-2023")</f>
        <v/>
      </c>
      <c r="V47">
        <f>HYPERLINK("https://klasma.github.io/Logging_2061/klagomål/A 46775-2023 FSC-klagomål.docx", "A 46775-2023")</f>
        <v/>
      </c>
      <c r="W47">
        <f>HYPERLINK("https://klasma.github.io/Logging_2061/klagomålsmail/A 46775-2023 FSC-klagomål mail.docx", "A 46775-2023")</f>
        <v/>
      </c>
      <c r="X47">
        <f>HYPERLINK("https://klasma.github.io/Logging_2061/tillsyn/A 46775-2023 tillsynsbegäran.docx", "A 46775-2023")</f>
        <v/>
      </c>
      <c r="Y47">
        <f>HYPERLINK("https://klasma.github.io/Logging_2061/tillsynsmail/A 46775-2023 tillsynsbegäran mail.docx", "A 46775-2023")</f>
        <v/>
      </c>
    </row>
    <row r="48" ht="15" customHeight="1">
      <c r="A48" t="inlineStr">
        <is>
          <t>A 46752-2023</t>
        </is>
      </c>
      <c r="B48" s="1" t="n">
        <v>45198</v>
      </c>
      <c r="C48" s="1" t="n">
        <v>45718</v>
      </c>
      <c r="D48" t="inlineStr">
        <is>
          <t>DALARNAS LÄN</t>
        </is>
      </c>
      <c r="E48" t="inlineStr">
        <is>
          <t>SMEDJEBACKEN</t>
        </is>
      </c>
      <c r="F48" t="inlineStr">
        <is>
          <t>Bergvik skog väst AB</t>
        </is>
      </c>
      <c r="G48" t="n">
        <v>2.4</v>
      </c>
      <c r="H48" t="n">
        <v>0</v>
      </c>
      <c r="I48" t="n">
        <v>1</v>
      </c>
      <c r="J48" t="n">
        <v>0</v>
      </c>
      <c r="K48" t="n">
        <v>0</v>
      </c>
      <c r="L48" t="n">
        <v>0</v>
      </c>
      <c r="M48" t="n">
        <v>0</v>
      </c>
      <c r="N48" t="n">
        <v>0</v>
      </c>
      <c r="O48" t="n">
        <v>0</v>
      </c>
      <c r="P48" t="n">
        <v>0</v>
      </c>
      <c r="Q48" t="n">
        <v>1</v>
      </c>
      <c r="R48" s="2" t="inlineStr">
        <is>
          <t>Tibast</t>
        </is>
      </c>
      <c r="S48">
        <f>HYPERLINK("https://klasma.github.io/Logging_2061/artfynd/A 46752-2023 artfynd.xlsx", "A 46752-2023")</f>
        <v/>
      </c>
      <c r="T48">
        <f>HYPERLINK("https://klasma.github.io/Logging_2061/kartor/A 46752-2023 karta.png", "A 46752-2023")</f>
        <v/>
      </c>
      <c r="V48">
        <f>HYPERLINK("https://klasma.github.io/Logging_2061/klagomål/A 46752-2023 FSC-klagomål.docx", "A 46752-2023")</f>
        <v/>
      </c>
      <c r="W48">
        <f>HYPERLINK("https://klasma.github.io/Logging_2061/klagomålsmail/A 46752-2023 FSC-klagomål mail.docx", "A 46752-2023")</f>
        <v/>
      </c>
      <c r="X48">
        <f>HYPERLINK("https://klasma.github.io/Logging_2061/tillsyn/A 46752-2023 tillsynsbegäran.docx", "A 46752-2023")</f>
        <v/>
      </c>
      <c r="Y48">
        <f>HYPERLINK("https://klasma.github.io/Logging_2061/tillsynsmail/A 46752-2023 tillsynsbegäran mail.docx", "A 46752-2023")</f>
        <v/>
      </c>
    </row>
    <row r="49" ht="15" customHeight="1">
      <c r="A49" t="inlineStr">
        <is>
          <t>A 46779-2023</t>
        </is>
      </c>
      <c r="B49" s="1" t="n">
        <v>45198</v>
      </c>
      <c r="C49" s="1" t="n">
        <v>45718</v>
      </c>
      <c r="D49" t="inlineStr">
        <is>
          <t>DALARNAS LÄN</t>
        </is>
      </c>
      <c r="E49" t="inlineStr">
        <is>
          <t>SMEDJEBACKEN</t>
        </is>
      </c>
      <c r="F49" t="inlineStr">
        <is>
          <t>Bergvik skog väst AB</t>
        </is>
      </c>
      <c r="G49" t="n">
        <v>14.2</v>
      </c>
      <c r="H49" t="n">
        <v>1</v>
      </c>
      <c r="I49" t="n">
        <v>0</v>
      </c>
      <c r="J49" t="n">
        <v>0</v>
      </c>
      <c r="K49" t="n">
        <v>1</v>
      </c>
      <c r="L49" t="n">
        <v>0</v>
      </c>
      <c r="M49" t="n">
        <v>0</v>
      </c>
      <c r="N49" t="n">
        <v>0</v>
      </c>
      <c r="O49" t="n">
        <v>1</v>
      </c>
      <c r="P49" t="n">
        <v>1</v>
      </c>
      <c r="Q49" t="n">
        <v>1</v>
      </c>
      <c r="R49" s="2" t="inlineStr">
        <is>
          <t>Väddnätfjäril</t>
        </is>
      </c>
      <c r="S49">
        <f>HYPERLINK("https://klasma.github.io/Logging_2061/artfynd/A 46779-2023 artfynd.xlsx", "A 46779-2023")</f>
        <v/>
      </c>
      <c r="T49">
        <f>HYPERLINK("https://klasma.github.io/Logging_2061/kartor/A 46779-2023 karta.png", "A 46779-2023")</f>
        <v/>
      </c>
      <c r="V49">
        <f>HYPERLINK("https://klasma.github.io/Logging_2061/klagomål/A 46779-2023 FSC-klagomål.docx", "A 46779-2023")</f>
        <v/>
      </c>
      <c r="W49">
        <f>HYPERLINK("https://klasma.github.io/Logging_2061/klagomålsmail/A 46779-2023 FSC-klagomål mail.docx", "A 46779-2023")</f>
        <v/>
      </c>
      <c r="X49">
        <f>HYPERLINK("https://klasma.github.io/Logging_2061/tillsyn/A 46779-2023 tillsynsbegäran.docx", "A 46779-2023")</f>
        <v/>
      </c>
      <c r="Y49">
        <f>HYPERLINK("https://klasma.github.io/Logging_2061/tillsynsmail/A 46779-2023 tillsynsbegäran mail.docx", "A 46779-2023")</f>
        <v/>
      </c>
    </row>
    <row r="50" ht="15" customHeight="1">
      <c r="A50" t="inlineStr">
        <is>
          <t>A 54156-2023</t>
        </is>
      </c>
      <c r="B50" s="1" t="n">
        <v>45225</v>
      </c>
      <c r="C50" s="1" t="n">
        <v>45718</v>
      </c>
      <c r="D50" t="inlineStr">
        <is>
          <t>DALARNAS LÄN</t>
        </is>
      </c>
      <c r="E50" t="inlineStr">
        <is>
          <t>SMEDJEBACKEN</t>
        </is>
      </c>
      <c r="F50" t="inlineStr">
        <is>
          <t>Bergvik skog väst AB</t>
        </is>
      </c>
      <c r="G50" t="n">
        <v>26.3</v>
      </c>
      <c r="H50" t="n">
        <v>1</v>
      </c>
      <c r="I50" t="n">
        <v>0</v>
      </c>
      <c r="J50" t="n">
        <v>0</v>
      </c>
      <c r="K50" t="n">
        <v>0</v>
      </c>
      <c r="L50" t="n">
        <v>0</v>
      </c>
      <c r="M50" t="n">
        <v>0</v>
      </c>
      <c r="N50" t="n">
        <v>0</v>
      </c>
      <c r="O50" t="n">
        <v>0</v>
      </c>
      <c r="P50" t="n">
        <v>0</v>
      </c>
      <c r="Q50" t="n">
        <v>1</v>
      </c>
      <c r="R50" s="2" t="inlineStr">
        <is>
          <t>Revlummer</t>
        </is>
      </c>
      <c r="S50">
        <f>HYPERLINK("https://klasma.github.io/Logging_2061/artfynd/A 54156-2023 artfynd.xlsx", "A 54156-2023")</f>
        <v/>
      </c>
      <c r="T50">
        <f>HYPERLINK("https://klasma.github.io/Logging_2061/kartor/A 54156-2023 karta.png", "A 54156-2023")</f>
        <v/>
      </c>
      <c r="V50">
        <f>HYPERLINK("https://klasma.github.io/Logging_2061/klagomål/A 54156-2023 FSC-klagomål.docx", "A 54156-2023")</f>
        <v/>
      </c>
      <c r="W50">
        <f>HYPERLINK("https://klasma.github.io/Logging_2061/klagomålsmail/A 54156-2023 FSC-klagomål mail.docx", "A 54156-2023")</f>
        <v/>
      </c>
      <c r="X50">
        <f>HYPERLINK("https://klasma.github.io/Logging_2061/tillsyn/A 54156-2023 tillsynsbegäran.docx", "A 54156-2023")</f>
        <v/>
      </c>
      <c r="Y50">
        <f>HYPERLINK("https://klasma.github.io/Logging_2061/tillsynsmail/A 54156-2023 tillsynsbegäran mail.docx", "A 54156-2023")</f>
        <v/>
      </c>
    </row>
    <row r="51" ht="15" customHeight="1">
      <c r="A51" t="inlineStr">
        <is>
          <t>A 52958-2023</t>
        </is>
      </c>
      <c r="B51" s="1" t="n">
        <v>45226</v>
      </c>
      <c r="C51" s="1" t="n">
        <v>45718</v>
      </c>
      <c r="D51" t="inlineStr">
        <is>
          <t>DALARNAS LÄN</t>
        </is>
      </c>
      <c r="E51" t="inlineStr">
        <is>
          <t>SMEDJEBACKEN</t>
        </is>
      </c>
      <c r="F51" t="inlineStr">
        <is>
          <t>Sveaskog</t>
        </is>
      </c>
      <c r="G51" t="n">
        <v>4.9</v>
      </c>
      <c r="H51" t="n">
        <v>0</v>
      </c>
      <c r="I51" t="n">
        <v>0</v>
      </c>
      <c r="J51" t="n">
        <v>1</v>
      </c>
      <c r="K51" t="n">
        <v>0</v>
      </c>
      <c r="L51" t="n">
        <v>0</v>
      </c>
      <c r="M51" t="n">
        <v>0</v>
      </c>
      <c r="N51" t="n">
        <v>0</v>
      </c>
      <c r="O51" t="n">
        <v>1</v>
      </c>
      <c r="P51" t="n">
        <v>0</v>
      </c>
      <c r="Q51" t="n">
        <v>1</v>
      </c>
      <c r="R51" s="2" t="inlineStr">
        <is>
          <t>Motaggsvamp</t>
        </is>
      </c>
      <c r="S51">
        <f>HYPERLINK("https://klasma.github.io/Logging_2061/artfynd/A 52958-2023 artfynd.xlsx", "A 52958-2023")</f>
        <v/>
      </c>
      <c r="T51">
        <f>HYPERLINK("https://klasma.github.io/Logging_2061/kartor/A 52958-2023 karta.png", "A 52958-2023")</f>
        <v/>
      </c>
      <c r="V51">
        <f>HYPERLINK("https://klasma.github.io/Logging_2061/klagomål/A 52958-2023 FSC-klagomål.docx", "A 52958-2023")</f>
        <v/>
      </c>
      <c r="W51">
        <f>HYPERLINK("https://klasma.github.io/Logging_2061/klagomålsmail/A 52958-2023 FSC-klagomål mail.docx", "A 52958-2023")</f>
        <v/>
      </c>
      <c r="X51">
        <f>HYPERLINK("https://klasma.github.io/Logging_2061/tillsyn/A 52958-2023 tillsynsbegäran.docx", "A 52958-2023")</f>
        <v/>
      </c>
      <c r="Y51">
        <f>HYPERLINK("https://klasma.github.io/Logging_2061/tillsynsmail/A 52958-2023 tillsynsbegäran mail.docx", "A 52958-2023")</f>
        <v/>
      </c>
    </row>
    <row r="52" ht="15" customHeight="1">
      <c r="A52" t="inlineStr">
        <is>
          <t>A 52953-2023</t>
        </is>
      </c>
      <c r="B52" s="1" t="n">
        <v>45226</v>
      </c>
      <c r="C52" s="1" t="n">
        <v>45718</v>
      </c>
      <c r="D52" t="inlineStr">
        <is>
          <t>DALARNAS LÄN</t>
        </is>
      </c>
      <c r="E52" t="inlineStr">
        <is>
          <t>SMEDJEBACKEN</t>
        </is>
      </c>
      <c r="F52" t="inlineStr">
        <is>
          <t>Sveaskog</t>
        </is>
      </c>
      <c r="G52" t="n">
        <v>0.9</v>
      </c>
      <c r="H52" t="n">
        <v>0</v>
      </c>
      <c r="I52" t="n">
        <v>0</v>
      </c>
      <c r="J52" t="n">
        <v>1</v>
      </c>
      <c r="K52" t="n">
        <v>0</v>
      </c>
      <c r="L52" t="n">
        <v>0</v>
      </c>
      <c r="M52" t="n">
        <v>0</v>
      </c>
      <c r="N52" t="n">
        <v>0</v>
      </c>
      <c r="O52" t="n">
        <v>1</v>
      </c>
      <c r="P52" t="n">
        <v>0</v>
      </c>
      <c r="Q52" t="n">
        <v>1</v>
      </c>
      <c r="R52" s="2" t="inlineStr">
        <is>
          <t>Motaggsvamp</t>
        </is>
      </c>
      <c r="S52">
        <f>HYPERLINK("https://klasma.github.io/Logging_2061/artfynd/A 52953-2023 artfynd.xlsx", "A 52953-2023")</f>
        <v/>
      </c>
      <c r="T52">
        <f>HYPERLINK("https://klasma.github.io/Logging_2061/kartor/A 52953-2023 karta.png", "A 52953-2023")</f>
        <v/>
      </c>
      <c r="V52">
        <f>HYPERLINK("https://klasma.github.io/Logging_2061/klagomål/A 52953-2023 FSC-klagomål.docx", "A 52953-2023")</f>
        <v/>
      </c>
      <c r="W52">
        <f>HYPERLINK("https://klasma.github.io/Logging_2061/klagomålsmail/A 52953-2023 FSC-klagomål mail.docx", "A 52953-2023")</f>
        <v/>
      </c>
      <c r="X52">
        <f>HYPERLINK("https://klasma.github.io/Logging_2061/tillsyn/A 52953-2023 tillsynsbegäran.docx", "A 52953-2023")</f>
        <v/>
      </c>
      <c r="Y52">
        <f>HYPERLINK("https://klasma.github.io/Logging_2061/tillsynsmail/A 52953-2023 tillsynsbegäran mail.docx", "A 52953-2023")</f>
        <v/>
      </c>
    </row>
    <row r="53" ht="15" customHeight="1">
      <c r="A53" t="inlineStr">
        <is>
          <t>A 55476-2023</t>
        </is>
      </c>
      <c r="B53" s="1" t="n">
        <v>45231</v>
      </c>
      <c r="C53" s="1" t="n">
        <v>45718</v>
      </c>
      <c r="D53" t="inlineStr">
        <is>
          <t>DALARNAS LÄN</t>
        </is>
      </c>
      <c r="E53" t="inlineStr">
        <is>
          <t>SMEDJEBACKEN</t>
        </is>
      </c>
      <c r="F53" t="inlineStr">
        <is>
          <t>Bergvik skog väst AB</t>
        </is>
      </c>
      <c r="G53" t="n">
        <v>16.3</v>
      </c>
      <c r="H53" t="n">
        <v>1</v>
      </c>
      <c r="I53" t="n">
        <v>0</v>
      </c>
      <c r="J53" t="n">
        <v>0</v>
      </c>
      <c r="K53" t="n">
        <v>0</v>
      </c>
      <c r="L53" t="n">
        <v>0</v>
      </c>
      <c r="M53" t="n">
        <v>0</v>
      </c>
      <c r="N53" t="n">
        <v>0</v>
      </c>
      <c r="O53" t="n">
        <v>0</v>
      </c>
      <c r="P53" t="n">
        <v>0</v>
      </c>
      <c r="Q53" t="n">
        <v>1</v>
      </c>
      <c r="R53" s="2" t="inlineStr">
        <is>
          <t>Revlummer</t>
        </is>
      </c>
      <c r="S53">
        <f>HYPERLINK("https://klasma.github.io/Logging_2061/artfynd/A 55476-2023 artfynd.xlsx", "A 55476-2023")</f>
        <v/>
      </c>
      <c r="T53">
        <f>HYPERLINK("https://klasma.github.io/Logging_2061/kartor/A 55476-2023 karta.png", "A 55476-2023")</f>
        <v/>
      </c>
      <c r="V53">
        <f>HYPERLINK("https://klasma.github.io/Logging_2061/klagomål/A 55476-2023 FSC-klagomål.docx", "A 55476-2023")</f>
        <v/>
      </c>
      <c r="W53">
        <f>HYPERLINK("https://klasma.github.io/Logging_2061/klagomålsmail/A 55476-2023 FSC-klagomål mail.docx", "A 55476-2023")</f>
        <v/>
      </c>
      <c r="X53">
        <f>HYPERLINK("https://klasma.github.io/Logging_2061/tillsyn/A 55476-2023 tillsynsbegäran.docx", "A 55476-2023")</f>
        <v/>
      </c>
      <c r="Y53">
        <f>HYPERLINK("https://klasma.github.io/Logging_2061/tillsynsmail/A 55476-2023 tillsynsbegäran mail.docx", "A 55476-2023")</f>
        <v/>
      </c>
    </row>
    <row r="54" ht="15" customHeight="1">
      <c r="A54" t="inlineStr">
        <is>
          <t>A 15389-2024</t>
        </is>
      </c>
      <c r="B54" s="1" t="n">
        <v>45401</v>
      </c>
      <c r="C54" s="1" t="n">
        <v>45718</v>
      </c>
      <c r="D54" t="inlineStr">
        <is>
          <t>DALARNAS LÄN</t>
        </is>
      </c>
      <c r="E54" t="inlineStr">
        <is>
          <t>SMEDJEBACKEN</t>
        </is>
      </c>
      <c r="F54" t="inlineStr">
        <is>
          <t>Sveaskog</t>
        </is>
      </c>
      <c r="G54" t="n">
        <v>2.8</v>
      </c>
      <c r="H54" t="n">
        <v>0</v>
      </c>
      <c r="I54" t="n">
        <v>1</v>
      </c>
      <c r="J54" t="n">
        <v>0</v>
      </c>
      <c r="K54" t="n">
        <v>0</v>
      </c>
      <c r="L54" t="n">
        <v>0</v>
      </c>
      <c r="M54" t="n">
        <v>0</v>
      </c>
      <c r="N54" t="n">
        <v>0</v>
      </c>
      <c r="O54" t="n">
        <v>0</v>
      </c>
      <c r="P54" t="n">
        <v>0</v>
      </c>
      <c r="Q54" t="n">
        <v>1</v>
      </c>
      <c r="R54" s="2" t="inlineStr">
        <is>
          <t>Svavelriska</t>
        </is>
      </c>
      <c r="S54">
        <f>HYPERLINK("https://klasma.github.io/Logging_2061/artfynd/A 15389-2024 artfynd.xlsx", "A 15389-2024")</f>
        <v/>
      </c>
      <c r="T54">
        <f>HYPERLINK("https://klasma.github.io/Logging_2061/kartor/A 15389-2024 karta.png", "A 15389-2024")</f>
        <v/>
      </c>
      <c r="V54">
        <f>HYPERLINK("https://klasma.github.io/Logging_2061/klagomål/A 15389-2024 FSC-klagomål.docx", "A 15389-2024")</f>
        <v/>
      </c>
      <c r="W54">
        <f>HYPERLINK("https://klasma.github.io/Logging_2061/klagomålsmail/A 15389-2024 FSC-klagomål mail.docx", "A 15389-2024")</f>
        <v/>
      </c>
      <c r="X54">
        <f>HYPERLINK("https://klasma.github.io/Logging_2061/tillsyn/A 15389-2024 tillsynsbegäran.docx", "A 15389-2024")</f>
        <v/>
      </c>
      <c r="Y54">
        <f>HYPERLINK("https://klasma.github.io/Logging_2061/tillsynsmail/A 15389-2024 tillsynsbegäran mail.docx", "A 15389-2024")</f>
        <v/>
      </c>
    </row>
    <row r="55" ht="15" customHeight="1">
      <c r="A55" t="inlineStr">
        <is>
          <t>A 18020-2024</t>
        </is>
      </c>
      <c r="B55" s="1" t="n">
        <v>45420</v>
      </c>
      <c r="C55" s="1" t="n">
        <v>45718</v>
      </c>
      <c r="D55" t="inlineStr">
        <is>
          <t>DALARNAS LÄN</t>
        </is>
      </c>
      <c r="E55" t="inlineStr">
        <is>
          <t>SMEDJEBACKEN</t>
        </is>
      </c>
      <c r="F55" t="inlineStr">
        <is>
          <t>Sveaskog</t>
        </is>
      </c>
      <c r="G55" t="n">
        <v>2.1</v>
      </c>
      <c r="H55" t="n">
        <v>0</v>
      </c>
      <c r="I55" t="n">
        <v>1</v>
      </c>
      <c r="J55" t="n">
        <v>0</v>
      </c>
      <c r="K55" t="n">
        <v>0</v>
      </c>
      <c r="L55" t="n">
        <v>0</v>
      </c>
      <c r="M55" t="n">
        <v>0</v>
      </c>
      <c r="N55" t="n">
        <v>0</v>
      </c>
      <c r="O55" t="n">
        <v>0</v>
      </c>
      <c r="P55" t="n">
        <v>0</v>
      </c>
      <c r="Q55" t="n">
        <v>1</v>
      </c>
      <c r="R55" s="2" t="inlineStr">
        <is>
          <t>Svavelriska</t>
        </is>
      </c>
      <c r="S55">
        <f>HYPERLINK("https://klasma.github.io/Logging_2061/artfynd/A 18020-2024 artfynd.xlsx", "A 18020-2024")</f>
        <v/>
      </c>
      <c r="T55">
        <f>HYPERLINK("https://klasma.github.io/Logging_2061/kartor/A 18020-2024 karta.png", "A 18020-2024")</f>
        <v/>
      </c>
      <c r="V55">
        <f>HYPERLINK("https://klasma.github.io/Logging_2061/klagomål/A 18020-2024 FSC-klagomål.docx", "A 18020-2024")</f>
        <v/>
      </c>
      <c r="W55">
        <f>HYPERLINK("https://klasma.github.io/Logging_2061/klagomålsmail/A 18020-2024 FSC-klagomål mail.docx", "A 18020-2024")</f>
        <v/>
      </c>
      <c r="X55">
        <f>HYPERLINK("https://klasma.github.io/Logging_2061/tillsyn/A 18020-2024 tillsynsbegäran.docx", "A 18020-2024")</f>
        <v/>
      </c>
      <c r="Y55">
        <f>HYPERLINK("https://klasma.github.io/Logging_2061/tillsynsmail/A 18020-2024 tillsynsbegäran mail.docx", "A 18020-2024")</f>
        <v/>
      </c>
    </row>
    <row r="56" ht="15" customHeight="1">
      <c r="A56" t="inlineStr">
        <is>
          <t>A 21507-2024</t>
        </is>
      </c>
      <c r="B56" s="1" t="n">
        <v>45441</v>
      </c>
      <c r="C56" s="1" t="n">
        <v>45718</v>
      </c>
      <c r="D56" t="inlineStr">
        <is>
          <t>DALARNAS LÄN</t>
        </is>
      </c>
      <c r="E56" t="inlineStr">
        <is>
          <t>SMEDJEBACKEN</t>
        </is>
      </c>
      <c r="F56" t="inlineStr">
        <is>
          <t>Sveaskog</t>
        </is>
      </c>
      <c r="G56" t="n">
        <v>16</v>
      </c>
      <c r="H56" t="n">
        <v>0</v>
      </c>
      <c r="I56" t="n">
        <v>0</v>
      </c>
      <c r="J56" t="n">
        <v>1</v>
      </c>
      <c r="K56" t="n">
        <v>0</v>
      </c>
      <c r="L56" t="n">
        <v>0</v>
      </c>
      <c r="M56" t="n">
        <v>0</v>
      </c>
      <c r="N56" t="n">
        <v>0</v>
      </c>
      <c r="O56" t="n">
        <v>1</v>
      </c>
      <c r="P56" t="n">
        <v>0</v>
      </c>
      <c r="Q56" t="n">
        <v>1</v>
      </c>
      <c r="R56" s="2" t="inlineStr">
        <is>
          <t>Ullticka</t>
        </is>
      </c>
      <c r="S56">
        <f>HYPERLINK("https://klasma.github.io/Logging_2061/artfynd/A 21507-2024 artfynd.xlsx", "A 21507-2024")</f>
        <v/>
      </c>
      <c r="T56">
        <f>HYPERLINK("https://klasma.github.io/Logging_2061/kartor/A 21507-2024 karta.png", "A 21507-2024")</f>
        <v/>
      </c>
      <c r="V56">
        <f>HYPERLINK("https://klasma.github.io/Logging_2061/klagomål/A 21507-2024 FSC-klagomål.docx", "A 21507-2024")</f>
        <v/>
      </c>
      <c r="W56">
        <f>HYPERLINK("https://klasma.github.io/Logging_2061/klagomålsmail/A 21507-2024 FSC-klagomål mail.docx", "A 21507-2024")</f>
        <v/>
      </c>
      <c r="X56">
        <f>HYPERLINK("https://klasma.github.io/Logging_2061/tillsyn/A 21507-2024 tillsynsbegäran.docx", "A 21507-2024")</f>
        <v/>
      </c>
      <c r="Y56">
        <f>HYPERLINK("https://klasma.github.io/Logging_2061/tillsynsmail/A 21507-2024 tillsynsbegäran mail.docx", "A 21507-2024")</f>
        <v/>
      </c>
    </row>
    <row r="57" ht="15" customHeight="1">
      <c r="A57" t="inlineStr">
        <is>
          <t>A 32954-2024</t>
        </is>
      </c>
      <c r="B57" s="1" t="n">
        <v>45517</v>
      </c>
      <c r="C57" s="1" t="n">
        <v>45718</v>
      </c>
      <c r="D57" t="inlineStr">
        <is>
          <t>DALARNAS LÄN</t>
        </is>
      </c>
      <c r="E57" t="inlineStr">
        <is>
          <t>SMEDJEBACKEN</t>
        </is>
      </c>
      <c r="F57" t="inlineStr">
        <is>
          <t>Övriga Aktiebolag</t>
        </is>
      </c>
      <c r="G57" t="n">
        <v>5.9</v>
      </c>
      <c r="H57" t="n">
        <v>1</v>
      </c>
      <c r="I57" t="n">
        <v>0</v>
      </c>
      <c r="J57" t="n">
        <v>0</v>
      </c>
      <c r="K57" t="n">
        <v>0</v>
      </c>
      <c r="L57" t="n">
        <v>0</v>
      </c>
      <c r="M57" t="n">
        <v>0</v>
      </c>
      <c r="N57" t="n">
        <v>0</v>
      </c>
      <c r="O57" t="n">
        <v>0</v>
      </c>
      <c r="P57" t="n">
        <v>0</v>
      </c>
      <c r="Q57" t="n">
        <v>1</v>
      </c>
      <c r="R57" s="2" t="inlineStr">
        <is>
          <t>Fläcknycklar</t>
        </is>
      </c>
      <c r="S57">
        <f>HYPERLINK("https://klasma.github.io/Logging_2061/artfynd/A 32954-2024 artfynd.xlsx", "A 32954-2024")</f>
        <v/>
      </c>
      <c r="T57">
        <f>HYPERLINK("https://klasma.github.io/Logging_2061/kartor/A 32954-2024 karta.png", "A 32954-2024")</f>
        <v/>
      </c>
      <c r="V57">
        <f>HYPERLINK("https://klasma.github.io/Logging_2061/klagomål/A 32954-2024 FSC-klagomål.docx", "A 32954-2024")</f>
        <v/>
      </c>
      <c r="W57">
        <f>HYPERLINK("https://klasma.github.io/Logging_2061/klagomålsmail/A 32954-2024 FSC-klagomål mail.docx", "A 32954-2024")</f>
        <v/>
      </c>
      <c r="X57">
        <f>HYPERLINK("https://klasma.github.io/Logging_2061/tillsyn/A 32954-2024 tillsynsbegäran.docx", "A 32954-2024")</f>
        <v/>
      </c>
      <c r="Y57">
        <f>HYPERLINK("https://klasma.github.io/Logging_2061/tillsynsmail/A 32954-2024 tillsynsbegäran mail.docx", "A 32954-2024")</f>
        <v/>
      </c>
    </row>
    <row r="58" ht="15" customHeight="1">
      <c r="A58" t="inlineStr">
        <is>
          <t>A 34942-2024</t>
        </is>
      </c>
      <c r="B58" s="1" t="n">
        <v>45527</v>
      </c>
      <c r="C58" s="1" t="n">
        <v>45718</v>
      </c>
      <c r="D58" t="inlineStr">
        <is>
          <t>DALARNAS LÄN</t>
        </is>
      </c>
      <c r="E58" t="inlineStr">
        <is>
          <t>SMEDJEBACKEN</t>
        </is>
      </c>
      <c r="G58" t="n">
        <v>11</v>
      </c>
      <c r="H58" t="n">
        <v>0</v>
      </c>
      <c r="I58" t="n">
        <v>0</v>
      </c>
      <c r="J58" t="n">
        <v>1</v>
      </c>
      <c r="K58" t="n">
        <v>0</v>
      </c>
      <c r="L58" t="n">
        <v>0</v>
      </c>
      <c r="M58" t="n">
        <v>0</v>
      </c>
      <c r="N58" t="n">
        <v>0</v>
      </c>
      <c r="O58" t="n">
        <v>1</v>
      </c>
      <c r="P58" t="n">
        <v>0</v>
      </c>
      <c r="Q58" t="n">
        <v>1</v>
      </c>
      <c r="R58" s="2" t="inlineStr">
        <is>
          <t>Skogsklocka</t>
        </is>
      </c>
      <c r="S58">
        <f>HYPERLINK("https://klasma.github.io/Logging_2061/artfynd/A 34942-2024 artfynd.xlsx", "A 34942-2024")</f>
        <v/>
      </c>
      <c r="T58">
        <f>HYPERLINK("https://klasma.github.io/Logging_2061/kartor/A 34942-2024 karta.png", "A 34942-2024")</f>
        <v/>
      </c>
      <c r="V58">
        <f>HYPERLINK("https://klasma.github.io/Logging_2061/klagomål/A 34942-2024 FSC-klagomål.docx", "A 34942-2024")</f>
        <v/>
      </c>
      <c r="W58">
        <f>HYPERLINK("https://klasma.github.io/Logging_2061/klagomålsmail/A 34942-2024 FSC-klagomål mail.docx", "A 34942-2024")</f>
        <v/>
      </c>
      <c r="X58">
        <f>HYPERLINK("https://klasma.github.io/Logging_2061/tillsyn/A 34942-2024 tillsynsbegäran.docx", "A 34942-2024")</f>
        <v/>
      </c>
      <c r="Y58">
        <f>HYPERLINK("https://klasma.github.io/Logging_2061/tillsynsmail/A 34942-2024 tillsynsbegäran mail.docx", "A 34942-2024")</f>
        <v/>
      </c>
    </row>
    <row r="59" ht="15" customHeight="1">
      <c r="A59" t="inlineStr">
        <is>
          <t>A 37313-2024</t>
        </is>
      </c>
      <c r="B59" s="1" t="n">
        <v>45540</v>
      </c>
      <c r="C59" s="1" t="n">
        <v>45718</v>
      </c>
      <c r="D59" t="inlineStr">
        <is>
          <t>DALARNAS LÄN</t>
        </is>
      </c>
      <c r="E59" t="inlineStr">
        <is>
          <t>SMEDJEBACKEN</t>
        </is>
      </c>
      <c r="F59" t="inlineStr">
        <is>
          <t>Bergvik skog väst AB</t>
        </is>
      </c>
      <c r="G59" t="n">
        <v>46.5</v>
      </c>
      <c r="H59" t="n">
        <v>0</v>
      </c>
      <c r="I59" t="n">
        <v>1</v>
      </c>
      <c r="J59" t="n">
        <v>0</v>
      </c>
      <c r="K59" t="n">
        <v>0</v>
      </c>
      <c r="L59" t="n">
        <v>0</v>
      </c>
      <c r="M59" t="n">
        <v>0</v>
      </c>
      <c r="N59" t="n">
        <v>0</v>
      </c>
      <c r="O59" t="n">
        <v>0</v>
      </c>
      <c r="P59" t="n">
        <v>0</v>
      </c>
      <c r="Q59" t="n">
        <v>1</v>
      </c>
      <c r="R59" s="2" t="inlineStr">
        <is>
          <t>Fjällig taggsvamp s.str.</t>
        </is>
      </c>
      <c r="S59">
        <f>HYPERLINK("https://klasma.github.io/Logging_2061/artfynd/A 37313-2024 artfynd.xlsx", "A 37313-2024")</f>
        <v/>
      </c>
      <c r="T59">
        <f>HYPERLINK("https://klasma.github.io/Logging_2061/kartor/A 37313-2024 karta.png", "A 37313-2024")</f>
        <v/>
      </c>
      <c r="V59">
        <f>HYPERLINK("https://klasma.github.io/Logging_2061/klagomål/A 37313-2024 FSC-klagomål.docx", "A 37313-2024")</f>
        <v/>
      </c>
      <c r="W59">
        <f>HYPERLINK("https://klasma.github.io/Logging_2061/klagomålsmail/A 37313-2024 FSC-klagomål mail.docx", "A 37313-2024")</f>
        <v/>
      </c>
      <c r="X59">
        <f>HYPERLINK("https://klasma.github.io/Logging_2061/tillsyn/A 37313-2024 tillsynsbegäran.docx", "A 37313-2024")</f>
        <v/>
      </c>
      <c r="Y59">
        <f>HYPERLINK("https://klasma.github.io/Logging_2061/tillsynsmail/A 37313-2024 tillsynsbegäran mail.docx", "A 37313-2024")</f>
        <v/>
      </c>
    </row>
    <row r="60" ht="15" customHeight="1">
      <c r="A60" t="inlineStr">
        <is>
          <t>A 45577-2024</t>
        </is>
      </c>
      <c r="B60" s="1" t="n">
        <v>45579</v>
      </c>
      <c r="C60" s="1" t="n">
        <v>45718</v>
      </c>
      <c r="D60" t="inlineStr">
        <is>
          <t>DALARNAS LÄN</t>
        </is>
      </c>
      <c r="E60" t="inlineStr">
        <is>
          <t>SMEDJEBACKEN</t>
        </is>
      </c>
      <c r="F60" t="inlineStr">
        <is>
          <t>Sveaskog</t>
        </is>
      </c>
      <c r="G60" t="n">
        <v>18.6</v>
      </c>
      <c r="H60" t="n">
        <v>1</v>
      </c>
      <c r="I60" t="n">
        <v>0</v>
      </c>
      <c r="J60" t="n">
        <v>0</v>
      </c>
      <c r="K60" t="n">
        <v>0</v>
      </c>
      <c r="L60" t="n">
        <v>0</v>
      </c>
      <c r="M60" t="n">
        <v>0</v>
      </c>
      <c r="N60" t="n">
        <v>0</v>
      </c>
      <c r="O60" t="n">
        <v>0</v>
      </c>
      <c r="P60" t="n">
        <v>0</v>
      </c>
      <c r="Q60" t="n">
        <v>1</v>
      </c>
      <c r="R60" s="2" t="inlineStr">
        <is>
          <t>Tjäder</t>
        </is>
      </c>
      <c r="S60">
        <f>HYPERLINK("https://klasma.github.io/Logging_2061/artfynd/A 45577-2024 artfynd.xlsx", "A 45577-2024")</f>
        <v/>
      </c>
      <c r="T60">
        <f>HYPERLINK("https://klasma.github.io/Logging_2061/kartor/A 45577-2024 karta.png", "A 45577-2024")</f>
        <v/>
      </c>
      <c r="V60">
        <f>HYPERLINK("https://klasma.github.io/Logging_2061/klagomål/A 45577-2024 FSC-klagomål.docx", "A 45577-2024")</f>
        <v/>
      </c>
      <c r="W60">
        <f>HYPERLINK("https://klasma.github.io/Logging_2061/klagomålsmail/A 45577-2024 FSC-klagomål mail.docx", "A 45577-2024")</f>
        <v/>
      </c>
      <c r="X60">
        <f>HYPERLINK("https://klasma.github.io/Logging_2061/tillsyn/A 45577-2024 tillsynsbegäran.docx", "A 45577-2024")</f>
        <v/>
      </c>
      <c r="Y60">
        <f>HYPERLINK("https://klasma.github.io/Logging_2061/tillsynsmail/A 45577-2024 tillsynsbegäran mail.docx", "A 45577-2024")</f>
        <v/>
      </c>
      <c r="Z60">
        <f>HYPERLINK("https://klasma.github.io/Logging_2061/fåglar/A 45577-2024 prioriterade fågelarter.docx", "A 45577-2024")</f>
        <v/>
      </c>
    </row>
    <row r="61" ht="15" customHeight="1">
      <c r="A61" t="inlineStr">
        <is>
          <t>A 52242-2024</t>
        </is>
      </c>
      <c r="B61" s="1" t="n">
        <v>45607</v>
      </c>
      <c r="C61" s="1" t="n">
        <v>45718</v>
      </c>
      <c r="D61" t="inlineStr">
        <is>
          <t>DALARNAS LÄN</t>
        </is>
      </c>
      <c r="E61" t="inlineStr">
        <is>
          <t>SMEDJEBACKEN</t>
        </is>
      </c>
      <c r="F61" t="inlineStr">
        <is>
          <t>Bergvik skog väst AB</t>
        </is>
      </c>
      <c r="G61" t="n">
        <v>26.2</v>
      </c>
      <c r="H61" t="n">
        <v>1</v>
      </c>
      <c r="I61" t="n">
        <v>0</v>
      </c>
      <c r="J61" t="n">
        <v>1</v>
      </c>
      <c r="K61" t="n">
        <v>0</v>
      </c>
      <c r="L61" t="n">
        <v>0</v>
      </c>
      <c r="M61" t="n">
        <v>0</v>
      </c>
      <c r="N61" t="n">
        <v>0</v>
      </c>
      <c r="O61" t="n">
        <v>1</v>
      </c>
      <c r="P61" t="n">
        <v>0</v>
      </c>
      <c r="Q61" t="n">
        <v>1</v>
      </c>
      <c r="R61" s="2" t="inlineStr">
        <is>
          <t>Havsörn</t>
        </is>
      </c>
      <c r="S61">
        <f>HYPERLINK("https://klasma.github.io/Logging_2061/artfynd/A 52242-2024 artfynd.xlsx", "A 52242-2024")</f>
        <v/>
      </c>
      <c r="T61">
        <f>HYPERLINK("https://klasma.github.io/Logging_2061/kartor/A 52242-2024 karta.png", "A 52242-2024")</f>
        <v/>
      </c>
      <c r="V61">
        <f>HYPERLINK("https://klasma.github.io/Logging_2061/klagomål/A 52242-2024 FSC-klagomål.docx", "A 52242-2024")</f>
        <v/>
      </c>
      <c r="W61">
        <f>HYPERLINK("https://klasma.github.io/Logging_2061/klagomålsmail/A 52242-2024 FSC-klagomål mail.docx", "A 52242-2024")</f>
        <v/>
      </c>
      <c r="X61">
        <f>HYPERLINK("https://klasma.github.io/Logging_2061/tillsyn/A 52242-2024 tillsynsbegäran.docx", "A 52242-2024")</f>
        <v/>
      </c>
      <c r="Y61">
        <f>HYPERLINK("https://klasma.github.io/Logging_2061/tillsynsmail/A 52242-2024 tillsynsbegäran mail.docx", "A 52242-2024")</f>
        <v/>
      </c>
      <c r="Z61">
        <f>HYPERLINK("https://klasma.github.io/Logging_2061/fåglar/A 52242-2024 prioriterade fågelarter.docx", "A 52242-2024")</f>
        <v/>
      </c>
    </row>
    <row r="62" ht="15" customHeight="1">
      <c r="A62" t="inlineStr">
        <is>
          <t>A 52601-2024</t>
        </is>
      </c>
      <c r="B62" s="1" t="n">
        <v>45609</v>
      </c>
      <c r="C62" s="1" t="n">
        <v>45718</v>
      </c>
      <c r="D62" t="inlineStr">
        <is>
          <t>DALARNAS LÄN</t>
        </is>
      </c>
      <c r="E62" t="inlineStr">
        <is>
          <t>SMEDJEBACKEN</t>
        </is>
      </c>
      <c r="F62" t="inlineStr">
        <is>
          <t>Bergvik skog väst AB</t>
        </is>
      </c>
      <c r="G62" t="n">
        <v>47.9</v>
      </c>
      <c r="H62" t="n">
        <v>0</v>
      </c>
      <c r="I62" t="n">
        <v>0</v>
      </c>
      <c r="J62" t="n">
        <v>1</v>
      </c>
      <c r="K62" t="n">
        <v>0</v>
      </c>
      <c r="L62" t="n">
        <v>0</v>
      </c>
      <c r="M62" t="n">
        <v>0</v>
      </c>
      <c r="N62" t="n">
        <v>0</v>
      </c>
      <c r="O62" t="n">
        <v>1</v>
      </c>
      <c r="P62" t="n">
        <v>0</v>
      </c>
      <c r="Q62" t="n">
        <v>1</v>
      </c>
      <c r="R62" s="2" t="inlineStr">
        <is>
          <t>Tallticka</t>
        </is>
      </c>
      <c r="S62">
        <f>HYPERLINK("https://klasma.github.io/Logging_2061/artfynd/A 52601-2024 artfynd.xlsx", "A 52601-2024")</f>
        <v/>
      </c>
      <c r="T62">
        <f>HYPERLINK("https://klasma.github.io/Logging_2061/kartor/A 52601-2024 karta.png", "A 52601-2024")</f>
        <v/>
      </c>
      <c r="U62">
        <f>HYPERLINK("https://klasma.github.io/Logging_2061/knärot/A 52601-2024 karta knärot.png", "A 52601-2024")</f>
        <v/>
      </c>
      <c r="V62">
        <f>HYPERLINK("https://klasma.github.io/Logging_2061/klagomål/A 52601-2024 FSC-klagomål.docx", "A 52601-2024")</f>
        <v/>
      </c>
      <c r="W62">
        <f>HYPERLINK("https://klasma.github.io/Logging_2061/klagomålsmail/A 52601-2024 FSC-klagomål mail.docx", "A 52601-2024")</f>
        <v/>
      </c>
      <c r="X62">
        <f>HYPERLINK("https://klasma.github.io/Logging_2061/tillsyn/A 52601-2024 tillsynsbegäran.docx", "A 52601-2024")</f>
        <v/>
      </c>
      <c r="Y62">
        <f>HYPERLINK("https://klasma.github.io/Logging_2061/tillsynsmail/A 52601-2024 tillsynsbegäran mail.docx", "A 52601-2024")</f>
        <v/>
      </c>
    </row>
    <row r="63" ht="15" customHeight="1">
      <c r="A63" t="inlineStr">
        <is>
          <t>A 61916-2024</t>
        </is>
      </c>
      <c r="B63" s="1" t="n">
        <v>45653</v>
      </c>
      <c r="C63" s="1" t="n">
        <v>45718</v>
      </c>
      <c r="D63" t="inlineStr">
        <is>
          <t>DALARNAS LÄN</t>
        </is>
      </c>
      <c r="E63" t="inlineStr">
        <is>
          <t>SMEDJEBACKEN</t>
        </is>
      </c>
      <c r="G63" t="n">
        <v>11.1</v>
      </c>
      <c r="H63" t="n">
        <v>1</v>
      </c>
      <c r="I63" t="n">
        <v>0</v>
      </c>
      <c r="J63" t="n">
        <v>0</v>
      </c>
      <c r="K63" t="n">
        <v>0</v>
      </c>
      <c r="L63" t="n">
        <v>0</v>
      </c>
      <c r="M63" t="n">
        <v>0</v>
      </c>
      <c r="N63" t="n">
        <v>0</v>
      </c>
      <c r="O63" t="n">
        <v>0</v>
      </c>
      <c r="P63" t="n">
        <v>0</v>
      </c>
      <c r="Q63" t="n">
        <v>1</v>
      </c>
      <c r="R63" s="2" t="inlineStr">
        <is>
          <t>Mattlummer</t>
        </is>
      </c>
      <c r="S63">
        <f>HYPERLINK("https://klasma.github.io/Logging_2061/artfynd/A 61916-2024 artfynd.xlsx", "A 61916-2024")</f>
        <v/>
      </c>
      <c r="T63">
        <f>HYPERLINK("https://klasma.github.io/Logging_2061/kartor/A 61916-2024 karta.png", "A 61916-2024")</f>
        <v/>
      </c>
      <c r="V63">
        <f>HYPERLINK("https://klasma.github.io/Logging_2061/klagomål/A 61916-2024 FSC-klagomål.docx", "A 61916-2024")</f>
        <v/>
      </c>
      <c r="W63">
        <f>HYPERLINK("https://klasma.github.io/Logging_2061/klagomålsmail/A 61916-2024 FSC-klagomål mail.docx", "A 61916-2024")</f>
        <v/>
      </c>
      <c r="X63">
        <f>HYPERLINK("https://klasma.github.io/Logging_2061/tillsyn/A 61916-2024 tillsynsbegäran.docx", "A 61916-2024")</f>
        <v/>
      </c>
      <c r="Y63">
        <f>HYPERLINK("https://klasma.github.io/Logging_2061/tillsynsmail/A 61916-2024 tillsynsbegäran mail.docx", "A 61916-2024")</f>
        <v/>
      </c>
    </row>
    <row r="64" ht="15" customHeight="1">
      <c r="A64" t="inlineStr">
        <is>
          <t>A 18701-2019</t>
        </is>
      </c>
      <c r="B64" s="1" t="n">
        <v>43560</v>
      </c>
      <c r="C64" s="1" t="n">
        <v>45718</v>
      </c>
      <c r="D64" t="inlineStr">
        <is>
          <t>DALARNAS LÄN</t>
        </is>
      </c>
      <c r="E64" t="inlineStr">
        <is>
          <t>SMEDJEBACKEN</t>
        </is>
      </c>
      <c r="G64" t="n">
        <v>3.4</v>
      </c>
      <c r="H64" t="n">
        <v>0</v>
      </c>
      <c r="I64" t="n">
        <v>0</v>
      </c>
      <c r="J64" t="n">
        <v>0</v>
      </c>
      <c r="K64" t="n">
        <v>0</v>
      </c>
      <c r="L64" t="n">
        <v>0</v>
      </c>
      <c r="M64" t="n">
        <v>0</v>
      </c>
      <c r="N64" t="n">
        <v>0</v>
      </c>
      <c r="O64" t="n">
        <v>0</v>
      </c>
      <c r="P64" t="n">
        <v>0</v>
      </c>
      <c r="Q64" t="n">
        <v>0</v>
      </c>
      <c r="R64" s="2" t="inlineStr"/>
    </row>
    <row r="65" ht="15" customHeight="1">
      <c r="A65" t="inlineStr">
        <is>
          <t>A 19527-2019</t>
        </is>
      </c>
      <c r="B65" s="1" t="n">
        <v>43565</v>
      </c>
      <c r="C65" s="1" t="n">
        <v>45718</v>
      </c>
      <c r="D65" t="inlineStr">
        <is>
          <t>DALARNAS LÄN</t>
        </is>
      </c>
      <c r="E65" t="inlineStr">
        <is>
          <t>SMEDJEBACKEN</t>
        </is>
      </c>
      <c r="G65" t="n">
        <v>1.8</v>
      </c>
      <c r="H65" t="n">
        <v>0</v>
      </c>
      <c r="I65" t="n">
        <v>0</v>
      </c>
      <c r="J65" t="n">
        <v>0</v>
      </c>
      <c r="K65" t="n">
        <v>0</v>
      </c>
      <c r="L65" t="n">
        <v>0</v>
      </c>
      <c r="M65" t="n">
        <v>0</v>
      </c>
      <c r="N65" t="n">
        <v>0</v>
      </c>
      <c r="O65" t="n">
        <v>0</v>
      </c>
      <c r="P65" t="n">
        <v>0</v>
      </c>
      <c r="Q65" t="n">
        <v>0</v>
      </c>
      <c r="R65" s="2" t="inlineStr"/>
    </row>
    <row r="66" ht="15" customHeight="1">
      <c r="A66" t="inlineStr">
        <is>
          <t>A 22029-2019</t>
        </is>
      </c>
      <c r="B66" s="1" t="n">
        <v>43584</v>
      </c>
      <c r="C66" s="1" t="n">
        <v>45718</v>
      </c>
      <c r="D66" t="inlineStr">
        <is>
          <t>DALARNAS LÄN</t>
        </is>
      </c>
      <c r="E66" t="inlineStr">
        <is>
          <t>SMEDJEBACKEN</t>
        </is>
      </c>
      <c r="G66" t="n">
        <v>3</v>
      </c>
      <c r="H66" t="n">
        <v>0</v>
      </c>
      <c r="I66" t="n">
        <v>0</v>
      </c>
      <c r="J66" t="n">
        <v>0</v>
      </c>
      <c r="K66" t="n">
        <v>0</v>
      </c>
      <c r="L66" t="n">
        <v>0</v>
      </c>
      <c r="M66" t="n">
        <v>0</v>
      </c>
      <c r="N66" t="n">
        <v>0</v>
      </c>
      <c r="O66" t="n">
        <v>0</v>
      </c>
      <c r="P66" t="n">
        <v>0</v>
      </c>
      <c r="Q66" t="n">
        <v>0</v>
      </c>
      <c r="R66" s="2" t="inlineStr"/>
    </row>
    <row r="67" ht="15" customHeight="1">
      <c r="A67" t="inlineStr">
        <is>
          <t>A 23576-2019</t>
        </is>
      </c>
      <c r="B67" s="1" t="n">
        <v>43593</v>
      </c>
      <c r="C67" s="1" t="n">
        <v>45718</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23907-2019</t>
        </is>
      </c>
      <c r="B68" s="1" t="n">
        <v>43595</v>
      </c>
      <c r="C68" s="1" t="n">
        <v>45718</v>
      </c>
      <c r="D68" t="inlineStr">
        <is>
          <t>DALARNAS LÄN</t>
        </is>
      </c>
      <c r="E68" t="inlineStr">
        <is>
          <t>SMEDJEBACKEN</t>
        </is>
      </c>
      <c r="G68" t="n">
        <v>7.2</v>
      </c>
      <c r="H68" t="n">
        <v>0</v>
      </c>
      <c r="I68" t="n">
        <v>0</v>
      </c>
      <c r="J68" t="n">
        <v>0</v>
      </c>
      <c r="K68" t="n">
        <v>0</v>
      </c>
      <c r="L68" t="n">
        <v>0</v>
      </c>
      <c r="M68" t="n">
        <v>0</v>
      </c>
      <c r="N68" t="n">
        <v>0</v>
      </c>
      <c r="O68" t="n">
        <v>0</v>
      </c>
      <c r="P68" t="n">
        <v>0</v>
      </c>
      <c r="Q68" t="n">
        <v>0</v>
      </c>
      <c r="R68" s="2" t="inlineStr"/>
    </row>
    <row r="69" ht="15" customHeight="1">
      <c r="A69" t="inlineStr">
        <is>
          <t>A 25671-2019</t>
        </is>
      </c>
      <c r="B69" s="1" t="n">
        <v>43607</v>
      </c>
      <c r="C69" s="1" t="n">
        <v>45718</v>
      </c>
      <c r="D69" t="inlineStr">
        <is>
          <t>DALARNAS LÄN</t>
        </is>
      </c>
      <c r="E69" t="inlineStr">
        <is>
          <t>SMEDJEBACKEN</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27354-2019</t>
        </is>
      </c>
      <c r="B70" s="1" t="n">
        <v>43616</v>
      </c>
      <c r="C70" s="1" t="n">
        <v>45718</v>
      </c>
      <c r="D70" t="inlineStr">
        <is>
          <t>DALARNAS LÄN</t>
        </is>
      </c>
      <c r="E70" t="inlineStr">
        <is>
          <t>SMEDJEBACKEN</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27345-2019</t>
        </is>
      </c>
      <c r="B71" s="1" t="n">
        <v>43616</v>
      </c>
      <c r="C71" s="1" t="n">
        <v>45718</v>
      </c>
      <c r="D71" t="inlineStr">
        <is>
          <t>DALARNAS LÄN</t>
        </is>
      </c>
      <c r="E71" t="inlineStr">
        <is>
          <t>SMEDJEBACKEN</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27351-2019</t>
        </is>
      </c>
      <c r="B72" s="1" t="n">
        <v>43616</v>
      </c>
      <c r="C72" s="1" t="n">
        <v>45718</v>
      </c>
      <c r="D72" t="inlineStr">
        <is>
          <t>DALARNAS LÄN</t>
        </is>
      </c>
      <c r="E72" t="inlineStr">
        <is>
          <t>SMEDJEBACKEN</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27352-2019</t>
        </is>
      </c>
      <c r="B73" s="1" t="n">
        <v>43616</v>
      </c>
      <c r="C73" s="1" t="n">
        <v>45718</v>
      </c>
      <c r="D73" t="inlineStr">
        <is>
          <t>DALARNAS LÄN</t>
        </is>
      </c>
      <c r="E73" t="inlineStr">
        <is>
          <t>SMEDJEBACKEN</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29124-2019</t>
        </is>
      </c>
      <c r="B74" s="1" t="n">
        <v>43628</v>
      </c>
      <c r="C74" s="1" t="n">
        <v>45718</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29467-2019</t>
        </is>
      </c>
      <c r="B75" s="1" t="n">
        <v>43629</v>
      </c>
      <c r="C75" s="1" t="n">
        <v>45718</v>
      </c>
      <c r="D75" t="inlineStr">
        <is>
          <t>DALARNAS LÄN</t>
        </is>
      </c>
      <c r="E75" t="inlineStr">
        <is>
          <t>SMEDJEBACKEN</t>
        </is>
      </c>
      <c r="G75" t="n">
        <v>2.9</v>
      </c>
      <c r="H75" t="n">
        <v>0</v>
      </c>
      <c r="I75" t="n">
        <v>0</v>
      </c>
      <c r="J75" t="n">
        <v>0</v>
      </c>
      <c r="K75" t="n">
        <v>0</v>
      </c>
      <c r="L75" t="n">
        <v>0</v>
      </c>
      <c r="M75" t="n">
        <v>0</v>
      </c>
      <c r="N75" t="n">
        <v>0</v>
      </c>
      <c r="O75" t="n">
        <v>0</v>
      </c>
      <c r="P75" t="n">
        <v>0</v>
      </c>
      <c r="Q75" t="n">
        <v>0</v>
      </c>
      <c r="R75" s="2" t="inlineStr"/>
    </row>
    <row r="76" ht="15" customHeight="1">
      <c r="A76" t="inlineStr">
        <is>
          <t>A 29661-2019</t>
        </is>
      </c>
      <c r="B76" s="1" t="n">
        <v>43630</v>
      </c>
      <c r="C76" s="1" t="n">
        <v>45718</v>
      </c>
      <c r="D76" t="inlineStr">
        <is>
          <t>DALARNAS LÄN</t>
        </is>
      </c>
      <c r="E76" t="inlineStr">
        <is>
          <t>SMEDJEBACKEN</t>
        </is>
      </c>
      <c r="G76" t="n">
        <v>3.6</v>
      </c>
      <c r="H76" t="n">
        <v>0</v>
      </c>
      <c r="I76" t="n">
        <v>0</v>
      </c>
      <c r="J76" t="n">
        <v>0</v>
      </c>
      <c r="K76" t="n">
        <v>0</v>
      </c>
      <c r="L76" t="n">
        <v>0</v>
      </c>
      <c r="M76" t="n">
        <v>0</v>
      </c>
      <c r="N76" t="n">
        <v>0</v>
      </c>
      <c r="O76" t="n">
        <v>0</v>
      </c>
      <c r="P76" t="n">
        <v>0</v>
      </c>
      <c r="Q76" t="n">
        <v>0</v>
      </c>
      <c r="R76" s="2" t="inlineStr"/>
    </row>
    <row r="77" ht="15" customHeight="1">
      <c r="A77" t="inlineStr">
        <is>
          <t>A 32138-2019</t>
        </is>
      </c>
      <c r="B77" s="1" t="n">
        <v>43643</v>
      </c>
      <c r="C77" s="1" t="n">
        <v>45718</v>
      </c>
      <c r="D77" t="inlineStr">
        <is>
          <t>DALARNAS LÄN</t>
        </is>
      </c>
      <c r="E77" t="inlineStr">
        <is>
          <t>SMEDJEBACKEN</t>
        </is>
      </c>
      <c r="G77" t="n">
        <v>0.8</v>
      </c>
      <c r="H77" t="n">
        <v>0</v>
      </c>
      <c r="I77" t="n">
        <v>0</v>
      </c>
      <c r="J77" t="n">
        <v>0</v>
      </c>
      <c r="K77" t="n">
        <v>0</v>
      </c>
      <c r="L77" t="n">
        <v>0</v>
      </c>
      <c r="M77" t="n">
        <v>0</v>
      </c>
      <c r="N77" t="n">
        <v>0</v>
      </c>
      <c r="O77" t="n">
        <v>0</v>
      </c>
      <c r="P77" t="n">
        <v>0</v>
      </c>
      <c r="Q77" t="n">
        <v>0</v>
      </c>
      <c r="R77" s="2" t="inlineStr"/>
    </row>
    <row r="78" ht="15" customHeight="1">
      <c r="A78" t="inlineStr">
        <is>
          <t>A 32457-2019</t>
        </is>
      </c>
      <c r="B78" s="1" t="n">
        <v>43644</v>
      </c>
      <c r="C78" s="1" t="n">
        <v>45718</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33859-2019</t>
        </is>
      </c>
      <c r="B79" s="1" t="n">
        <v>43652</v>
      </c>
      <c r="C79" s="1" t="n">
        <v>45718</v>
      </c>
      <c r="D79" t="inlineStr">
        <is>
          <t>DALARNAS LÄN</t>
        </is>
      </c>
      <c r="E79" t="inlineStr">
        <is>
          <t>SMEDJEBACKEN</t>
        </is>
      </c>
      <c r="G79" t="n">
        <v>1.4</v>
      </c>
      <c r="H79" t="n">
        <v>0</v>
      </c>
      <c r="I79" t="n">
        <v>0</v>
      </c>
      <c r="J79" t="n">
        <v>0</v>
      </c>
      <c r="K79" t="n">
        <v>0</v>
      </c>
      <c r="L79" t="n">
        <v>0</v>
      </c>
      <c r="M79" t="n">
        <v>0</v>
      </c>
      <c r="N79" t="n">
        <v>0</v>
      </c>
      <c r="O79" t="n">
        <v>0</v>
      </c>
      <c r="P79" t="n">
        <v>0</v>
      </c>
      <c r="Q79" t="n">
        <v>0</v>
      </c>
      <c r="R79" s="2" t="inlineStr"/>
    </row>
    <row r="80" ht="15" customHeight="1">
      <c r="A80" t="inlineStr">
        <is>
          <t>A 37360-2019</t>
        </is>
      </c>
      <c r="B80" s="1" t="n">
        <v>43678</v>
      </c>
      <c r="C80" s="1" t="n">
        <v>45718</v>
      </c>
      <c r="D80" t="inlineStr">
        <is>
          <t>DALARNAS LÄN</t>
        </is>
      </c>
      <c r="E80" t="inlineStr">
        <is>
          <t>SMEDJEBACKEN</t>
        </is>
      </c>
      <c r="G80" t="n">
        <v>1.1</v>
      </c>
      <c r="H80" t="n">
        <v>0</v>
      </c>
      <c r="I80" t="n">
        <v>0</v>
      </c>
      <c r="J80" t="n">
        <v>0</v>
      </c>
      <c r="K80" t="n">
        <v>0</v>
      </c>
      <c r="L80" t="n">
        <v>0</v>
      </c>
      <c r="M80" t="n">
        <v>0</v>
      </c>
      <c r="N80" t="n">
        <v>0</v>
      </c>
      <c r="O80" t="n">
        <v>0</v>
      </c>
      <c r="P80" t="n">
        <v>0</v>
      </c>
      <c r="Q80" t="n">
        <v>0</v>
      </c>
      <c r="R80" s="2" t="inlineStr"/>
    </row>
    <row r="81" ht="15" customHeight="1">
      <c r="A81" t="inlineStr">
        <is>
          <t>A 37368-2019</t>
        </is>
      </c>
      <c r="B81" s="1" t="n">
        <v>43678</v>
      </c>
      <c r="C81" s="1" t="n">
        <v>45718</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38152-2019</t>
        </is>
      </c>
      <c r="B82" s="1" t="n">
        <v>43684</v>
      </c>
      <c r="C82" s="1" t="n">
        <v>45718</v>
      </c>
      <c r="D82" t="inlineStr">
        <is>
          <t>DALARNAS LÄN</t>
        </is>
      </c>
      <c r="E82" t="inlineStr">
        <is>
          <t>SMEDJEBACKEN</t>
        </is>
      </c>
      <c r="G82" t="n">
        <v>2.5</v>
      </c>
      <c r="H82" t="n">
        <v>0</v>
      </c>
      <c r="I82" t="n">
        <v>0</v>
      </c>
      <c r="J82" t="n">
        <v>0</v>
      </c>
      <c r="K82" t="n">
        <v>0</v>
      </c>
      <c r="L82" t="n">
        <v>0</v>
      </c>
      <c r="M82" t="n">
        <v>0</v>
      </c>
      <c r="N82" t="n">
        <v>0</v>
      </c>
      <c r="O82" t="n">
        <v>0</v>
      </c>
      <c r="P82" t="n">
        <v>0</v>
      </c>
      <c r="Q82" t="n">
        <v>0</v>
      </c>
      <c r="R82" s="2" t="inlineStr"/>
    </row>
    <row r="83" ht="15" customHeight="1">
      <c r="A83" t="inlineStr">
        <is>
          <t>A 38149-2019</t>
        </is>
      </c>
      <c r="B83" s="1" t="n">
        <v>43684</v>
      </c>
      <c r="C83" s="1" t="n">
        <v>45718</v>
      </c>
      <c r="D83" t="inlineStr">
        <is>
          <t>DALARNAS LÄN</t>
        </is>
      </c>
      <c r="E83" t="inlineStr">
        <is>
          <t>SMEDJEBACKEN</t>
        </is>
      </c>
      <c r="G83" t="n">
        <v>3.5</v>
      </c>
      <c r="H83" t="n">
        <v>0</v>
      </c>
      <c r="I83" t="n">
        <v>0</v>
      </c>
      <c r="J83" t="n">
        <v>0</v>
      </c>
      <c r="K83" t="n">
        <v>0</v>
      </c>
      <c r="L83" t="n">
        <v>0</v>
      </c>
      <c r="M83" t="n">
        <v>0</v>
      </c>
      <c r="N83" t="n">
        <v>0</v>
      </c>
      <c r="O83" t="n">
        <v>0</v>
      </c>
      <c r="P83" t="n">
        <v>0</v>
      </c>
      <c r="Q83" t="n">
        <v>0</v>
      </c>
      <c r="R83" s="2" t="inlineStr"/>
    </row>
    <row r="84" ht="15" customHeight="1">
      <c r="A84" t="inlineStr">
        <is>
          <t>A 38842-2019</t>
        </is>
      </c>
      <c r="B84" s="1" t="n">
        <v>43689</v>
      </c>
      <c r="C84" s="1" t="n">
        <v>45718</v>
      </c>
      <c r="D84" t="inlineStr">
        <is>
          <t>DALARNAS LÄN</t>
        </is>
      </c>
      <c r="E84" t="inlineStr">
        <is>
          <t>SMEDJEBACKEN</t>
        </is>
      </c>
      <c r="G84" t="n">
        <v>0.6</v>
      </c>
      <c r="H84" t="n">
        <v>0</v>
      </c>
      <c r="I84" t="n">
        <v>0</v>
      </c>
      <c r="J84" t="n">
        <v>0</v>
      </c>
      <c r="K84" t="n">
        <v>0</v>
      </c>
      <c r="L84" t="n">
        <v>0</v>
      </c>
      <c r="M84" t="n">
        <v>0</v>
      </c>
      <c r="N84" t="n">
        <v>0</v>
      </c>
      <c r="O84" t="n">
        <v>0</v>
      </c>
      <c r="P84" t="n">
        <v>0</v>
      </c>
      <c r="Q84" t="n">
        <v>0</v>
      </c>
      <c r="R84" s="2" t="inlineStr"/>
    </row>
    <row r="85" ht="15" customHeight="1">
      <c r="A85" t="inlineStr">
        <is>
          <t>A 40067-2019</t>
        </is>
      </c>
      <c r="B85" s="1" t="n">
        <v>43693</v>
      </c>
      <c r="C85" s="1" t="n">
        <v>45718</v>
      </c>
      <c r="D85" t="inlineStr">
        <is>
          <t>DALARNAS LÄN</t>
        </is>
      </c>
      <c r="E85" t="inlineStr">
        <is>
          <t>SMEDJEBACKEN</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40129-2019</t>
        </is>
      </c>
      <c r="B86" s="1" t="n">
        <v>43693</v>
      </c>
      <c r="C86" s="1" t="n">
        <v>45718</v>
      </c>
      <c r="D86" t="inlineStr">
        <is>
          <t>DALARNAS LÄN</t>
        </is>
      </c>
      <c r="E86" t="inlineStr">
        <is>
          <t>SMEDJEBACKEN</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40828-2019</t>
        </is>
      </c>
      <c r="B87" s="1" t="n">
        <v>43697</v>
      </c>
      <c r="C87" s="1" t="n">
        <v>45718</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41421-2019</t>
        </is>
      </c>
      <c r="B88" s="1" t="n">
        <v>43698</v>
      </c>
      <c r="C88" s="1" t="n">
        <v>45718</v>
      </c>
      <c r="D88" t="inlineStr">
        <is>
          <t>DALARNAS LÄN</t>
        </is>
      </c>
      <c r="E88" t="inlineStr">
        <is>
          <t>SMEDJEBACKEN</t>
        </is>
      </c>
      <c r="F88" t="inlineStr">
        <is>
          <t>Kyrkan</t>
        </is>
      </c>
      <c r="G88" t="n">
        <v>5.8</v>
      </c>
      <c r="H88" t="n">
        <v>0</v>
      </c>
      <c r="I88" t="n">
        <v>0</v>
      </c>
      <c r="J88" t="n">
        <v>0</v>
      </c>
      <c r="K88" t="n">
        <v>0</v>
      </c>
      <c r="L88" t="n">
        <v>0</v>
      </c>
      <c r="M88" t="n">
        <v>0</v>
      </c>
      <c r="N88" t="n">
        <v>0</v>
      </c>
      <c r="O88" t="n">
        <v>0</v>
      </c>
      <c r="P88" t="n">
        <v>0</v>
      </c>
      <c r="Q88" t="n">
        <v>0</v>
      </c>
      <c r="R88" s="2" t="inlineStr"/>
    </row>
    <row r="89" ht="15" customHeight="1">
      <c r="A89" t="inlineStr">
        <is>
          <t>A 41803-2019</t>
        </is>
      </c>
      <c r="B89" s="1" t="n">
        <v>43700</v>
      </c>
      <c r="C89" s="1" t="n">
        <v>45718</v>
      </c>
      <c r="D89" t="inlineStr">
        <is>
          <t>DALARNAS LÄN</t>
        </is>
      </c>
      <c r="E89" t="inlineStr">
        <is>
          <t>SMEDJEBACKEN</t>
        </is>
      </c>
      <c r="G89" t="n">
        <v>4.8</v>
      </c>
      <c r="H89" t="n">
        <v>0</v>
      </c>
      <c r="I89" t="n">
        <v>0</v>
      </c>
      <c r="J89" t="n">
        <v>0</v>
      </c>
      <c r="K89" t="n">
        <v>0</v>
      </c>
      <c r="L89" t="n">
        <v>0</v>
      </c>
      <c r="M89" t="n">
        <v>0</v>
      </c>
      <c r="N89" t="n">
        <v>0</v>
      </c>
      <c r="O89" t="n">
        <v>0</v>
      </c>
      <c r="P89" t="n">
        <v>0</v>
      </c>
      <c r="Q89" t="n">
        <v>0</v>
      </c>
      <c r="R89" s="2" t="inlineStr"/>
    </row>
    <row r="90" ht="15" customHeight="1">
      <c r="A90" t="inlineStr">
        <is>
          <t>A 41986-2019</t>
        </is>
      </c>
      <c r="B90" s="1" t="n">
        <v>43700</v>
      </c>
      <c r="C90" s="1" t="n">
        <v>45718</v>
      </c>
      <c r="D90" t="inlineStr">
        <is>
          <t>DALARNAS LÄN</t>
        </is>
      </c>
      <c r="E90" t="inlineStr">
        <is>
          <t>SMEDJEBACKEN</t>
        </is>
      </c>
      <c r="G90" t="n">
        <v>0.8</v>
      </c>
      <c r="H90" t="n">
        <v>0</v>
      </c>
      <c r="I90" t="n">
        <v>0</v>
      </c>
      <c r="J90" t="n">
        <v>0</v>
      </c>
      <c r="K90" t="n">
        <v>0</v>
      </c>
      <c r="L90" t="n">
        <v>0</v>
      </c>
      <c r="M90" t="n">
        <v>0</v>
      </c>
      <c r="N90" t="n">
        <v>0</v>
      </c>
      <c r="O90" t="n">
        <v>0</v>
      </c>
      <c r="P90" t="n">
        <v>0</v>
      </c>
      <c r="Q90" t="n">
        <v>0</v>
      </c>
      <c r="R90" s="2" t="inlineStr"/>
    </row>
    <row r="91" ht="15" customHeight="1">
      <c r="A91" t="inlineStr">
        <is>
          <t>A 42186-2019</t>
        </is>
      </c>
      <c r="B91" s="1" t="n">
        <v>43703</v>
      </c>
      <c r="C91" s="1" t="n">
        <v>45718</v>
      </c>
      <c r="D91" t="inlineStr">
        <is>
          <t>DALARNAS LÄN</t>
        </is>
      </c>
      <c r="E91" t="inlineStr">
        <is>
          <t>SMEDJEBACKEN</t>
        </is>
      </c>
      <c r="G91" t="n">
        <v>8</v>
      </c>
      <c r="H91" t="n">
        <v>0</v>
      </c>
      <c r="I91" t="n">
        <v>0</v>
      </c>
      <c r="J91" t="n">
        <v>0</v>
      </c>
      <c r="K91" t="n">
        <v>0</v>
      </c>
      <c r="L91" t="n">
        <v>0</v>
      </c>
      <c r="M91" t="n">
        <v>0</v>
      </c>
      <c r="N91" t="n">
        <v>0</v>
      </c>
      <c r="O91" t="n">
        <v>0</v>
      </c>
      <c r="P91" t="n">
        <v>0</v>
      </c>
      <c r="Q91" t="n">
        <v>0</v>
      </c>
      <c r="R91" s="2" t="inlineStr"/>
    </row>
    <row r="92" ht="15" customHeight="1">
      <c r="A92" t="inlineStr">
        <is>
          <t>A 42201-2019</t>
        </is>
      </c>
      <c r="B92" s="1" t="n">
        <v>43703</v>
      </c>
      <c r="C92" s="1" t="n">
        <v>45718</v>
      </c>
      <c r="D92" t="inlineStr">
        <is>
          <t>DALARNAS LÄN</t>
        </is>
      </c>
      <c r="E92" t="inlineStr">
        <is>
          <t>SMEDJEBACKEN</t>
        </is>
      </c>
      <c r="G92" t="n">
        <v>5.4</v>
      </c>
      <c r="H92" t="n">
        <v>0</v>
      </c>
      <c r="I92" t="n">
        <v>0</v>
      </c>
      <c r="J92" t="n">
        <v>0</v>
      </c>
      <c r="K92" t="n">
        <v>0</v>
      </c>
      <c r="L92" t="n">
        <v>0</v>
      </c>
      <c r="M92" t="n">
        <v>0</v>
      </c>
      <c r="N92" t="n">
        <v>0</v>
      </c>
      <c r="O92" t="n">
        <v>0</v>
      </c>
      <c r="P92" t="n">
        <v>0</v>
      </c>
      <c r="Q92" t="n">
        <v>0</v>
      </c>
      <c r="R92" s="2" t="inlineStr"/>
    </row>
    <row r="93" ht="15" customHeight="1">
      <c r="A93" t="inlineStr">
        <is>
          <t>A 42684-2019</t>
        </is>
      </c>
      <c r="B93" s="1" t="n">
        <v>43703</v>
      </c>
      <c r="C93" s="1" t="n">
        <v>45718</v>
      </c>
      <c r="D93" t="inlineStr">
        <is>
          <t>DALARNAS LÄN</t>
        </is>
      </c>
      <c r="E93" t="inlineStr">
        <is>
          <t>SMEDJEBACKEN</t>
        </is>
      </c>
      <c r="G93" t="n">
        <v>1.6</v>
      </c>
      <c r="H93" t="n">
        <v>0</v>
      </c>
      <c r="I93" t="n">
        <v>0</v>
      </c>
      <c r="J93" t="n">
        <v>0</v>
      </c>
      <c r="K93" t="n">
        <v>0</v>
      </c>
      <c r="L93" t="n">
        <v>0</v>
      </c>
      <c r="M93" t="n">
        <v>0</v>
      </c>
      <c r="N93" t="n">
        <v>0</v>
      </c>
      <c r="O93" t="n">
        <v>0</v>
      </c>
      <c r="P93" t="n">
        <v>0</v>
      </c>
      <c r="Q93" t="n">
        <v>0</v>
      </c>
      <c r="R93" s="2" t="inlineStr"/>
    </row>
    <row r="94" ht="15" customHeight="1">
      <c r="A94" t="inlineStr">
        <is>
          <t>A 42576-2019</t>
        </is>
      </c>
      <c r="B94" s="1" t="n">
        <v>43704</v>
      </c>
      <c r="C94" s="1" t="n">
        <v>45718</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43510-2019</t>
        </is>
      </c>
      <c r="B95" s="1" t="n">
        <v>43706</v>
      </c>
      <c r="C95" s="1" t="n">
        <v>45718</v>
      </c>
      <c r="D95" t="inlineStr">
        <is>
          <t>DALARNAS LÄN</t>
        </is>
      </c>
      <c r="E95" t="inlineStr">
        <is>
          <t>SMEDJEBACKEN</t>
        </is>
      </c>
      <c r="G95" t="n">
        <v>1.9</v>
      </c>
      <c r="H95" t="n">
        <v>0</v>
      </c>
      <c r="I95" t="n">
        <v>0</v>
      </c>
      <c r="J95" t="n">
        <v>0</v>
      </c>
      <c r="K95" t="n">
        <v>0</v>
      </c>
      <c r="L95" t="n">
        <v>0</v>
      </c>
      <c r="M95" t="n">
        <v>0</v>
      </c>
      <c r="N95" t="n">
        <v>0</v>
      </c>
      <c r="O95" t="n">
        <v>0</v>
      </c>
      <c r="P95" t="n">
        <v>0</v>
      </c>
      <c r="Q95" t="n">
        <v>0</v>
      </c>
      <c r="R95" s="2" t="inlineStr"/>
    </row>
    <row r="96" ht="15" customHeight="1">
      <c r="A96" t="inlineStr">
        <is>
          <t>A 48238-2019</t>
        </is>
      </c>
      <c r="B96" s="1" t="n">
        <v>43726</v>
      </c>
      <c r="C96" s="1" t="n">
        <v>45718</v>
      </c>
      <c r="D96" t="inlineStr">
        <is>
          <t>DALARNAS LÄN</t>
        </is>
      </c>
      <c r="E96" t="inlineStr">
        <is>
          <t>SMEDJEBACKEN</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48251-2019</t>
        </is>
      </c>
      <c r="B97" s="1" t="n">
        <v>43726</v>
      </c>
      <c r="C97" s="1" t="n">
        <v>45718</v>
      </c>
      <c r="D97" t="inlineStr">
        <is>
          <t>DALARNAS LÄN</t>
        </is>
      </c>
      <c r="E97" t="inlineStr">
        <is>
          <t>SMEDJEBACKEN</t>
        </is>
      </c>
      <c r="G97" t="n">
        <v>5.7</v>
      </c>
      <c r="H97" t="n">
        <v>0</v>
      </c>
      <c r="I97" t="n">
        <v>0</v>
      </c>
      <c r="J97" t="n">
        <v>0</v>
      </c>
      <c r="K97" t="n">
        <v>0</v>
      </c>
      <c r="L97" t="n">
        <v>0</v>
      </c>
      <c r="M97" t="n">
        <v>0</v>
      </c>
      <c r="N97" t="n">
        <v>0</v>
      </c>
      <c r="O97" t="n">
        <v>0</v>
      </c>
      <c r="P97" t="n">
        <v>0</v>
      </c>
      <c r="Q97" t="n">
        <v>0</v>
      </c>
      <c r="R97" s="2" t="inlineStr"/>
    </row>
    <row r="98" ht="15" customHeight="1">
      <c r="A98" t="inlineStr">
        <is>
          <t>A 49122-2019</t>
        </is>
      </c>
      <c r="B98" s="1" t="n">
        <v>43731</v>
      </c>
      <c r="C98" s="1" t="n">
        <v>45718</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49303-2019</t>
        </is>
      </c>
      <c r="B99" s="1" t="n">
        <v>43731</v>
      </c>
      <c r="C99" s="1" t="n">
        <v>45718</v>
      </c>
      <c r="D99" t="inlineStr">
        <is>
          <t>DALARNAS LÄN</t>
        </is>
      </c>
      <c r="E99" t="inlineStr">
        <is>
          <t>SMEDJEBACKEN</t>
        </is>
      </c>
      <c r="G99" t="n">
        <v>2.3</v>
      </c>
      <c r="H99" t="n">
        <v>0</v>
      </c>
      <c r="I99" t="n">
        <v>0</v>
      </c>
      <c r="J99" t="n">
        <v>0</v>
      </c>
      <c r="K99" t="n">
        <v>0</v>
      </c>
      <c r="L99" t="n">
        <v>0</v>
      </c>
      <c r="M99" t="n">
        <v>0</v>
      </c>
      <c r="N99" t="n">
        <v>0</v>
      </c>
      <c r="O99" t="n">
        <v>0</v>
      </c>
      <c r="P99" t="n">
        <v>0</v>
      </c>
      <c r="Q99" t="n">
        <v>0</v>
      </c>
      <c r="R99" s="2" t="inlineStr"/>
    </row>
    <row r="100" ht="15" customHeight="1">
      <c r="A100" t="inlineStr">
        <is>
          <t>A 51146-2019</t>
        </is>
      </c>
      <c r="B100" s="1" t="n">
        <v>43732</v>
      </c>
      <c r="C100" s="1" t="n">
        <v>45718</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52834-2019</t>
        </is>
      </c>
      <c r="B101" s="1" t="n">
        <v>43739</v>
      </c>
      <c r="C101" s="1" t="n">
        <v>45718</v>
      </c>
      <c r="D101" t="inlineStr">
        <is>
          <t>DALARNAS LÄN</t>
        </is>
      </c>
      <c r="E101" t="inlineStr">
        <is>
          <t>SMEDJEBACKEN</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54239-2019</t>
        </is>
      </c>
      <c r="B102" s="1" t="n">
        <v>43745</v>
      </c>
      <c r="C102" s="1" t="n">
        <v>45718</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54273-2019</t>
        </is>
      </c>
      <c r="B103" s="1" t="n">
        <v>43745</v>
      </c>
      <c r="C103" s="1" t="n">
        <v>45718</v>
      </c>
      <c r="D103" t="inlineStr">
        <is>
          <t>DALARNAS LÄN</t>
        </is>
      </c>
      <c r="E103" t="inlineStr">
        <is>
          <t>SMEDJEBACKEN</t>
        </is>
      </c>
      <c r="F103" t="inlineStr">
        <is>
          <t>Bergvik skog väst AB</t>
        </is>
      </c>
      <c r="G103" t="n">
        <v>7.2</v>
      </c>
      <c r="H103" t="n">
        <v>0</v>
      </c>
      <c r="I103" t="n">
        <v>0</v>
      </c>
      <c r="J103" t="n">
        <v>0</v>
      </c>
      <c r="K103" t="n">
        <v>0</v>
      </c>
      <c r="L103" t="n">
        <v>0</v>
      </c>
      <c r="M103" t="n">
        <v>0</v>
      </c>
      <c r="N103" t="n">
        <v>0</v>
      </c>
      <c r="O103" t="n">
        <v>0</v>
      </c>
      <c r="P103" t="n">
        <v>0</v>
      </c>
      <c r="Q103" t="n">
        <v>0</v>
      </c>
      <c r="R103" s="2" t="inlineStr"/>
    </row>
    <row r="104" ht="15" customHeight="1">
      <c r="A104" t="inlineStr">
        <is>
          <t>A 54250-2019</t>
        </is>
      </c>
      <c r="B104" s="1" t="n">
        <v>43745</v>
      </c>
      <c r="C104" s="1" t="n">
        <v>45718</v>
      </c>
      <c r="D104" t="inlineStr">
        <is>
          <t>DALARNAS LÄN</t>
        </is>
      </c>
      <c r="E104" t="inlineStr">
        <is>
          <t>SMEDJEBACKEN</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55370-2019</t>
        </is>
      </c>
      <c r="B105" s="1" t="n">
        <v>43754</v>
      </c>
      <c r="C105" s="1" t="n">
        <v>45718</v>
      </c>
      <c r="D105" t="inlineStr">
        <is>
          <t>DALARNAS LÄN</t>
        </is>
      </c>
      <c r="E105" t="inlineStr">
        <is>
          <t>SMEDJEBACKEN</t>
        </is>
      </c>
      <c r="G105" t="n">
        <v>1.8</v>
      </c>
      <c r="H105" t="n">
        <v>0</v>
      </c>
      <c r="I105" t="n">
        <v>0</v>
      </c>
      <c r="J105" t="n">
        <v>0</v>
      </c>
      <c r="K105" t="n">
        <v>0</v>
      </c>
      <c r="L105" t="n">
        <v>0</v>
      </c>
      <c r="M105" t="n">
        <v>0</v>
      </c>
      <c r="N105" t="n">
        <v>0</v>
      </c>
      <c r="O105" t="n">
        <v>0</v>
      </c>
      <c r="P105" t="n">
        <v>0</v>
      </c>
      <c r="Q105" t="n">
        <v>0</v>
      </c>
      <c r="R105" s="2" t="inlineStr"/>
    </row>
    <row r="106" ht="15" customHeight="1">
      <c r="A106" t="inlineStr">
        <is>
          <t>A 54441-2019</t>
        </is>
      </c>
      <c r="B106" s="1" t="n">
        <v>43754</v>
      </c>
      <c r="C106" s="1" t="n">
        <v>45718</v>
      </c>
      <c r="D106" t="inlineStr">
        <is>
          <t>DALARNAS LÄN</t>
        </is>
      </c>
      <c r="E106" t="inlineStr">
        <is>
          <t>SMEDJEBACKEN</t>
        </is>
      </c>
      <c r="G106" t="n">
        <v>1.7</v>
      </c>
      <c r="H106" t="n">
        <v>0</v>
      </c>
      <c r="I106" t="n">
        <v>0</v>
      </c>
      <c r="J106" t="n">
        <v>0</v>
      </c>
      <c r="K106" t="n">
        <v>0</v>
      </c>
      <c r="L106" t="n">
        <v>0</v>
      </c>
      <c r="M106" t="n">
        <v>0</v>
      </c>
      <c r="N106" t="n">
        <v>0</v>
      </c>
      <c r="O106" t="n">
        <v>0</v>
      </c>
      <c r="P106" t="n">
        <v>0</v>
      </c>
      <c r="Q106" t="n">
        <v>0</v>
      </c>
      <c r="R106" s="2" t="inlineStr"/>
    </row>
    <row r="107" ht="15" customHeight="1">
      <c r="A107" t="inlineStr">
        <is>
          <t>A 55576-2019</t>
        </is>
      </c>
      <c r="B107" s="1" t="n">
        <v>43760</v>
      </c>
      <c r="C107" s="1" t="n">
        <v>45718</v>
      </c>
      <c r="D107" t="inlineStr">
        <is>
          <t>DALARNAS LÄN</t>
        </is>
      </c>
      <c r="E107" t="inlineStr">
        <is>
          <t>SMEDJEBACKEN</t>
        </is>
      </c>
      <c r="F107" t="inlineStr">
        <is>
          <t>Övriga Aktiebolag</t>
        </is>
      </c>
      <c r="G107" t="n">
        <v>5.2</v>
      </c>
      <c r="H107" t="n">
        <v>0</v>
      </c>
      <c r="I107" t="n">
        <v>0</v>
      </c>
      <c r="J107" t="n">
        <v>0</v>
      </c>
      <c r="K107" t="n">
        <v>0</v>
      </c>
      <c r="L107" t="n">
        <v>0</v>
      </c>
      <c r="M107" t="n">
        <v>0</v>
      </c>
      <c r="N107" t="n">
        <v>0</v>
      </c>
      <c r="O107" t="n">
        <v>0</v>
      </c>
      <c r="P107" t="n">
        <v>0</v>
      </c>
      <c r="Q107" t="n">
        <v>0</v>
      </c>
      <c r="R107" s="2" t="inlineStr"/>
    </row>
    <row r="108" ht="15" customHeight="1">
      <c r="A108" t="inlineStr">
        <is>
          <t>A 55633-2019</t>
        </is>
      </c>
      <c r="B108" s="1" t="n">
        <v>43760</v>
      </c>
      <c r="C108" s="1" t="n">
        <v>45718</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57067-2019</t>
        </is>
      </c>
      <c r="B109" s="1" t="n">
        <v>43766</v>
      </c>
      <c r="C109" s="1" t="n">
        <v>45718</v>
      </c>
      <c r="D109" t="inlineStr">
        <is>
          <t>DALARNAS LÄN</t>
        </is>
      </c>
      <c r="E109" t="inlineStr">
        <is>
          <t>SMEDJEBACKEN</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57357-2019</t>
        </is>
      </c>
      <c r="B110" s="1" t="n">
        <v>43767</v>
      </c>
      <c r="C110" s="1" t="n">
        <v>45718</v>
      </c>
      <c r="D110" t="inlineStr">
        <is>
          <t>DALARNAS LÄN</t>
        </is>
      </c>
      <c r="E110" t="inlineStr">
        <is>
          <t>SMEDJEBACKEN</t>
        </is>
      </c>
      <c r="G110" t="n">
        <v>5</v>
      </c>
      <c r="H110" t="n">
        <v>0</v>
      </c>
      <c r="I110" t="n">
        <v>0</v>
      </c>
      <c r="J110" t="n">
        <v>0</v>
      </c>
      <c r="K110" t="n">
        <v>0</v>
      </c>
      <c r="L110" t="n">
        <v>0</v>
      </c>
      <c r="M110" t="n">
        <v>0</v>
      </c>
      <c r="N110" t="n">
        <v>0</v>
      </c>
      <c r="O110" t="n">
        <v>0</v>
      </c>
      <c r="P110" t="n">
        <v>0</v>
      </c>
      <c r="Q110" t="n">
        <v>0</v>
      </c>
      <c r="R110" s="2" t="inlineStr"/>
    </row>
    <row r="111" ht="15" customHeight="1">
      <c r="A111" t="inlineStr">
        <is>
          <t>A 58674-2019</t>
        </is>
      </c>
      <c r="B111" s="1" t="n">
        <v>43773</v>
      </c>
      <c r="C111" s="1" t="n">
        <v>45718</v>
      </c>
      <c r="D111" t="inlineStr">
        <is>
          <t>DALARNAS LÄN</t>
        </is>
      </c>
      <c r="E111" t="inlineStr">
        <is>
          <t>SMEDJEBACKEN</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58603-2019</t>
        </is>
      </c>
      <c r="B112" s="1" t="n">
        <v>43773</v>
      </c>
      <c r="C112" s="1" t="n">
        <v>45718</v>
      </c>
      <c r="D112" t="inlineStr">
        <is>
          <t>DALARNAS LÄN</t>
        </is>
      </c>
      <c r="E112" t="inlineStr">
        <is>
          <t>SMEDJEBACKEN</t>
        </is>
      </c>
      <c r="G112" t="n">
        <v>6.2</v>
      </c>
      <c r="H112" t="n">
        <v>0</v>
      </c>
      <c r="I112" t="n">
        <v>0</v>
      </c>
      <c r="J112" t="n">
        <v>0</v>
      </c>
      <c r="K112" t="n">
        <v>0</v>
      </c>
      <c r="L112" t="n">
        <v>0</v>
      </c>
      <c r="M112" t="n">
        <v>0</v>
      </c>
      <c r="N112" t="n">
        <v>0</v>
      </c>
      <c r="O112" t="n">
        <v>0</v>
      </c>
      <c r="P112" t="n">
        <v>0</v>
      </c>
      <c r="Q112" t="n">
        <v>0</v>
      </c>
      <c r="R112" s="2" t="inlineStr"/>
    </row>
    <row r="113" ht="15" customHeight="1">
      <c r="A113" t="inlineStr">
        <is>
          <t>A 59267-2019</t>
        </is>
      </c>
      <c r="B113" s="1" t="n">
        <v>43775</v>
      </c>
      <c r="C113" s="1" t="n">
        <v>45718</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60095-2019</t>
        </is>
      </c>
      <c r="B114" s="1" t="n">
        <v>43777</v>
      </c>
      <c r="C114" s="1" t="n">
        <v>45718</v>
      </c>
      <c r="D114" t="inlineStr">
        <is>
          <t>DALARNAS LÄN</t>
        </is>
      </c>
      <c r="E114" t="inlineStr">
        <is>
          <t>SMEDJEBACKEN</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60148-2019</t>
        </is>
      </c>
      <c r="B115" s="1" t="n">
        <v>43779</v>
      </c>
      <c r="C115" s="1" t="n">
        <v>45718</v>
      </c>
      <c r="D115" t="inlineStr">
        <is>
          <t>DALARNAS LÄN</t>
        </is>
      </c>
      <c r="E115" t="inlineStr">
        <is>
          <t>SMEDJEBACKEN</t>
        </is>
      </c>
      <c r="G115" t="n">
        <v>2.5</v>
      </c>
      <c r="H115" t="n">
        <v>0</v>
      </c>
      <c r="I115" t="n">
        <v>0</v>
      </c>
      <c r="J115" t="n">
        <v>0</v>
      </c>
      <c r="K115" t="n">
        <v>0</v>
      </c>
      <c r="L115" t="n">
        <v>0</v>
      </c>
      <c r="M115" t="n">
        <v>0</v>
      </c>
      <c r="N115" t="n">
        <v>0</v>
      </c>
      <c r="O115" t="n">
        <v>0</v>
      </c>
      <c r="P115" t="n">
        <v>0</v>
      </c>
      <c r="Q115" t="n">
        <v>0</v>
      </c>
      <c r="R115" s="2" t="inlineStr"/>
    </row>
    <row r="116" ht="15" customHeight="1">
      <c r="A116" t="inlineStr">
        <is>
          <t>A 60421-2019</t>
        </is>
      </c>
      <c r="B116" s="1" t="n">
        <v>43780</v>
      </c>
      <c r="C116" s="1" t="n">
        <v>45718</v>
      </c>
      <c r="D116" t="inlineStr">
        <is>
          <t>DALARNAS LÄN</t>
        </is>
      </c>
      <c r="E116" t="inlineStr">
        <is>
          <t>SMEDJEBACKEN</t>
        </is>
      </c>
      <c r="G116" t="n">
        <v>3.1</v>
      </c>
      <c r="H116" t="n">
        <v>0</v>
      </c>
      <c r="I116" t="n">
        <v>0</v>
      </c>
      <c r="J116" t="n">
        <v>0</v>
      </c>
      <c r="K116" t="n">
        <v>0</v>
      </c>
      <c r="L116" t="n">
        <v>0</v>
      </c>
      <c r="M116" t="n">
        <v>0</v>
      </c>
      <c r="N116" t="n">
        <v>0</v>
      </c>
      <c r="O116" t="n">
        <v>0</v>
      </c>
      <c r="P116" t="n">
        <v>0</v>
      </c>
      <c r="Q116" t="n">
        <v>0</v>
      </c>
      <c r="R116" s="2" t="inlineStr"/>
    </row>
    <row r="117" ht="15" customHeight="1">
      <c r="A117" t="inlineStr">
        <is>
          <t>A 63796-2019</t>
        </is>
      </c>
      <c r="B117" s="1" t="n">
        <v>43795</v>
      </c>
      <c r="C117" s="1" t="n">
        <v>45718</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64705-2019</t>
        </is>
      </c>
      <c r="B118" s="1" t="n">
        <v>43798</v>
      </c>
      <c r="C118" s="1" t="n">
        <v>45718</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45718</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45718</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45718</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45718</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45718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45718</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45718</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45718</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45718</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45718</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45718</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45718</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45718</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45718</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45718</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45718</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45718</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45718</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45718</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45718</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45718</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45718</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45718</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45718</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45718</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45718</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45718</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45718</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45718</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45718</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45718</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45718</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45718</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45718</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45718</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45718</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45718</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45718</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45718</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45718</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45718</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45718</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45718</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45718</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45718</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45718</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45718</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45718</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45718</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45718</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45718</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45718</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45718</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45718</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45718</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45718</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45718</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45718</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45718</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45718</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45718</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45718</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45718</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45718</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45718</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45718</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45718</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45718</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45718</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45718</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45718</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45718</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45718</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45718</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45718</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45718</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45718</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45718</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45718</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45718</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45718</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45718</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45718</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45718</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45718</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45718</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45718</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45718</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45718</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45718</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45718</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45718</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45718</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45718</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45718</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45718</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45718</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45718</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45718</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45718</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45718</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66730-2020</t>
        </is>
      </c>
      <c r="B220" s="1" t="n">
        <v>44179</v>
      </c>
      <c r="C220" s="1" t="n">
        <v>45718</v>
      </c>
      <c r="D220" t="inlineStr">
        <is>
          <t>DALARNAS LÄN</t>
        </is>
      </c>
      <c r="E220" t="inlineStr">
        <is>
          <t>SMEDJEBACKEN</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68784-2020</t>
        </is>
      </c>
      <c r="B221" s="1" t="n">
        <v>44187</v>
      </c>
      <c r="C221" s="1" t="n">
        <v>45718</v>
      </c>
      <c r="D221" t="inlineStr">
        <is>
          <t>DALARNAS LÄN</t>
        </is>
      </c>
      <c r="E221" t="inlineStr">
        <is>
          <t>SMEDJEBACKEN</t>
        </is>
      </c>
      <c r="G221" t="n">
        <v>2.5</v>
      </c>
      <c r="H221" t="n">
        <v>0</v>
      </c>
      <c r="I221" t="n">
        <v>0</v>
      </c>
      <c r="J221" t="n">
        <v>0</v>
      </c>
      <c r="K221" t="n">
        <v>0</v>
      </c>
      <c r="L221" t="n">
        <v>0</v>
      </c>
      <c r="M221" t="n">
        <v>0</v>
      </c>
      <c r="N221" t="n">
        <v>0</v>
      </c>
      <c r="O221" t="n">
        <v>0</v>
      </c>
      <c r="P221" t="n">
        <v>0</v>
      </c>
      <c r="Q221" t="n">
        <v>0</v>
      </c>
      <c r="R221" s="2" t="inlineStr"/>
    </row>
    <row r="222" ht="15" customHeight="1">
      <c r="A222" t="inlineStr">
        <is>
          <t>A 458-2021</t>
        </is>
      </c>
      <c r="B222" s="1" t="n">
        <v>44202</v>
      </c>
      <c r="C222" s="1" t="n">
        <v>45718</v>
      </c>
      <c r="D222" t="inlineStr">
        <is>
          <t>DALARNAS LÄN</t>
        </is>
      </c>
      <c r="E222" t="inlineStr">
        <is>
          <t>SMEDJEBACKEN</t>
        </is>
      </c>
      <c r="G222" t="n">
        <v>3.7</v>
      </c>
      <c r="H222" t="n">
        <v>0</v>
      </c>
      <c r="I222" t="n">
        <v>0</v>
      </c>
      <c r="J222" t="n">
        <v>0</v>
      </c>
      <c r="K222" t="n">
        <v>0</v>
      </c>
      <c r="L222" t="n">
        <v>0</v>
      </c>
      <c r="M222" t="n">
        <v>0</v>
      </c>
      <c r="N222" t="n">
        <v>0</v>
      </c>
      <c r="O222" t="n">
        <v>0</v>
      </c>
      <c r="P222" t="n">
        <v>0</v>
      </c>
      <c r="Q222" t="n">
        <v>0</v>
      </c>
      <c r="R222" s="2" t="inlineStr"/>
    </row>
    <row r="223" ht="15" customHeight="1">
      <c r="A223" t="inlineStr">
        <is>
          <t>A 2296-2021</t>
        </is>
      </c>
      <c r="B223" s="1" t="n">
        <v>44212</v>
      </c>
      <c r="C223" s="1" t="n">
        <v>45718</v>
      </c>
      <c r="D223" t="inlineStr">
        <is>
          <t>DALARNAS LÄN</t>
        </is>
      </c>
      <c r="E223" t="inlineStr">
        <is>
          <t>SMEDJEBACKEN</t>
        </is>
      </c>
      <c r="G223" t="n">
        <v>11.6</v>
      </c>
      <c r="H223" t="n">
        <v>0</v>
      </c>
      <c r="I223" t="n">
        <v>0</v>
      </c>
      <c r="J223" t="n">
        <v>0</v>
      </c>
      <c r="K223" t="n">
        <v>0</v>
      </c>
      <c r="L223" t="n">
        <v>0</v>
      </c>
      <c r="M223" t="n">
        <v>0</v>
      </c>
      <c r="N223" t="n">
        <v>0</v>
      </c>
      <c r="O223" t="n">
        <v>0</v>
      </c>
      <c r="P223" t="n">
        <v>0</v>
      </c>
      <c r="Q223" t="n">
        <v>0</v>
      </c>
      <c r="R223" s="2" t="inlineStr"/>
    </row>
    <row r="224" ht="15" customHeight="1">
      <c r="A224" t="inlineStr">
        <is>
          <t>A 5707-2021</t>
        </is>
      </c>
      <c r="B224" s="1" t="n">
        <v>44230</v>
      </c>
      <c r="C224" s="1" t="n">
        <v>45718</v>
      </c>
      <c r="D224" t="inlineStr">
        <is>
          <t>DALARNAS LÄN</t>
        </is>
      </c>
      <c r="E224" t="inlineStr">
        <is>
          <t>SMEDJEBACKEN</t>
        </is>
      </c>
      <c r="G224" t="n">
        <v>4.7</v>
      </c>
      <c r="H224" t="n">
        <v>0</v>
      </c>
      <c r="I224" t="n">
        <v>0</v>
      </c>
      <c r="J224" t="n">
        <v>0</v>
      </c>
      <c r="K224" t="n">
        <v>0</v>
      </c>
      <c r="L224" t="n">
        <v>0</v>
      </c>
      <c r="M224" t="n">
        <v>0</v>
      </c>
      <c r="N224" t="n">
        <v>0</v>
      </c>
      <c r="O224" t="n">
        <v>0</v>
      </c>
      <c r="P224" t="n">
        <v>0</v>
      </c>
      <c r="Q224" t="n">
        <v>0</v>
      </c>
      <c r="R224" s="2" t="inlineStr"/>
    </row>
    <row r="225" ht="15" customHeight="1">
      <c r="A225" t="inlineStr">
        <is>
          <t>A 5616-2021</t>
        </is>
      </c>
      <c r="B225" s="1" t="n">
        <v>44230</v>
      </c>
      <c r="C225" s="1" t="n">
        <v>45718</v>
      </c>
      <c r="D225" t="inlineStr">
        <is>
          <t>DALARNAS LÄN</t>
        </is>
      </c>
      <c r="E225" t="inlineStr">
        <is>
          <t>SMEDJEBACKEN</t>
        </is>
      </c>
      <c r="G225" t="n">
        <v>5</v>
      </c>
      <c r="H225" t="n">
        <v>0</v>
      </c>
      <c r="I225" t="n">
        <v>0</v>
      </c>
      <c r="J225" t="n">
        <v>0</v>
      </c>
      <c r="K225" t="n">
        <v>0</v>
      </c>
      <c r="L225" t="n">
        <v>0</v>
      </c>
      <c r="M225" t="n">
        <v>0</v>
      </c>
      <c r="N225" t="n">
        <v>0</v>
      </c>
      <c r="O225" t="n">
        <v>0</v>
      </c>
      <c r="P225" t="n">
        <v>0</v>
      </c>
      <c r="Q225" t="n">
        <v>0</v>
      </c>
      <c r="R225" s="2" t="inlineStr"/>
    </row>
    <row r="226" ht="15" customHeight="1">
      <c r="A226" t="inlineStr">
        <is>
          <t>A 6187-2021</t>
        </is>
      </c>
      <c r="B226" s="1" t="n">
        <v>44234</v>
      </c>
      <c r="C226" s="1" t="n">
        <v>45718</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6735-2021</t>
        </is>
      </c>
      <c r="B227" s="1" t="n">
        <v>44236</v>
      </c>
      <c r="C227" s="1" t="n">
        <v>45718</v>
      </c>
      <c r="D227" t="inlineStr">
        <is>
          <t>DALARNAS LÄN</t>
        </is>
      </c>
      <c r="E227" t="inlineStr">
        <is>
          <t>SMEDJEBACKEN</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10997-2021</t>
        </is>
      </c>
      <c r="B228" s="1" t="n">
        <v>44260</v>
      </c>
      <c r="C228" s="1" t="n">
        <v>45718</v>
      </c>
      <c r="D228" t="inlineStr">
        <is>
          <t>DALARNAS LÄN</t>
        </is>
      </c>
      <c r="E228" t="inlineStr">
        <is>
          <t>SMEDJEBACKEN</t>
        </is>
      </c>
      <c r="G228" t="n">
        <v>5.7</v>
      </c>
      <c r="H228" t="n">
        <v>0</v>
      </c>
      <c r="I228" t="n">
        <v>0</v>
      </c>
      <c r="J228" t="n">
        <v>0</v>
      </c>
      <c r="K228" t="n">
        <v>0</v>
      </c>
      <c r="L228" t="n">
        <v>0</v>
      </c>
      <c r="M228" t="n">
        <v>0</v>
      </c>
      <c r="N228" t="n">
        <v>0</v>
      </c>
      <c r="O228" t="n">
        <v>0</v>
      </c>
      <c r="P228" t="n">
        <v>0</v>
      </c>
      <c r="Q228" t="n">
        <v>0</v>
      </c>
      <c r="R228" s="2" t="inlineStr"/>
    </row>
    <row r="229" ht="15" customHeight="1">
      <c r="A229" t="inlineStr">
        <is>
          <t>A 10996-2021</t>
        </is>
      </c>
      <c r="B229" s="1" t="n">
        <v>44260</v>
      </c>
      <c r="C229" s="1" t="n">
        <v>45718</v>
      </c>
      <c r="D229" t="inlineStr">
        <is>
          <t>DALARNAS LÄN</t>
        </is>
      </c>
      <c r="E229" t="inlineStr">
        <is>
          <t>SMEDJEBACKEN</t>
        </is>
      </c>
      <c r="G229" t="n">
        <v>4</v>
      </c>
      <c r="H229" t="n">
        <v>0</v>
      </c>
      <c r="I229" t="n">
        <v>0</v>
      </c>
      <c r="J229" t="n">
        <v>0</v>
      </c>
      <c r="K229" t="n">
        <v>0</v>
      </c>
      <c r="L229" t="n">
        <v>0</v>
      </c>
      <c r="M229" t="n">
        <v>0</v>
      </c>
      <c r="N229" t="n">
        <v>0</v>
      </c>
      <c r="O229" t="n">
        <v>0</v>
      </c>
      <c r="P229" t="n">
        <v>0</v>
      </c>
      <c r="Q229" t="n">
        <v>0</v>
      </c>
      <c r="R229" s="2" t="inlineStr"/>
    </row>
    <row r="230" ht="15" customHeight="1">
      <c r="A230" t="inlineStr">
        <is>
          <t>A 11143-2021</t>
        </is>
      </c>
      <c r="B230" s="1" t="n">
        <v>44261</v>
      </c>
      <c r="C230" s="1" t="n">
        <v>45718</v>
      </c>
      <c r="D230" t="inlineStr">
        <is>
          <t>DALARNAS LÄN</t>
        </is>
      </c>
      <c r="E230" t="inlineStr">
        <is>
          <t>SMEDJEBACKEN</t>
        </is>
      </c>
      <c r="G230" t="n">
        <v>1.9</v>
      </c>
      <c r="H230" t="n">
        <v>0</v>
      </c>
      <c r="I230" t="n">
        <v>0</v>
      </c>
      <c r="J230" t="n">
        <v>0</v>
      </c>
      <c r="K230" t="n">
        <v>0</v>
      </c>
      <c r="L230" t="n">
        <v>0</v>
      </c>
      <c r="M230" t="n">
        <v>0</v>
      </c>
      <c r="N230" t="n">
        <v>0</v>
      </c>
      <c r="O230" t="n">
        <v>0</v>
      </c>
      <c r="P230" t="n">
        <v>0</v>
      </c>
      <c r="Q230" t="n">
        <v>0</v>
      </c>
      <c r="R230" s="2" t="inlineStr"/>
    </row>
    <row r="231" ht="15" customHeight="1">
      <c r="A231" t="inlineStr">
        <is>
          <t>A 11141-2021</t>
        </is>
      </c>
      <c r="B231" s="1" t="n">
        <v>44261</v>
      </c>
      <c r="C231" s="1" t="n">
        <v>45718</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11502-2021</t>
        </is>
      </c>
      <c r="B232" s="1" t="n">
        <v>44264</v>
      </c>
      <c r="C232" s="1" t="n">
        <v>45718</v>
      </c>
      <c r="D232" t="inlineStr">
        <is>
          <t>DALARNAS LÄN</t>
        </is>
      </c>
      <c r="E232" t="inlineStr">
        <is>
          <t>SMEDJEBACKEN</t>
        </is>
      </c>
      <c r="G232" t="n">
        <v>3.9</v>
      </c>
      <c r="H232" t="n">
        <v>0</v>
      </c>
      <c r="I232" t="n">
        <v>0</v>
      </c>
      <c r="J232" t="n">
        <v>0</v>
      </c>
      <c r="K232" t="n">
        <v>0</v>
      </c>
      <c r="L232" t="n">
        <v>0</v>
      </c>
      <c r="M232" t="n">
        <v>0</v>
      </c>
      <c r="N232" t="n">
        <v>0</v>
      </c>
      <c r="O232" t="n">
        <v>0</v>
      </c>
      <c r="P232" t="n">
        <v>0</v>
      </c>
      <c r="Q232" t="n">
        <v>0</v>
      </c>
      <c r="R232" s="2" t="inlineStr"/>
    </row>
    <row r="233" ht="15" customHeight="1">
      <c r="A233" t="inlineStr">
        <is>
          <t>A 11647-2021</t>
        </is>
      </c>
      <c r="B233" s="1" t="n">
        <v>44264</v>
      </c>
      <c r="C233" s="1" t="n">
        <v>45718</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12349-2021</t>
        </is>
      </c>
      <c r="B234" s="1" t="n">
        <v>44267</v>
      </c>
      <c r="C234" s="1" t="n">
        <v>45718</v>
      </c>
      <c r="D234" t="inlineStr">
        <is>
          <t>DALARNAS LÄN</t>
        </is>
      </c>
      <c r="E234" t="inlineStr">
        <is>
          <t>SMEDJEBACKEN</t>
        </is>
      </c>
      <c r="F234" t="inlineStr">
        <is>
          <t>Sveaskog</t>
        </is>
      </c>
      <c r="G234" t="n">
        <v>7.8</v>
      </c>
      <c r="H234" t="n">
        <v>0</v>
      </c>
      <c r="I234" t="n">
        <v>0</v>
      </c>
      <c r="J234" t="n">
        <v>0</v>
      </c>
      <c r="K234" t="n">
        <v>0</v>
      </c>
      <c r="L234" t="n">
        <v>0</v>
      </c>
      <c r="M234" t="n">
        <v>0</v>
      </c>
      <c r="N234" t="n">
        <v>0</v>
      </c>
      <c r="O234" t="n">
        <v>0</v>
      </c>
      <c r="P234" t="n">
        <v>0</v>
      </c>
      <c r="Q234" t="n">
        <v>0</v>
      </c>
      <c r="R234" s="2" t="inlineStr"/>
    </row>
    <row r="235" ht="15" customHeight="1">
      <c r="A235" t="inlineStr">
        <is>
          <t>A 14318-2021</t>
        </is>
      </c>
      <c r="B235" s="1" t="n">
        <v>44278</v>
      </c>
      <c r="C235" s="1" t="n">
        <v>45718</v>
      </c>
      <c r="D235" t="inlineStr">
        <is>
          <t>DALARNAS LÄN</t>
        </is>
      </c>
      <c r="E235" t="inlineStr">
        <is>
          <t>SMEDJEBACKEN</t>
        </is>
      </c>
      <c r="G235" t="n">
        <v>4.6</v>
      </c>
      <c r="H235" t="n">
        <v>0</v>
      </c>
      <c r="I235" t="n">
        <v>0</v>
      </c>
      <c r="J235" t="n">
        <v>0</v>
      </c>
      <c r="K235" t="n">
        <v>0</v>
      </c>
      <c r="L235" t="n">
        <v>0</v>
      </c>
      <c r="M235" t="n">
        <v>0</v>
      </c>
      <c r="N235" t="n">
        <v>0</v>
      </c>
      <c r="O235" t="n">
        <v>0</v>
      </c>
      <c r="P235" t="n">
        <v>0</v>
      </c>
      <c r="Q235" t="n">
        <v>0</v>
      </c>
      <c r="R235" s="2" t="inlineStr"/>
    </row>
    <row r="236" ht="15" customHeight="1">
      <c r="A236" t="inlineStr">
        <is>
          <t>A 15085-2021</t>
        </is>
      </c>
      <c r="B236" s="1" t="n">
        <v>44281</v>
      </c>
      <c r="C236" s="1" t="n">
        <v>45718</v>
      </c>
      <c r="D236" t="inlineStr">
        <is>
          <t>DALARNAS LÄN</t>
        </is>
      </c>
      <c r="E236" t="inlineStr">
        <is>
          <t>SMEDJEBACKEN</t>
        </is>
      </c>
      <c r="G236" t="n">
        <v>7.3</v>
      </c>
      <c r="H236" t="n">
        <v>0</v>
      </c>
      <c r="I236" t="n">
        <v>0</v>
      </c>
      <c r="J236" t="n">
        <v>0</v>
      </c>
      <c r="K236" t="n">
        <v>0</v>
      </c>
      <c r="L236" t="n">
        <v>0</v>
      </c>
      <c r="M236" t="n">
        <v>0</v>
      </c>
      <c r="N236" t="n">
        <v>0</v>
      </c>
      <c r="O236" t="n">
        <v>0</v>
      </c>
      <c r="P236" t="n">
        <v>0</v>
      </c>
      <c r="Q236" t="n">
        <v>0</v>
      </c>
      <c r="R236" s="2" t="inlineStr"/>
    </row>
    <row r="237" ht="15" customHeight="1">
      <c r="A237" t="inlineStr">
        <is>
          <t>A 15331-2021</t>
        </is>
      </c>
      <c r="B237" s="1" t="n">
        <v>44284</v>
      </c>
      <c r="C237" s="1" t="n">
        <v>45718</v>
      </c>
      <c r="D237" t="inlineStr">
        <is>
          <t>DALARNAS LÄN</t>
        </is>
      </c>
      <c r="E237" t="inlineStr">
        <is>
          <t>SMEDJEBACKEN</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15727-2021</t>
        </is>
      </c>
      <c r="B238" s="1" t="n">
        <v>44286</v>
      </c>
      <c r="C238" s="1" t="n">
        <v>45718</v>
      </c>
      <c r="D238" t="inlineStr">
        <is>
          <t>DALARNAS LÄN</t>
        </is>
      </c>
      <c r="E238" t="inlineStr">
        <is>
          <t>SMEDJEBACKEN</t>
        </is>
      </c>
      <c r="G238" t="n">
        <v>1.9</v>
      </c>
      <c r="H238" t="n">
        <v>0</v>
      </c>
      <c r="I238" t="n">
        <v>0</v>
      </c>
      <c r="J238" t="n">
        <v>0</v>
      </c>
      <c r="K238" t="n">
        <v>0</v>
      </c>
      <c r="L238" t="n">
        <v>0</v>
      </c>
      <c r="M238" t="n">
        <v>0</v>
      </c>
      <c r="N238" t="n">
        <v>0</v>
      </c>
      <c r="O238" t="n">
        <v>0</v>
      </c>
      <c r="P238" t="n">
        <v>0</v>
      </c>
      <c r="Q238" t="n">
        <v>0</v>
      </c>
      <c r="R238" s="2" t="inlineStr"/>
    </row>
    <row r="239" ht="15" customHeight="1">
      <c r="A239" t="inlineStr">
        <is>
          <t>A 16129-2021</t>
        </is>
      </c>
      <c r="B239" s="1" t="n">
        <v>44291</v>
      </c>
      <c r="C239" s="1" t="n">
        <v>45718</v>
      </c>
      <c r="D239" t="inlineStr">
        <is>
          <t>DALARNAS LÄN</t>
        </is>
      </c>
      <c r="E239" t="inlineStr">
        <is>
          <t>SMEDJEBACKEN</t>
        </is>
      </c>
      <c r="G239" t="n">
        <v>2.3</v>
      </c>
      <c r="H239" t="n">
        <v>0</v>
      </c>
      <c r="I239" t="n">
        <v>0</v>
      </c>
      <c r="J239" t="n">
        <v>0</v>
      </c>
      <c r="K239" t="n">
        <v>0</v>
      </c>
      <c r="L239" t="n">
        <v>0</v>
      </c>
      <c r="M239" t="n">
        <v>0</v>
      </c>
      <c r="N239" t="n">
        <v>0</v>
      </c>
      <c r="O239" t="n">
        <v>0</v>
      </c>
      <c r="P239" t="n">
        <v>0</v>
      </c>
      <c r="Q239" t="n">
        <v>0</v>
      </c>
      <c r="R239" s="2" t="inlineStr"/>
    </row>
    <row r="240" ht="15" customHeight="1">
      <c r="A240" t="inlineStr">
        <is>
          <t>A 16842-2021</t>
        </is>
      </c>
      <c r="B240" s="1" t="n">
        <v>44295</v>
      </c>
      <c r="C240" s="1" t="n">
        <v>45718</v>
      </c>
      <c r="D240" t="inlineStr">
        <is>
          <t>DALARNAS LÄN</t>
        </is>
      </c>
      <c r="E240" t="inlineStr">
        <is>
          <t>SMEDJEBACKEN</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17115-2021</t>
        </is>
      </c>
      <c r="B241" s="1" t="n">
        <v>44298</v>
      </c>
      <c r="C241" s="1" t="n">
        <v>45718</v>
      </c>
      <c r="D241" t="inlineStr">
        <is>
          <t>DALARNAS LÄN</t>
        </is>
      </c>
      <c r="E241" t="inlineStr">
        <is>
          <t>SMEDJEBACKEN</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17107-2021</t>
        </is>
      </c>
      <c r="B242" s="1" t="n">
        <v>44298</v>
      </c>
      <c r="C242" s="1" t="n">
        <v>45718</v>
      </c>
      <c r="D242" t="inlineStr">
        <is>
          <t>DALARNAS LÄN</t>
        </is>
      </c>
      <c r="E242" t="inlineStr">
        <is>
          <t>SMEDJEBACKEN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17116-2021</t>
        </is>
      </c>
      <c r="B243" s="1" t="n">
        <v>44298</v>
      </c>
      <c r="C243" s="1" t="n">
        <v>45718</v>
      </c>
      <c r="D243" t="inlineStr">
        <is>
          <t>DALARNAS LÄN</t>
        </is>
      </c>
      <c r="E243" t="inlineStr">
        <is>
          <t>SMEDJEBACKEN</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17112-2021</t>
        </is>
      </c>
      <c r="B244" s="1" t="n">
        <v>44298</v>
      </c>
      <c r="C244" s="1" t="n">
        <v>45718</v>
      </c>
      <c r="D244" t="inlineStr">
        <is>
          <t>DALARNAS LÄN</t>
        </is>
      </c>
      <c r="E244" t="inlineStr">
        <is>
          <t>SMEDJEBACKEN</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18120-2021</t>
        </is>
      </c>
      <c r="B245" s="1" t="n">
        <v>44302</v>
      </c>
      <c r="C245" s="1" t="n">
        <v>45718</v>
      </c>
      <c r="D245" t="inlineStr">
        <is>
          <t>DALARNAS LÄN</t>
        </is>
      </c>
      <c r="E245" t="inlineStr">
        <is>
          <t>SMEDJEBACKEN</t>
        </is>
      </c>
      <c r="G245" t="n">
        <v>0.9</v>
      </c>
      <c r="H245" t="n">
        <v>0</v>
      </c>
      <c r="I245" t="n">
        <v>0</v>
      </c>
      <c r="J245" t="n">
        <v>0</v>
      </c>
      <c r="K245" t="n">
        <v>0</v>
      </c>
      <c r="L245" t="n">
        <v>0</v>
      </c>
      <c r="M245" t="n">
        <v>0</v>
      </c>
      <c r="N245" t="n">
        <v>0</v>
      </c>
      <c r="O245" t="n">
        <v>0</v>
      </c>
      <c r="P245" t="n">
        <v>0</v>
      </c>
      <c r="Q245" t="n">
        <v>0</v>
      </c>
      <c r="R245" s="2" t="inlineStr"/>
    </row>
    <row r="246" ht="15" customHeight="1">
      <c r="A246" t="inlineStr">
        <is>
          <t>A 18198-2021</t>
        </is>
      </c>
      <c r="B246" s="1" t="n">
        <v>44302</v>
      </c>
      <c r="C246" s="1" t="n">
        <v>45718</v>
      </c>
      <c r="D246" t="inlineStr">
        <is>
          <t>DALARNAS LÄN</t>
        </is>
      </c>
      <c r="E246" t="inlineStr">
        <is>
          <t>SMEDJEBACKEN</t>
        </is>
      </c>
      <c r="F246" t="inlineStr">
        <is>
          <t>Kyrkan</t>
        </is>
      </c>
      <c r="G246" t="n">
        <v>1.1</v>
      </c>
      <c r="H246" t="n">
        <v>0</v>
      </c>
      <c r="I246" t="n">
        <v>0</v>
      </c>
      <c r="J246" t="n">
        <v>0</v>
      </c>
      <c r="K246" t="n">
        <v>0</v>
      </c>
      <c r="L246" t="n">
        <v>0</v>
      </c>
      <c r="M246" t="n">
        <v>0</v>
      </c>
      <c r="N246" t="n">
        <v>0</v>
      </c>
      <c r="O246" t="n">
        <v>0</v>
      </c>
      <c r="P246" t="n">
        <v>0</v>
      </c>
      <c r="Q246" t="n">
        <v>0</v>
      </c>
      <c r="R246" s="2" t="inlineStr"/>
    </row>
    <row r="247" ht="15" customHeight="1">
      <c r="A247" t="inlineStr">
        <is>
          <t>A 18133-2021</t>
        </is>
      </c>
      <c r="B247" s="1" t="n">
        <v>44302</v>
      </c>
      <c r="C247" s="1" t="n">
        <v>45718</v>
      </c>
      <c r="D247" t="inlineStr">
        <is>
          <t>DALARNAS LÄN</t>
        </is>
      </c>
      <c r="E247" t="inlineStr">
        <is>
          <t>SMEDJEBACKEN</t>
        </is>
      </c>
      <c r="G247" t="n">
        <v>0.7</v>
      </c>
      <c r="H247" t="n">
        <v>0</v>
      </c>
      <c r="I247" t="n">
        <v>0</v>
      </c>
      <c r="J247" t="n">
        <v>0</v>
      </c>
      <c r="K247" t="n">
        <v>0</v>
      </c>
      <c r="L247" t="n">
        <v>0</v>
      </c>
      <c r="M247" t="n">
        <v>0</v>
      </c>
      <c r="N247" t="n">
        <v>0</v>
      </c>
      <c r="O247" t="n">
        <v>0</v>
      </c>
      <c r="P247" t="n">
        <v>0</v>
      </c>
      <c r="Q247" t="n">
        <v>0</v>
      </c>
      <c r="R247" s="2" t="inlineStr"/>
    </row>
    <row r="248" ht="15" customHeight="1">
      <c r="A248" t="inlineStr">
        <is>
          <t>A 18369-2021</t>
        </is>
      </c>
      <c r="B248" s="1" t="n">
        <v>44305</v>
      </c>
      <c r="C248" s="1" t="n">
        <v>45718</v>
      </c>
      <c r="D248" t="inlineStr">
        <is>
          <t>DALARNAS LÄN</t>
        </is>
      </c>
      <c r="E248" t="inlineStr">
        <is>
          <t>SMEDJEBACKEN</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18373-2021</t>
        </is>
      </c>
      <c r="B249" s="1" t="n">
        <v>44305</v>
      </c>
      <c r="C249" s="1" t="n">
        <v>45718</v>
      </c>
      <c r="D249" t="inlineStr">
        <is>
          <t>DALARNAS LÄN</t>
        </is>
      </c>
      <c r="E249" t="inlineStr">
        <is>
          <t>SMEDJEBACKEN</t>
        </is>
      </c>
      <c r="F249" t="inlineStr">
        <is>
          <t>Sveaskog</t>
        </is>
      </c>
      <c r="G249" t="n">
        <v>4.9</v>
      </c>
      <c r="H249" t="n">
        <v>0</v>
      </c>
      <c r="I249" t="n">
        <v>0</v>
      </c>
      <c r="J249" t="n">
        <v>0</v>
      </c>
      <c r="K249" t="n">
        <v>0</v>
      </c>
      <c r="L249" t="n">
        <v>0</v>
      </c>
      <c r="M249" t="n">
        <v>0</v>
      </c>
      <c r="N249" t="n">
        <v>0</v>
      </c>
      <c r="O249" t="n">
        <v>0</v>
      </c>
      <c r="P249" t="n">
        <v>0</v>
      </c>
      <c r="Q249" t="n">
        <v>0</v>
      </c>
      <c r="R249" s="2" t="inlineStr"/>
    </row>
    <row r="250" ht="15" customHeight="1">
      <c r="A250" t="inlineStr">
        <is>
          <t>A 18505-2021</t>
        </is>
      </c>
      <c r="B250" s="1" t="n">
        <v>44306</v>
      </c>
      <c r="C250" s="1" t="n">
        <v>45718</v>
      </c>
      <c r="D250" t="inlineStr">
        <is>
          <t>DALARNAS LÄN</t>
        </is>
      </c>
      <c r="E250" t="inlineStr">
        <is>
          <t>SMEDJEBACKEN</t>
        </is>
      </c>
      <c r="G250" t="n">
        <v>0.8</v>
      </c>
      <c r="H250" t="n">
        <v>0</v>
      </c>
      <c r="I250" t="n">
        <v>0</v>
      </c>
      <c r="J250" t="n">
        <v>0</v>
      </c>
      <c r="K250" t="n">
        <v>0</v>
      </c>
      <c r="L250" t="n">
        <v>0</v>
      </c>
      <c r="M250" t="n">
        <v>0</v>
      </c>
      <c r="N250" t="n">
        <v>0</v>
      </c>
      <c r="O250" t="n">
        <v>0</v>
      </c>
      <c r="P250" t="n">
        <v>0</v>
      </c>
      <c r="Q250" t="n">
        <v>0</v>
      </c>
      <c r="R250" s="2" t="inlineStr"/>
    </row>
    <row r="251" ht="15" customHeight="1">
      <c r="A251" t="inlineStr">
        <is>
          <t>A 18749-2021</t>
        </is>
      </c>
      <c r="B251" s="1" t="n">
        <v>44307</v>
      </c>
      <c r="C251" s="1" t="n">
        <v>45718</v>
      </c>
      <c r="D251" t="inlineStr">
        <is>
          <t>DALARNAS LÄN</t>
        </is>
      </c>
      <c r="E251" t="inlineStr">
        <is>
          <t>SMEDJEBACKEN</t>
        </is>
      </c>
      <c r="F251" t="inlineStr">
        <is>
          <t>Övriga Aktiebolag</t>
        </is>
      </c>
      <c r="G251" t="n">
        <v>10.4</v>
      </c>
      <c r="H251" t="n">
        <v>0</v>
      </c>
      <c r="I251" t="n">
        <v>0</v>
      </c>
      <c r="J251" t="n">
        <v>0</v>
      </c>
      <c r="K251" t="n">
        <v>0</v>
      </c>
      <c r="L251" t="n">
        <v>0</v>
      </c>
      <c r="M251" t="n">
        <v>0</v>
      </c>
      <c r="N251" t="n">
        <v>0</v>
      </c>
      <c r="O251" t="n">
        <v>0</v>
      </c>
      <c r="P251" t="n">
        <v>0</v>
      </c>
      <c r="Q251" t="n">
        <v>0</v>
      </c>
      <c r="R251" s="2" t="inlineStr"/>
    </row>
    <row r="252" ht="15" customHeight="1">
      <c r="A252" t="inlineStr">
        <is>
          <t>A 18968-2021</t>
        </is>
      </c>
      <c r="B252" s="1" t="n">
        <v>44308</v>
      </c>
      <c r="C252" s="1" t="n">
        <v>45718</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19515-2021</t>
        </is>
      </c>
      <c r="B253" s="1" t="n">
        <v>44312</v>
      </c>
      <c r="C253" s="1" t="n">
        <v>45718</v>
      </c>
      <c r="D253" t="inlineStr">
        <is>
          <t>DALARNAS LÄN</t>
        </is>
      </c>
      <c r="E253" t="inlineStr">
        <is>
          <t>SMEDJEBACKEN</t>
        </is>
      </c>
      <c r="G253" t="n">
        <v>1.1</v>
      </c>
      <c r="H253" t="n">
        <v>0</v>
      </c>
      <c r="I253" t="n">
        <v>0</v>
      </c>
      <c r="J253" t="n">
        <v>0</v>
      </c>
      <c r="K253" t="n">
        <v>0</v>
      </c>
      <c r="L253" t="n">
        <v>0</v>
      </c>
      <c r="M253" t="n">
        <v>0</v>
      </c>
      <c r="N253" t="n">
        <v>0</v>
      </c>
      <c r="O253" t="n">
        <v>0</v>
      </c>
      <c r="P253" t="n">
        <v>0</v>
      </c>
      <c r="Q253" t="n">
        <v>0</v>
      </c>
      <c r="R253" s="2" t="inlineStr"/>
    </row>
    <row r="254" ht="15" customHeight="1">
      <c r="A254" t="inlineStr">
        <is>
          <t>A 19519-2021</t>
        </is>
      </c>
      <c r="B254" s="1" t="n">
        <v>44312</v>
      </c>
      <c r="C254" s="1" t="n">
        <v>45718</v>
      </c>
      <c r="D254" t="inlineStr">
        <is>
          <t>DALARNAS LÄN</t>
        </is>
      </c>
      <c r="E254" t="inlineStr">
        <is>
          <t>SMEDJEBACKEN</t>
        </is>
      </c>
      <c r="G254" t="n">
        <v>4.1</v>
      </c>
      <c r="H254" t="n">
        <v>0</v>
      </c>
      <c r="I254" t="n">
        <v>0</v>
      </c>
      <c r="J254" t="n">
        <v>0</v>
      </c>
      <c r="K254" t="n">
        <v>0</v>
      </c>
      <c r="L254" t="n">
        <v>0</v>
      </c>
      <c r="M254" t="n">
        <v>0</v>
      </c>
      <c r="N254" t="n">
        <v>0</v>
      </c>
      <c r="O254" t="n">
        <v>0</v>
      </c>
      <c r="P254" t="n">
        <v>0</v>
      </c>
      <c r="Q254" t="n">
        <v>0</v>
      </c>
      <c r="R254" s="2" t="inlineStr"/>
    </row>
    <row r="255" ht="15" customHeight="1">
      <c r="A255" t="inlineStr">
        <is>
          <t>A 20625-2021</t>
        </is>
      </c>
      <c r="B255" s="1" t="n">
        <v>44316</v>
      </c>
      <c r="C255" s="1" t="n">
        <v>45718</v>
      </c>
      <c r="D255" t="inlineStr">
        <is>
          <t>DALARNAS LÄN</t>
        </is>
      </c>
      <c r="E255" t="inlineStr">
        <is>
          <t>SMEDJEBACKEN</t>
        </is>
      </c>
      <c r="G255" t="n">
        <v>1.5</v>
      </c>
      <c r="H255" t="n">
        <v>0</v>
      </c>
      <c r="I255" t="n">
        <v>0</v>
      </c>
      <c r="J255" t="n">
        <v>0</v>
      </c>
      <c r="K255" t="n">
        <v>0</v>
      </c>
      <c r="L255" t="n">
        <v>0</v>
      </c>
      <c r="M255" t="n">
        <v>0</v>
      </c>
      <c r="N255" t="n">
        <v>0</v>
      </c>
      <c r="O255" t="n">
        <v>0</v>
      </c>
      <c r="P255" t="n">
        <v>0</v>
      </c>
      <c r="Q255" t="n">
        <v>0</v>
      </c>
      <c r="R255" s="2" t="inlineStr"/>
    </row>
    <row r="256" ht="15" customHeight="1">
      <c r="A256" t="inlineStr">
        <is>
          <t>A 20779-2021</t>
        </is>
      </c>
      <c r="B256" s="1" t="n">
        <v>44316</v>
      </c>
      <c r="C256" s="1" t="n">
        <v>45718</v>
      </c>
      <c r="D256" t="inlineStr">
        <is>
          <t>DALARNAS LÄN</t>
        </is>
      </c>
      <c r="E256" t="inlineStr">
        <is>
          <t>SMEDJEBACKEN</t>
        </is>
      </c>
      <c r="G256" t="n">
        <v>5.1</v>
      </c>
      <c r="H256" t="n">
        <v>0</v>
      </c>
      <c r="I256" t="n">
        <v>0</v>
      </c>
      <c r="J256" t="n">
        <v>0</v>
      </c>
      <c r="K256" t="n">
        <v>0</v>
      </c>
      <c r="L256" t="n">
        <v>0</v>
      </c>
      <c r="M256" t="n">
        <v>0</v>
      </c>
      <c r="N256" t="n">
        <v>0</v>
      </c>
      <c r="O256" t="n">
        <v>0</v>
      </c>
      <c r="P256" t="n">
        <v>0</v>
      </c>
      <c r="Q256" t="n">
        <v>0</v>
      </c>
      <c r="R256" s="2" t="inlineStr"/>
    </row>
    <row r="257" ht="15" customHeight="1">
      <c r="A257" t="inlineStr">
        <is>
          <t>A 20790-2021</t>
        </is>
      </c>
      <c r="B257" s="1" t="n">
        <v>44316</v>
      </c>
      <c r="C257" s="1" t="n">
        <v>45718</v>
      </c>
      <c r="D257" t="inlineStr">
        <is>
          <t>DALARNAS LÄN</t>
        </is>
      </c>
      <c r="E257" t="inlineStr">
        <is>
          <t>SMEDJEBACKEN</t>
        </is>
      </c>
      <c r="G257" t="n">
        <v>2</v>
      </c>
      <c r="H257" t="n">
        <v>0</v>
      </c>
      <c r="I257" t="n">
        <v>0</v>
      </c>
      <c r="J257" t="n">
        <v>0</v>
      </c>
      <c r="K257" t="n">
        <v>0</v>
      </c>
      <c r="L257" t="n">
        <v>0</v>
      </c>
      <c r="M257" t="n">
        <v>0</v>
      </c>
      <c r="N257" t="n">
        <v>0</v>
      </c>
      <c r="O257" t="n">
        <v>0</v>
      </c>
      <c r="P257" t="n">
        <v>0</v>
      </c>
      <c r="Q257" t="n">
        <v>0</v>
      </c>
      <c r="R257" s="2" t="inlineStr"/>
    </row>
    <row r="258" ht="15" customHeight="1">
      <c r="A258" t="inlineStr">
        <is>
          <t>A 20990-2021</t>
        </is>
      </c>
      <c r="B258" s="1" t="n">
        <v>44319</v>
      </c>
      <c r="C258" s="1" t="n">
        <v>45718</v>
      </c>
      <c r="D258" t="inlineStr">
        <is>
          <t>DALARNAS LÄN</t>
        </is>
      </c>
      <c r="E258" t="inlineStr">
        <is>
          <t>SMEDJEBACKEN</t>
        </is>
      </c>
      <c r="F258" t="inlineStr">
        <is>
          <t>Kyrkan</t>
        </is>
      </c>
      <c r="G258" t="n">
        <v>1.4</v>
      </c>
      <c r="H258" t="n">
        <v>0</v>
      </c>
      <c r="I258" t="n">
        <v>0</v>
      </c>
      <c r="J258" t="n">
        <v>0</v>
      </c>
      <c r="K258" t="n">
        <v>0</v>
      </c>
      <c r="L258" t="n">
        <v>0</v>
      </c>
      <c r="M258" t="n">
        <v>0</v>
      </c>
      <c r="N258" t="n">
        <v>0</v>
      </c>
      <c r="O258" t="n">
        <v>0</v>
      </c>
      <c r="P258" t="n">
        <v>0</v>
      </c>
      <c r="Q258" t="n">
        <v>0</v>
      </c>
      <c r="R258" s="2" t="inlineStr"/>
    </row>
    <row r="259" ht="15" customHeight="1">
      <c r="A259" t="inlineStr">
        <is>
          <t>A 21429-2021</t>
        </is>
      </c>
      <c r="B259" s="1" t="n">
        <v>44321</v>
      </c>
      <c r="C259" s="1" t="n">
        <v>45718</v>
      </c>
      <c r="D259" t="inlineStr">
        <is>
          <t>DALARNAS LÄN</t>
        </is>
      </c>
      <c r="E259" t="inlineStr">
        <is>
          <t>SMEDJEBACKEN</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21424-2021</t>
        </is>
      </c>
      <c r="B260" s="1" t="n">
        <v>44321</v>
      </c>
      <c r="C260" s="1" t="n">
        <v>45718</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21468-2021</t>
        </is>
      </c>
      <c r="B261" s="1" t="n">
        <v>44321</v>
      </c>
      <c r="C261" s="1" t="n">
        <v>45718</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21414-2021</t>
        </is>
      </c>
      <c r="B262" s="1" t="n">
        <v>44321</v>
      </c>
      <c r="C262" s="1" t="n">
        <v>45718</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21451-2021</t>
        </is>
      </c>
      <c r="B263" s="1" t="n">
        <v>44321</v>
      </c>
      <c r="C263" s="1" t="n">
        <v>45718</v>
      </c>
      <c r="D263" t="inlineStr">
        <is>
          <t>DALARNAS LÄN</t>
        </is>
      </c>
      <c r="E263" t="inlineStr">
        <is>
          <t>SMEDJEBACKEN</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23040-2021</t>
        </is>
      </c>
      <c r="B264" s="1" t="n">
        <v>44329</v>
      </c>
      <c r="C264" s="1" t="n">
        <v>45718</v>
      </c>
      <c r="D264" t="inlineStr">
        <is>
          <t>DALARNAS LÄN</t>
        </is>
      </c>
      <c r="E264" t="inlineStr">
        <is>
          <t>SMEDJEBACKEN</t>
        </is>
      </c>
      <c r="F264" t="inlineStr">
        <is>
          <t>Övriga Aktiebolag</t>
        </is>
      </c>
      <c r="G264" t="n">
        <v>6</v>
      </c>
      <c r="H264" t="n">
        <v>0</v>
      </c>
      <c r="I264" t="n">
        <v>0</v>
      </c>
      <c r="J264" t="n">
        <v>0</v>
      </c>
      <c r="K264" t="n">
        <v>0</v>
      </c>
      <c r="L264" t="n">
        <v>0</v>
      </c>
      <c r="M264" t="n">
        <v>0</v>
      </c>
      <c r="N264" t="n">
        <v>0</v>
      </c>
      <c r="O264" t="n">
        <v>0</v>
      </c>
      <c r="P264" t="n">
        <v>0</v>
      </c>
      <c r="Q264" t="n">
        <v>0</v>
      </c>
      <c r="R264" s="2" t="inlineStr"/>
    </row>
    <row r="265" ht="15" customHeight="1">
      <c r="A265" t="inlineStr">
        <is>
          <t>A 23156-2021</t>
        </is>
      </c>
      <c r="B265" s="1" t="n">
        <v>44332</v>
      </c>
      <c r="C265" s="1" t="n">
        <v>45718</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23233-2021</t>
        </is>
      </c>
      <c r="B266" s="1" t="n">
        <v>44333</v>
      </c>
      <c r="C266" s="1" t="n">
        <v>45718</v>
      </c>
      <c r="D266" t="inlineStr">
        <is>
          <t>DALARNAS LÄN</t>
        </is>
      </c>
      <c r="E266" t="inlineStr">
        <is>
          <t>SMEDJEBACKEN</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23251-2021</t>
        </is>
      </c>
      <c r="B267" s="1" t="n">
        <v>44333</v>
      </c>
      <c r="C267" s="1" t="n">
        <v>45718</v>
      </c>
      <c r="D267" t="inlineStr">
        <is>
          <t>DALARNAS LÄN</t>
        </is>
      </c>
      <c r="E267" t="inlineStr">
        <is>
          <t>SMEDJEBACKEN</t>
        </is>
      </c>
      <c r="F267" t="inlineStr">
        <is>
          <t>Sveaskog</t>
        </is>
      </c>
      <c r="G267" t="n">
        <v>9</v>
      </c>
      <c r="H267" t="n">
        <v>0</v>
      </c>
      <c r="I267" t="n">
        <v>0</v>
      </c>
      <c r="J267" t="n">
        <v>0</v>
      </c>
      <c r="K267" t="n">
        <v>0</v>
      </c>
      <c r="L267" t="n">
        <v>0</v>
      </c>
      <c r="M267" t="n">
        <v>0</v>
      </c>
      <c r="N267" t="n">
        <v>0</v>
      </c>
      <c r="O267" t="n">
        <v>0</v>
      </c>
      <c r="P267" t="n">
        <v>0</v>
      </c>
      <c r="Q267" t="n">
        <v>0</v>
      </c>
      <c r="R267" s="2" t="inlineStr"/>
    </row>
    <row r="268" ht="15" customHeight="1">
      <c r="A268" t="inlineStr">
        <is>
          <t>A 23220-2021</t>
        </is>
      </c>
      <c r="B268" s="1" t="n">
        <v>44333</v>
      </c>
      <c r="C268" s="1" t="n">
        <v>45718</v>
      </c>
      <c r="D268" t="inlineStr">
        <is>
          <t>DALARNAS LÄN</t>
        </is>
      </c>
      <c r="E268" t="inlineStr">
        <is>
          <t>SMEDJEBACKEN</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23257-2021</t>
        </is>
      </c>
      <c r="B269" s="1" t="n">
        <v>44333</v>
      </c>
      <c r="C269" s="1" t="n">
        <v>45718</v>
      </c>
      <c r="D269" t="inlineStr">
        <is>
          <t>DALARNAS LÄN</t>
        </is>
      </c>
      <c r="E269" t="inlineStr">
        <is>
          <t>SMEDJEBACKEN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25366-2021</t>
        </is>
      </c>
      <c r="B270" s="1" t="n">
        <v>44342</v>
      </c>
      <c r="C270" s="1" t="n">
        <v>45718</v>
      </c>
      <c r="D270" t="inlineStr">
        <is>
          <t>DALARNAS LÄN</t>
        </is>
      </c>
      <c r="E270" t="inlineStr">
        <is>
          <t>SMEDJEBACKEN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25361-2021</t>
        </is>
      </c>
      <c r="B271" s="1" t="n">
        <v>44342</v>
      </c>
      <c r="C271" s="1" t="n">
        <v>45718</v>
      </c>
      <c r="D271" t="inlineStr">
        <is>
          <t>DALARNAS LÄN</t>
        </is>
      </c>
      <c r="E271" t="inlineStr">
        <is>
          <t>SMEDJEBACKEN</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25419-2021</t>
        </is>
      </c>
      <c r="B272" s="1" t="n">
        <v>44342</v>
      </c>
      <c r="C272" s="1" t="n">
        <v>45718</v>
      </c>
      <c r="D272" t="inlineStr">
        <is>
          <t>DALARNAS LÄN</t>
        </is>
      </c>
      <c r="E272" t="inlineStr">
        <is>
          <t>SMEDJEBACKEN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25437-2021</t>
        </is>
      </c>
      <c r="B273" s="1" t="n">
        <v>44342</v>
      </c>
      <c r="C273" s="1" t="n">
        <v>45718</v>
      </c>
      <c r="D273" t="inlineStr">
        <is>
          <t>DALARNAS LÄN</t>
        </is>
      </c>
      <c r="E273" t="inlineStr">
        <is>
          <t>SMEDJEBACKEN</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25430-2021</t>
        </is>
      </c>
      <c r="B274" s="1" t="n">
        <v>44342</v>
      </c>
      <c r="C274" s="1" t="n">
        <v>45718</v>
      </c>
      <c r="D274" t="inlineStr">
        <is>
          <t>DALARNAS LÄN</t>
        </is>
      </c>
      <c r="E274" t="inlineStr">
        <is>
          <t>SMEDJEBACKEN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27621-2021</t>
        </is>
      </c>
      <c r="B275" s="1" t="n">
        <v>44354</v>
      </c>
      <c r="C275" s="1" t="n">
        <v>45718</v>
      </c>
      <c r="D275" t="inlineStr">
        <is>
          <t>DALARNAS LÄN</t>
        </is>
      </c>
      <c r="E275" t="inlineStr">
        <is>
          <t>SMEDJEBACKEN</t>
        </is>
      </c>
      <c r="G275" t="n">
        <v>4.5</v>
      </c>
      <c r="H275" t="n">
        <v>0</v>
      </c>
      <c r="I275" t="n">
        <v>0</v>
      </c>
      <c r="J275" t="n">
        <v>0</v>
      </c>
      <c r="K275" t="n">
        <v>0</v>
      </c>
      <c r="L275" t="n">
        <v>0</v>
      </c>
      <c r="M275" t="n">
        <v>0</v>
      </c>
      <c r="N275" t="n">
        <v>0</v>
      </c>
      <c r="O275" t="n">
        <v>0</v>
      </c>
      <c r="P275" t="n">
        <v>0</v>
      </c>
      <c r="Q275" t="n">
        <v>0</v>
      </c>
      <c r="R275" s="2" t="inlineStr"/>
    </row>
    <row r="276" ht="15" customHeight="1">
      <c r="A276" t="inlineStr">
        <is>
          <t>A 27611-2021</t>
        </is>
      </c>
      <c r="B276" s="1" t="n">
        <v>44354</v>
      </c>
      <c r="C276" s="1" t="n">
        <v>45718</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28021-2021</t>
        </is>
      </c>
      <c r="B277" s="1" t="n">
        <v>44355</v>
      </c>
      <c r="C277" s="1" t="n">
        <v>45718</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28037-2021</t>
        </is>
      </c>
      <c r="B278" s="1" t="n">
        <v>44355</v>
      </c>
      <c r="C278" s="1" t="n">
        <v>45718</v>
      </c>
      <c r="D278" t="inlineStr">
        <is>
          <t>DALARNAS LÄN</t>
        </is>
      </c>
      <c r="E278" t="inlineStr">
        <is>
          <t>SMEDJEBACKEN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28024-2021</t>
        </is>
      </c>
      <c r="B279" s="1" t="n">
        <v>44355</v>
      </c>
      <c r="C279" s="1" t="n">
        <v>45718</v>
      </c>
      <c r="D279" t="inlineStr">
        <is>
          <t>DALARNAS LÄN</t>
        </is>
      </c>
      <c r="E279" t="inlineStr">
        <is>
          <t>SMEDJEBACKEN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28049-2021</t>
        </is>
      </c>
      <c r="B280" s="1" t="n">
        <v>44355</v>
      </c>
      <c r="C280" s="1" t="n">
        <v>45718</v>
      </c>
      <c r="D280" t="inlineStr">
        <is>
          <t>DALARNAS LÄN</t>
        </is>
      </c>
      <c r="E280" t="inlineStr">
        <is>
          <t>SMEDJEBACKEN</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28008-2021</t>
        </is>
      </c>
      <c r="B281" s="1" t="n">
        <v>44355</v>
      </c>
      <c r="C281" s="1" t="n">
        <v>45718</v>
      </c>
      <c r="D281" t="inlineStr">
        <is>
          <t>DALARNAS LÄN</t>
        </is>
      </c>
      <c r="E281" t="inlineStr">
        <is>
          <t>SMEDJEBACKEN</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28017-2021</t>
        </is>
      </c>
      <c r="B282" s="1" t="n">
        <v>44355</v>
      </c>
      <c r="C282" s="1" t="n">
        <v>45718</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28029-2021</t>
        </is>
      </c>
      <c r="B283" s="1" t="n">
        <v>44355</v>
      </c>
      <c r="C283" s="1" t="n">
        <v>45718</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28041-2021</t>
        </is>
      </c>
      <c r="B284" s="1" t="n">
        <v>44355</v>
      </c>
      <c r="C284" s="1" t="n">
        <v>45718</v>
      </c>
      <c r="D284" t="inlineStr">
        <is>
          <t>DALARNAS LÄN</t>
        </is>
      </c>
      <c r="E284" t="inlineStr">
        <is>
          <t>SMEDJEBACKEN</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28089-2021</t>
        </is>
      </c>
      <c r="B285" s="1" t="n">
        <v>44355</v>
      </c>
      <c r="C285" s="1" t="n">
        <v>45718</v>
      </c>
      <c r="D285" t="inlineStr">
        <is>
          <t>DALARNAS LÄN</t>
        </is>
      </c>
      <c r="E285" t="inlineStr">
        <is>
          <t>SMEDJEBACKEN</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28030-2021</t>
        </is>
      </c>
      <c r="B286" s="1" t="n">
        <v>44355</v>
      </c>
      <c r="C286" s="1" t="n">
        <v>45718</v>
      </c>
      <c r="D286" t="inlineStr">
        <is>
          <t>DALARNAS LÄN</t>
        </is>
      </c>
      <c r="E286" t="inlineStr">
        <is>
          <t>SMEDJEBACKEN</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28675-2021</t>
        </is>
      </c>
      <c r="B287" s="1" t="n">
        <v>44357</v>
      </c>
      <c r="C287" s="1" t="n">
        <v>45718</v>
      </c>
      <c r="D287" t="inlineStr">
        <is>
          <t>DALARNAS LÄN</t>
        </is>
      </c>
      <c r="E287" t="inlineStr">
        <is>
          <t>SMEDJEBACKEN</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30907-2021</t>
        </is>
      </c>
      <c r="B288" s="1" t="n">
        <v>44365</v>
      </c>
      <c r="C288" s="1" t="n">
        <v>45718</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32130-2021</t>
        </is>
      </c>
      <c r="B289" s="1" t="n">
        <v>44371</v>
      </c>
      <c r="C289" s="1" t="n">
        <v>45718</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32985-2021</t>
        </is>
      </c>
      <c r="B290" s="1" t="n">
        <v>44376</v>
      </c>
      <c r="C290" s="1" t="n">
        <v>45718</v>
      </c>
      <c r="D290" t="inlineStr">
        <is>
          <t>DALARNAS LÄN</t>
        </is>
      </c>
      <c r="E290" t="inlineStr">
        <is>
          <t>SMEDJEBACKEN</t>
        </is>
      </c>
      <c r="G290" t="n">
        <v>5</v>
      </c>
      <c r="H290" t="n">
        <v>0</v>
      </c>
      <c r="I290" t="n">
        <v>0</v>
      </c>
      <c r="J290" t="n">
        <v>0</v>
      </c>
      <c r="K290" t="n">
        <v>0</v>
      </c>
      <c r="L290" t="n">
        <v>0</v>
      </c>
      <c r="M290" t="n">
        <v>0</v>
      </c>
      <c r="N290" t="n">
        <v>0</v>
      </c>
      <c r="O290" t="n">
        <v>0</v>
      </c>
      <c r="P290" t="n">
        <v>0</v>
      </c>
      <c r="Q290" t="n">
        <v>0</v>
      </c>
      <c r="R290" s="2" t="inlineStr"/>
    </row>
    <row r="291" ht="15" customHeight="1">
      <c r="A291" t="inlineStr">
        <is>
          <t>A 33489-2021</t>
        </is>
      </c>
      <c r="B291" s="1" t="n">
        <v>44377</v>
      </c>
      <c r="C291" s="1" t="n">
        <v>45718</v>
      </c>
      <c r="D291" t="inlineStr">
        <is>
          <t>DALARNAS LÄN</t>
        </is>
      </c>
      <c r="E291" t="inlineStr">
        <is>
          <t>SMEDJEBACKEN</t>
        </is>
      </c>
      <c r="G291" t="n">
        <v>1.8</v>
      </c>
      <c r="H291" t="n">
        <v>0</v>
      </c>
      <c r="I291" t="n">
        <v>0</v>
      </c>
      <c r="J291" t="n">
        <v>0</v>
      </c>
      <c r="K291" t="n">
        <v>0</v>
      </c>
      <c r="L291" t="n">
        <v>0</v>
      </c>
      <c r="M291" t="n">
        <v>0</v>
      </c>
      <c r="N291" t="n">
        <v>0</v>
      </c>
      <c r="O291" t="n">
        <v>0</v>
      </c>
      <c r="P291" t="n">
        <v>0</v>
      </c>
      <c r="Q291" t="n">
        <v>0</v>
      </c>
      <c r="R291" s="2" t="inlineStr"/>
    </row>
    <row r="292" ht="15" customHeight="1">
      <c r="A292" t="inlineStr">
        <is>
          <t>A 34822-2021</t>
        </is>
      </c>
      <c r="B292" s="1" t="n">
        <v>44383</v>
      </c>
      <c r="C292" s="1" t="n">
        <v>45718</v>
      </c>
      <c r="D292" t="inlineStr">
        <is>
          <t>DALARNAS LÄN</t>
        </is>
      </c>
      <c r="E292" t="inlineStr">
        <is>
          <t>SMEDJEBACKEN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36393-2021</t>
        </is>
      </c>
      <c r="B293" s="1" t="n">
        <v>44390</v>
      </c>
      <c r="C293" s="1" t="n">
        <v>45718</v>
      </c>
      <c r="D293" t="inlineStr">
        <is>
          <t>DALARNAS LÄN</t>
        </is>
      </c>
      <c r="E293" t="inlineStr">
        <is>
          <t>SMEDJEBACKEN</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36385-2021</t>
        </is>
      </c>
      <c r="B294" s="1" t="n">
        <v>44390</v>
      </c>
      <c r="C294" s="1" t="n">
        <v>45718</v>
      </c>
      <c r="D294" t="inlineStr">
        <is>
          <t>DALARNAS LÄN</t>
        </is>
      </c>
      <c r="E294" t="inlineStr">
        <is>
          <t>SMEDJEBACKEN</t>
        </is>
      </c>
      <c r="G294" t="n">
        <v>4.2</v>
      </c>
      <c r="H294" t="n">
        <v>0</v>
      </c>
      <c r="I294" t="n">
        <v>0</v>
      </c>
      <c r="J294" t="n">
        <v>0</v>
      </c>
      <c r="K294" t="n">
        <v>0</v>
      </c>
      <c r="L294" t="n">
        <v>0</v>
      </c>
      <c r="M294" t="n">
        <v>0</v>
      </c>
      <c r="N294" t="n">
        <v>0</v>
      </c>
      <c r="O294" t="n">
        <v>0</v>
      </c>
      <c r="P294" t="n">
        <v>0</v>
      </c>
      <c r="Q294" t="n">
        <v>0</v>
      </c>
      <c r="R294" s="2" t="inlineStr"/>
    </row>
    <row r="295" ht="15" customHeight="1">
      <c r="A295" t="inlineStr">
        <is>
          <t>A 36360-2021</t>
        </is>
      </c>
      <c r="B295" s="1" t="n">
        <v>44390</v>
      </c>
      <c r="C295" s="1" t="n">
        <v>45718</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37851-2021</t>
        </is>
      </c>
      <c r="B296" s="1" t="n">
        <v>44403</v>
      </c>
      <c r="C296" s="1" t="n">
        <v>45718</v>
      </c>
      <c r="D296" t="inlineStr">
        <is>
          <t>DALARNAS LÄN</t>
        </is>
      </c>
      <c r="E296" t="inlineStr">
        <is>
          <t>SMEDJEBACKEN</t>
        </is>
      </c>
      <c r="G296" t="n">
        <v>2.9</v>
      </c>
      <c r="H296" t="n">
        <v>0</v>
      </c>
      <c r="I296" t="n">
        <v>0</v>
      </c>
      <c r="J296" t="n">
        <v>0</v>
      </c>
      <c r="K296" t="n">
        <v>0</v>
      </c>
      <c r="L296" t="n">
        <v>0</v>
      </c>
      <c r="M296" t="n">
        <v>0</v>
      </c>
      <c r="N296" t="n">
        <v>0</v>
      </c>
      <c r="O296" t="n">
        <v>0</v>
      </c>
      <c r="P296" t="n">
        <v>0</v>
      </c>
      <c r="Q296" t="n">
        <v>0</v>
      </c>
      <c r="R296" s="2" t="inlineStr"/>
    </row>
    <row r="297" ht="15" customHeight="1">
      <c r="A297" t="inlineStr">
        <is>
          <t>A 38680-2021</t>
        </is>
      </c>
      <c r="B297" s="1" t="n">
        <v>44410</v>
      </c>
      <c r="C297" s="1" t="n">
        <v>45718</v>
      </c>
      <c r="D297" t="inlineStr">
        <is>
          <t>DALARNAS LÄN</t>
        </is>
      </c>
      <c r="E297" t="inlineStr">
        <is>
          <t>SMEDJEBACKEN</t>
        </is>
      </c>
      <c r="G297" t="n">
        <v>0.6</v>
      </c>
      <c r="H297" t="n">
        <v>0</v>
      </c>
      <c r="I297" t="n">
        <v>0</v>
      </c>
      <c r="J297" t="n">
        <v>0</v>
      </c>
      <c r="K297" t="n">
        <v>0</v>
      </c>
      <c r="L297" t="n">
        <v>0</v>
      </c>
      <c r="M297" t="n">
        <v>0</v>
      </c>
      <c r="N297" t="n">
        <v>0</v>
      </c>
      <c r="O297" t="n">
        <v>0</v>
      </c>
      <c r="P297" t="n">
        <v>0</v>
      </c>
      <c r="Q297" t="n">
        <v>0</v>
      </c>
      <c r="R297" s="2" t="inlineStr"/>
    </row>
    <row r="298" ht="15" customHeight="1">
      <c r="A298" t="inlineStr">
        <is>
          <t>A 38800-2021</t>
        </is>
      </c>
      <c r="B298" s="1" t="n">
        <v>44410</v>
      </c>
      <c r="C298" s="1" t="n">
        <v>45718</v>
      </c>
      <c r="D298" t="inlineStr">
        <is>
          <t>DALARNAS LÄN</t>
        </is>
      </c>
      <c r="E298" t="inlineStr">
        <is>
          <t>SMEDJEBACKEN</t>
        </is>
      </c>
      <c r="G298" t="n">
        <v>1.4</v>
      </c>
      <c r="H298" t="n">
        <v>0</v>
      </c>
      <c r="I298" t="n">
        <v>0</v>
      </c>
      <c r="J298" t="n">
        <v>0</v>
      </c>
      <c r="K298" t="n">
        <v>0</v>
      </c>
      <c r="L298" t="n">
        <v>0</v>
      </c>
      <c r="M298" t="n">
        <v>0</v>
      </c>
      <c r="N298" t="n">
        <v>0</v>
      </c>
      <c r="O298" t="n">
        <v>0</v>
      </c>
      <c r="P298" t="n">
        <v>0</v>
      </c>
      <c r="Q298" t="n">
        <v>0</v>
      </c>
      <c r="R298" s="2" t="inlineStr"/>
    </row>
    <row r="299" ht="15" customHeight="1">
      <c r="A299" t="inlineStr">
        <is>
          <t>A 38797-2021</t>
        </is>
      </c>
      <c r="B299" s="1" t="n">
        <v>44410</v>
      </c>
      <c r="C299" s="1" t="n">
        <v>45718</v>
      </c>
      <c r="D299" t="inlineStr">
        <is>
          <t>DALARNAS LÄN</t>
        </is>
      </c>
      <c r="E299" t="inlineStr">
        <is>
          <t>SMEDJEBACKEN</t>
        </is>
      </c>
      <c r="G299" t="n">
        <v>1.5</v>
      </c>
      <c r="H299" t="n">
        <v>0</v>
      </c>
      <c r="I299" t="n">
        <v>0</v>
      </c>
      <c r="J299" t="n">
        <v>0</v>
      </c>
      <c r="K299" t="n">
        <v>0</v>
      </c>
      <c r="L299" t="n">
        <v>0</v>
      </c>
      <c r="M299" t="n">
        <v>0</v>
      </c>
      <c r="N299" t="n">
        <v>0</v>
      </c>
      <c r="O299" t="n">
        <v>0</v>
      </c>
      <c r="P299" t="n">
        <v>0</v>
      </c>
      <c r="Q299" t="n">
        <v>0</v>
      </c>
      <c r="R299" s="2" t="inlineStr"/>
    </row>
    <row r="300" ht="15" customHeight="1">
      <c r="A300" t="inlineStr">
        <is>
          <t>A 38803-2021</t>
        </is>
      </c>
      <c r="B300" s="1" t="n">
        <v>44410</v>
      </c>
      <c r="C300" s="1" t="n">
        <v>45718</v>
      </c>
      <c r="D300" t="inlineStr">
        <is>
          <t>DALARNAS LÄN</t>
        </is>
      </c>
      <c r="E300" t="inlineStr">
        <is>
          <t>SMEDJEBACKEN</t>
        </is>
      </c>
      <c r="G300" t="n">
        <v>0.8</v>
      </c>
      <c r="H300" t="n">
        <v>0</v>
      </c>
      <c r="I300" t="n">
        <v>0</v>
      </c>
      <c r="J300" t="n">
        <v>0</v>
      </c>
      <c r="K300" t="n">
        <v>0</v>
      </c>
      <c r="L300" t="n">
        <v>0</v>
      </c>
      <c r="M300" t="n">
        <v>0</v>
      </c>
      <c r="N300" t="n">
        <v>0</v>
      </c>
      <c r="O300" t="n">
        <v>0</v>
      </c>
      <c r="P300" t="n">
        <v>0</v>
      </c>
      <c r="Q300" t="n">
        <v>0</v>
      </c>
      <c r="R300" s="2" t="inlineStr"/>
    </row>
    <row r="301" ht="15" customHeight="1">
      <c r="A301" t="inlineStr">
        <is>
          <t>A 39085-2021</t>
        </is>
      </c>
      <c r="B301" s="1" t="n">
        <v>44412</v>
      </c>
      <c r="C301" s="1" t="n">
        <v>45718</v>
      </c>
      <c r="D301" t="inlineStr">
        <is>
          <t>DALARNAS LÄN</t>
        </is>
      </c>
      <c r="E301" t="inlineStr">
        <is>
          <t>SMEDJEBACKEN</t>
        </is>
      </c>
      <c r="G301" t="n">
        <v>5.2</v>
      </c>
      <c r="H301" t="n">
        <v>0</v>
      </c>
      <c r="I301" t="n">
        <v>0</v>
      </c>
      <c r="J301" t="n">
        <v>0</v>
      </c>
      <c r="K301" t="n">
        <v>0</v>
      </c>
      <c r="L301" t="n">
        <v>0</v>
      </c>
      <c r="M301" t="n">
        <v>0</v>
      </c>
      <c r="N301" t="n">
        <v>0</v>
      </c>
      <c r="O301" t="n">
        <v>0</v>
      </c>
      <c r="P301" t="n">
        <v>0</v>
      </c>
      <c r="Q301" t="n">
        <v>0</v>
      </c>
      <c r="R301" s="2" t="inlineStr"/>
    </row>
    <row r="302" ht="15" customHeight="1">
      <c r="A302" t="inlineStr">
        <is>
          <t>A 39713-2021</t>
        </is>
      </c>
      <c r="B302" s="1" t="n">
        <v>44414</v>
      </c>
      <c r="C302" s="1" t="n">
        <v>45718</v>
      </c>
      <c r="D302" t="inlineStr">
        <is>
          <t>DALARNAS LÄN</t>
        </is>
      </c>
      <c r="E302" t="inlineStr">
        <is>
          <t>SMEDJEBACKEN</t>
        </is>
      </c>
      <c r="G302" t="n">
        <v>4.1</v>
      </c>
      <c r="H302" t="n">
        <v>0</v>
      </c>
      <c r="I302" t="n">
        <v>0</v>
      </c>
      <c r="J302" t="n">
        <v>0</v>
      </c>
      <c r="K302" t="n">
        <v>0</v>
      </c>
      <c r="L302" t="n">
        <v>0</v>
      </c>
      <c r="M302" t="n">
        <v>0</v>
      </c>
      <c r="N302" t="n">
        <v>0</v>
      </c>
      <c r="O302" t="n">
        <v>0</v>
      </c>
      <c r="P302" t="n">
        <v>0</v>
      </c>
      <c r="Q302" t="n">
        <v>0</v>
      </c>
      <c r="R302" s="2" t="inlineStr"/>
    </row>
    <row r="303" ht="15" customHeight="1">
      <c r="A303" t="inlineStr">
        <is>
          <t>A 39731-2021</t>
        </is>
      </c>
      <c r="B303" s="1" t="n">
        <v>44414</v>
      </c>
      <c r="C303" s="1" t="n">
        <v>45718</v>
      </c>
      <c r="D303" t="inlineStr">
        <is>
          <t>DALARNAS LÄN</t>
        </is>
      </c>
      <c r="E303" t="inlineStr">
        <is>
          <t>SMEDJEBACKEN</t>
        </is>
      </c>
      <c r="G303" t="n">
        <v>3.2</v>
      </c>
      <c r="H303" t="n">
        <v>0</v>
      </c>
      <c r="I303" t="n">
        <v>0</v>
      </c>
      <c r="J303" t="n">
        <v>0</v>
      </c>
      <c r="K303" t="n">
        <v>0</v>
      </c>
      <c r="L303" t="n">
        <v>0</v>
      </c>
      <c r="M303" t="n">
        <v>0</v>
      </c>
      <c r="N303" t="n">
        <v>0</v>
      </c>
      <c r="O303" t="n">
        <v>0</v>
      </c>
      <c r="P303" t="n">
        <v>0</v>
      </c>
      <c r="Q303" t="n">
        <v>0</v>
      </c>
      <c r="R303" s="2" t="inlineStr"/>
    </row>
    <row r="304" ht="15" customHeight="1">
      <c r="A304" t="inlineStr">
        <is>
          <t>A 39719-2021</t>
        </is>
      </c>
      <c r="B304" s="1" t="n">
        <v>44414</v>
      </c>
      <c r="C304" s="1" t="n">
        <v>45718</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39734-2021</t>
        </is>
      </c>
      <c r="B305" s="1" t="n">
        <v>44414</v>
      </c>
      <c r="C305" s="1" t="n">
        <v>45718</v>
      </c>
      <c r="D305" t="inlineStr">
        <is>
          <t>DALARNAS LÄN</t>
        </is>
      </c>
      <c r="E305" t="inlineStr">
        <is>
          <t>SMEDJEBACKEN</t>
        </is>
      </c>
      <c r="G305" t="n">
        <v>4.4</v>
      </c>
      <c r="H305" t="n">
        <v>0</v>
      </c>
      <c r="I305" t="n">
        <v>0</v>
      </c>
      <c r="J305" t="n">
        <v>0</v>
      </c>
      <c r="K305" t="n">
        <v>0</v>
      </c>
      <c r="L305" t="n">
        <v>0</v>
      </c>
      <c r="M305" t="n">
        <v>0</v>
      </c>
      <c r="N305" t="n">
        <v>0</v>
      </c>
      <c r="O305" t="n">
        <v>0</v>
      </c>
      <c r="P305" t="n">
        <v>0</v>
      </c>
      <c r="Q305" t="n">
        <v>0</v>
      </c>
      <c r="R305" s="2" t="inlineStr"/>
    </row>
    <row r="306" ht="15" customHeight="1">
      <c r="A306" t="inlineStr">
        <is>
          <t>A 39726-2021</t>
        </is>
      </c>
      <c r="B306" s="1" t="n">
        <v>44414</v>
      </c>
      <c r="C306" s="1" t="n">
        <v>45718</v>
      </c>
      <c r="D306" t="inlineStr">
        <is>
          <t>DALARNAS LÄN</t>
        </is>
      </c>
      <c r="E306" t="inlineStr">
        <is>
          <t>SMEDJEBACKEN</t>
        </is>
      </c>
      <c r="G306" t="n">
        <v>10.6</v>
      </c>
      <c r="H306" t="n">
        <v>0</v>
      </c>
      <c r="I306" t="n">
        <v>0</v>
      </c>
      <c r="J306" t="n">
        <v>0</v>
      </c>
      <c r="K306" t="n">
        <v>0</v>
      </c>
      <c r="L306" t="n">
        <v>0</v>
      </c>
      <c r="M306" t="n">
        <v>0</v>
      </c>
      <c r="N306" t="n">
        <v>0</v>
      </c>
      <c r="O306" t="n">
        <v>0</v>
      </c>
      <c r="P306" t="n">
        <v>0</v>
      </c>
      <c r="Q306" t="n">
        <v>0</v>
      </c>
      <c r="R306" s="2" t="inlineStr"/>
    </row>
    <row r="307" ht="15" customHeight="1">
      <c r="A307" t="inlineStr">
        <is>
          <t>A 39535-2021</t>
        </is>
      </c>
      <c r="B307" s="1" t="n">
        <v>44416</v>
      </c>
      <c r="C307" s="1" t="n">
        <v>45718</v>
      </c>
      <c r="D307" t="inlineStr">
        <is>
          <t>DALARNAS LÄN</t>
        </is>
      </c>
      <c r="E307" t="inlineStr">
        <is>
          <t>SMEDJEBACKEN</t>
        </is>
      </c>
      <c r="G307" t="n">
        <v>2.6</v>
      </c>
      <c r="H307" t="n">
        <v>0</v>
      </c>
      <c r="I307" t="n">
        <v>0</v>
      </c>
      <c r="J307" t="n">
        <v>0</v>
      </c>
      <c r="K307" t="n">
        <v>0</v>
      </c>
      <c r="L307" t="n">
        <v>0</v>
      </c>
      <c r="M307" t="n">
        <v>0</v>
      </c>
      <c r="N307" t="n">
        <v>0</v>
      </c>
      <c r="O307" t="n">
        <v>0</v>
      </c>
      <c r="P307" t="n">
        <v>0</v>
      </c>
      <c r="Q307" t="n">
        <v>0</v>
      </c>
      <c r="R307" s="2" t="inlineStr"/>
    </row>
    <row r="308" ht="15" customHeight="1">
      <c r="A308" t="inlineStr">
        <is>
          <t>A 39536-2021</t>
        </is>
      </c>
      <c r="B308" s="1" t="n">
        <v>44416</v>
      </c>
      <c r="C308" s="1" t="n">
        <v>45718</v>
      </c>
      <c r="D308" t="inlineStr">
        <is>
          <t>DALARNAS LÄN</t>
        </is>
      </c>
      <c r="E308" t="inlineStr">
        <is>
          <t>SMEDJEBACKEN</t>
        </is>
      </c>
      <c r="G308" t="n">
        <v>5.1</v>
      </c>
      <c r="H308" t="n">
        <v>0</v>
      </c>
      <c r="I308" t="n">
        <v>0</v>
      </c>
      <c r="J308" t="n">
        <v>0</v>
      </c>
      <c r="K308" t="n">
        <v>0</v>
      </c>
      <c r="L308" t="n">
        <v>0</v>
      </c>
      <c r="M308" t="n">
        <v>0</v>
      </c>
      <c r="N308" t="n">
        <v>0</v>
      </c>
      <c r="O308" t="n">
        <v>0</v>
      </c>
      <c r="P308" t="n">
        <v>0</v>
      </c>
      <c r="Q308" t="n">
        <v>0</v>
      </c>
      <c r="R308" s="2" t="inlineStr"/>
    </row>
    <row r="309" ht="15" customHeight="1">
      <c r="A309" t="inlineStr">
        <is>
          <t>A 39599-2021</t>
        </is>
      </c>
      <c r="B309" s="1" t="n">
        <v>44417</v>
      </c>
      <c r="C309" s="1" t="n">
        <v>45718</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39604-2021</t>
        </is>
      </c>
      <c r="B310" s="1" t="n">
        <v>44417</v>
      </c>
      <c r="C310" s="1" t="n">
        <v>45718</v>
      </c>
      <c r="D310" t="inlineStr">
        <is>
          <t>DALARNAS LÄN</t>
        </is>
      </c>
      <c r="E310" t="inlineStr">
        <is>
          <t>SMEDJEBACKEN</t>
        </is>
      </c>
      <c r="G310" t="n">
        <v>1.6</v>
      </c>
      <c r="H310" t="n">
        <v>0</v>
      </c>
      <c r="I310" t="n">
        <v>0</v>
      </c>
      <c r="J310" t="n">
        <v>0</v>
      </c>
      <c r="K310" t="n">
        <v>0</v>
      </c>
      <c r="L310" t="n">
        <v>0</v>
      </c>
      <c r="M310" t="n">
        <v>0</v>
      </c>
      <c r="N310" t="n">
        <v>0</v>
      </c>
      <c r="O310" t="n">
        <v>0</v>
      </c>
      <c r="P310" t="n">
        <v>0</v>
      </c>
      <c r="Q310" t="n">
        <v>0</v>
      </c>
      <c r="R310" s="2" t="inlineStr"/>
    </row>
    <row r="311" ht="15" customHeight="1">
      <c r="A311" t="inlineStr">
        <is>
          <t>A 39816-2021</t>
        </is>
      </c>
      <c r="B311" s="1" t="n">
        <v>44417</v>
      </c>
      <c r="C311" s="1" t="n">
        <v>45718</v>
      </c>
      <c r="D311" t="inlineStr">
        <is>
          <t>DALARNAS LÄN</t>
        </is>
      </c>
      <c r="E311" t="inlineStr">
        <is>
          <t>SMEDJEBACKEN</t>
        </is>
      </c>
      <c r="G311" t="n">
        <v>3.1</v>
      </c>
      <c r="H311" t="n">
        <v>0</v>
      </c>
      <c r="I311" t="n">
        <v>0</v>
      </c>
      <c r="J311" t="n">
        <v>0</v>
      </c>
      <c r="K311" t="n">
        <v>0</v>
      </c>
      <c r="L311" t="n">
        <v>0</v>
      </c>
      <c r="M311" t="n">
        <v>0</v>
      </c>
      <c r="N311" t="n">
        <v>0</v>
      </c>
      <c r="O311" t="n">
        <v>0</v>
      </c>
      <c r="P311" t="n">
        <v>0</v>
      </c>
      <c r="Q311" t="n">
        <v>0</v>
      </c>
      <c r="R311" s="2" t="inlineStr"/>
    </row>
    <row r="312" ht="15" customHeight="1">
      <c r="A312" t="inlineStr">
        <is>
          <t>A 40561-2021</t>
        </is>
      </c>
      <c r="B312" s="1" t="n">
        <v>44420</v>
      </c>
      <c r="C312" s="1" t="n">
        <v>45718</v>
      </c>
      <c r="D312" t="inlineStr">
        <is>
          <t>DALARNAS LÄN</t>
        </is>
      </c>
      <c r="E312" t="inlineStr">
        <is>
          <t>SMEDJEBACKEN</t>
        </is>
      </c>
      <c r="G312" t="n">
        <v>0.5</v>
      </c>
      <c r="H312" t="n">
        <v>0</v>
      </c>
      <c r="I312" t="n">
        <v>0</v>
      </c>
      <c r="J312" t="n">
        <v>0</v>
      </c>
      <c r="K312" t="n">
        <v>0</v>
      </c>
      <c r="L312" t="n">
        <v>0</v>
      </c>
      <c r="M312" t="n">
        <v>0</v>
      </c>
      <c r="N312" t="n">
        <v>0</v>
      </c>
      <c r="O312" t="n">
        <v>0</v>
      </c>
      <c r="P312" t="n">
        <v>0</v>
      </c>
      <c r="Q312" t="n">
        <v>0</v>
      </c>
      <c r="R312" s="2" t="inlineStr"/>
    </row>
    <row r="313" ht="15" customHeight="1">
      <c r="A313" t="inlineStr">
        <is>
          <t>A 40768-2021</t>
        </is>
      </c>
      <c r="B313" s="1" t="n">
        <v>44420</v>
      </c>
      <c r="C313" s="1" t="n">
        <v>45718</v>
      </c>
      <c r="D313" t="inlineStr">
        <is>
          <t>DALARNAS LÄN</t>
        </is>
      </c>
      <c r="E313" t="inlineStr">
        <is>
          <t>SMEDJEBACKEN</t>
        </is>
      </c>
      <c r="G313" t="n">
        <v>0.8</v>
      </c>
      <c r="H313" t="n">
        <v>0</v>
      </c>
      <c r="I313" t="n">
        <v>0</v>
      </c>
      <c r="J313" t="n">
        <v>0</v>
      </c>
      <c r="K313" t="n">
        <v>0</v>
      </c>
      <c r="L313" t="n">
        <v>0</v>
      </c>
      <c r="M313" t="n">
        <v>0</v>
      </c>
      <c r="N313" t="n">
        <v>0</v>
      </c>
      <c r="O313" t="n">
        <v>0</v>
      </c>
      <c r="P313" t="n">
        <v>0</v>
      </c>
      <c r="Q313" t="n">
        <v>0</v>
      </c>
      <c r="R313" s="2" t="inlineStr"/>
    </row>
    <row r="314" ht="15" customHeight="1">
      <c r="A314" t="inlineStr">
        <is>
          <t>A 41303-2021</t>
        </is>
      </c>
      <c r="B314" s="1" t="n">
        <v>44424</v>
      </c>
      <c r="C314" s="1" t="n">
        <v>45718</v>
      </c>
      <c r="D314" t="inlineStr">
        <is>
          <t>DALARNAS LÄN</t>
        </is>
      </c>
      <c r="E314" t="inlineStr">
        <is>
          <t>SMEDJEBACKEN</t>
        </is>
      </c>
      <c r="G314" t="n">
        <v>3.7</v>
      </c>
      <c r="H314" t="n">
        <v>0</v>
      </c>
      <c r="I314" t="n">
        <v>0</v>
      </c>
      <c r="J314" t="n">
        <v>0</v>
      </c>
      <c r="K314" t="n">
        <v>0</v>
      </c>
      <c r="L314" t="n">
        <v>0</v>
      </c>
      <c r="M314" t="n">
        <v>0</v>
      </c>
      <c r="N314" t="n">
        <v>0</v>
      </c>
      <c r="O314" t="n">
        <v>0</v>
      </c>
      <c r="P314" t="n">
        <v>0</v>
      </c>
      <c r="Q314" t="n">
        <v>0</v>
      </c>
      <c r="R314" s="2" t="inlineStr"/>
    </row>
    <row r="315" ht="15" customHeight="1">
      <c r="A315" t="inlineStr">
        <is>
          <t>A 42290-2021</t>
        </is>
      </c>
      <c r="B315" s="1" t="n">
        <v>44426</v>
      </c>
      <c r="C315" s="1" t="n">
        <v>45718</v>
      </c>
      <c r="D315" t="inlineStr">
        <is>
          <t>DALARNAS LÄN</t>
        </is>
      </c>
      <c r="E315" t="inlineStr">
        <is>
          <t>SMEDJEBACKEN</t>
        </is>
      </c>
      <c r="F315" t="inlineStr">
        <is>
          <t>Bergvik skog väst AB</t>
        </is>
      </c>
      <c r="G315" t="n">
        <v>5.5</v>
      </c>
      <c r="H315" t="n">
        <v>0</v>
      </c>
      <c r="I315" t="n">
        <v>0</v>
      </c>
      <c r="J315" t="n">
        <v>0</v>
      </c>
      <c r="K315" t="n">
        <v>0</v>
      </c>
      <c r="L315" t="n">
        <v>0</v>
      </c>
      <c r="M315" t="n">
        <v>0</v>
      </c>
      <c r="N315" t="n">
        <v>0</v>
      </c>
      <c r="O315" t="n">
        <v>0</v>
      </c>
      <c r="P315" t="n">
        <v>0</v>
      </c>
      <c r="Q315" t="n">
        <v>0</v>
      </c>
      <c r="R315" s="2" t="inlineStr"/>
    </row>
    <row r="316" ht="15" customHeight="1">
      <c r="A316" t="inlineStr">
        <is>
          <t>A 42418-2021</t>
        </is>
      </c>
      <c r="B316" s="1" t="n">
        <v>44427</v>
      </c>
      <c r="C316" s="1" t="n">
        <v>45718</v>
      </c>
      <c r="D316" t="inlineStr">
        <is>
          <t>DALARNAS LÄN</t>
        </is>
      </c>
      <c r="E316" t="inlineStr">
        <is>
          <t>SMEDJEBACKEN</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43137-2021</t>
        </is>
      </c>
      <c r="B317" s="1" t="n">
        <v>44431</v>
      </c>
      <c r="C317" s="1" t="n">
        <v>45718</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43135-2021</t>
        </is>
      </c>
      <c r="B318" s="1" t="n">
        <v>44431</v>
      </c>
      <c r="C318" s="1" t="n">
        <v>45718</v>
      </c>
      <c r="D318" t="inlineStr">
        <is>
          <t>DALARNAS LÄN</t>
        </is>
      </c>
      <c r="E318" t="inlineStr">
        <is>
          <t>SMEDJEBACKEN</t>
        </is>
      </c>
      <c r="G318" t="n">
        <v>1.3</v>
      </c>
      <c r="H318" t="n">
        <v>0</v>
      </c>
      <c r="I318" t="n">
        <v>0</v>
      </c>
      <c r="J318" t="n">
        <v>0</v>
      </c>
      <c r="K318" t="n">
        <v>0</v>
      </c>
      <c r="L318" t="n">
        <v>0</v>
      </c>
      <c r="M318" t="n">
        <v>0</v>
      </c>
      <c r="N318" t="n">
        <v>0</v>
      </c>
      <c r="O318" t="n">
        <v>0</v>
      </c>
      <c r="P318" t="n">
        <v>0</v>
      </c>
      <c r="Q318" t="n">
        <v>0</v>
      </c>
      <c r="R318" s="2" t="inlineStr"/>
    </row>
    <row r="319" ht="15" customHeight="1">
      <c r="A319" t="inlineStr">
        <is>
          <t>A 43375-2021</t>
        </is>
      </c>
      <c r="B319" s="1" t="n">
        <v>44432</v>
      </c>
      <c r="C319" s="1" t="n">
        <v>45718</v>
      </c>
      <c r="D319" t="inlineStr">
        <is>
          <t>DALARNAS LÄN</t>
        </is>
      </c>
      <c r="E319" t="inlineStr">
        <is>
          <t>SMEDJEBACKEN</t>
        </is>
      </c>
      <c r="G319" t="n">
        <v>1.9</v>
      </c>
      <c r="H319" t="n">
        <v>0</v>
      </c>
      <c r="I319" t="n">
        <v>0</v>
      </c>
      <c r="J319" t="n">
        <v>0</v>
      </c>
      <c r="K319" t="n">
        <v>0</v>
      </c>
      <c r="L319" t="n">
        <v>0</v>
      </c>
      <c r="M319" t="n">
        <v>0</v>
      </c>
      <c r="N319" t="n">
        <v>0</v>
      </c>
      <c r="O319" t="n">
        <v>0</v>
      </c>
      <c r="P319" t="n">
        <v>0</v>
      </c>
      <c r="Q319" t="n">
        <v>0</v>
      </c>
      <c r="R319" s="2" t="inlineStr"/>
    </row>
    <row r="320" ht="15" customHeight="1">
      <c r="A320" t="inlineStr">
        <is>
          <t>A 44126-2021</t>
        </is>
      </c>
      <c r="B320" s="1" t="n">
        <v>44434</v>
      </c>
      <c r="C320" s="1" t="n">
        <v>45718</v>
      </c>
      <c r="D320" t="inlineStr">
        <is>
          <t>DALARNAS LÄN</t>
        </is>
      </c>
      <c r="E320" t="inlineStr">
        <is>
          <t>SMEDJEBACKEN</t>
        </is>
      </c>
      <c r="G320" t="n">
        <v>0.3</v>
      </c>
      <c r="H320" t="n">
        <v>0</v>
      </c>
      <c r="I320" t="n">
        <v>0</v>
      </c>
      <c r="J320" t="n">
        <v>0</v>
      </c>
      <c r="K320" t="n">
        <v>0</v>
      </c>
      <c r="L320" t="n">
        <v>0</v>
      </c>
      <c r="M320" t="n">
        <v>0</v>
      </c>
      <c r="N320" t="n">
        <v>0</v>
      </c>
      <c r="O320" t="n">
        <v>0</v>
      </c>
      <c r="P320" t="n">
        <v>0</v>
      </c>
      <c r="Q320" t="n">
        <v>0</v>
      </c>
      <c r="R320" s="2" t="inlineStr"/>
    </row>
    <row r="321" ht="15" customHeight="1">
      <c r="A321" t="inlineStr">
        <is>
          <t>A 44117-2021</t>
        </is>
      </c>
      <c r="B321" s="1" t="n">
        <v>44434</v>
      </c>
      <c r="C321" s="1" t="n">
        <v>45718</v>
      </c>
      <c r="D321" t="inlineStr">
        <is>
          <t>DALARNAS LÄN</t>
        </is>
      </c>
      <c r="E321" t="inlineStr">
        <is>
          <t>SMEDJEBACKEN</t>
        </is>
      </c>
      <c r="G321" t="n">
        <v>1.2</v>
      </c>
      <c r="H321" t="n">
        <v>0</v>
      </c>
      <c r="I321" t="n">
        <v>0</v>
      </c>
      <c r="J321" t="n">
        <v>0</v>
      </c>
      <c r="K321" t="n">
        <v>0</v>
      </c>
      <c r="L321" t="n">
        <v>0</v>
      </c>
      <c r="M321" t="n">
        <v>0</v>
      </c>
      <c r="N321" t="n">
        <v>0</v>
      </c>
      <c r="O321" t="n">
        <v>0</v>
      </c>
      <c r="P321" t="n">
        <v>0</v>
      </c>
      <c r="Q321" t="n">
        <v>0</v>
      </c>
      <c r="R321" s="2" t="inlineStr"/>
    </row>
    <row r="322" ht="15" customHeight="1">
      <c r="A322" t="inlineStr">
        <is>
          <t>A 44250-2021</t>
        </is>
      </c>
      <c r="B322" s="1" t="n">
        <v>44434</v>
      </c>
      <c r="C322" s="1" t="n">
        <v>45718</v>
      </c>
      <c r="D322" t="inlineStr">
        <is>
          <t>DALARNAS LÄN</t>
        </is>
      </c>
      <c r="E322" t="inlineStr">
        <is>
          <t>SMEDJEBACKEN</t>
        </is>
      </c>
      <c r="G322" t="n">
        <v>0.6</v>
      </c>
      <c r="H322" t="n">
        <v>0</v>
      </c>
      <c r="I322" t="n">
        <v>0</v>
      </c>
      <c r="J322" t="n">
        <v>0</v>
      </c>
      <c r="K322" t="n">
        <v>0</v>
      </c>
      <c r="L322" t="n">
        <v>0</v>
      </c>
      <c r="M322" t="n">
        <v>0</v>
      </c>
      <c r="N322" t="n">
        <v>0</v>
      </c>
      <c r="O322" t="n">
        <v>0</v>
      </c>
      <c r="P322" t="n">
        <v>0</v>
      </c>
      <c r="Q322" t="n">
        <v>0</v>
      </c>
      <c r="R322" s="2" t="inlineStr"/>
    </row>
    <row r="323" ht="15" customHeight="1">
      <c r="A323" t="inlineStr">
        <is>
          <t>A 44141-2021</t>
        </is>
      </c>
      <c r="B323" s="1" t="n">
        <v>44434</v>
      </c>
      <c r="C323" s="1" t="n">
        <v>45718</v>
      </c>
      <c r="D323" t="inlineStr">
        <is>
          <t>DALARNAS LÄN</t>
        </is>
      </c>
      <c r="E323" t="inlineStr">
        <is>
          <t>SMEDJEBACKEN</t>
        </is>
      </c>
      <c r="G323" t="n">
        <v>0.7</v>
      </c>
      <c r="H323" t="n">
        <v>0</v>
      </c>
      <c r="I323" t="n">
        <v>0</v>
      </c>
      <c r="J323" t="n">
        <v>0</v>
      </c>
      <c r="K323" t="n">
        <v>0</v>
      </c>
      <c r="L323" t="n">
        <v>0</v>
      </c>
      <c r="M323" t="n">
        <v>0</v>
      </c>
      <c r="N323" t="n">
        <v>0</v>
      </c>
      <c r="O323" t="n">
        <v>0</v>
      </c>
      <c r="P323" t="n">
        <v>0</v>
      </c>
      <c r="Q323" t="n">
        <v>0</v>
      </c>
      <c r="R323" s="2" t="inlineStr"/>
    </row>
    <row r="324" ht="15" customHeight="1">
      <c r="A324" t="inlineStr">
        <is>
          <t>A 44249-2021</t>
        </is>
      </c>
      <c r="B324" s="1" t="n">
        <v>44434</v>
      </c>
      <c r="C324" s="1" t="n">
        <v>45718</v>
      </c>
      <c r="D324" t="inlineStr">
        <is>
          <t>DALARNAS LÄN</t>
        </is>
      </c>
      <c r="E324" t="inlineStr">
        <is>
          <t>SMEDJEBACKEN</t>
        </is>
      </c>
      <c r="G324" t="n">
        <v>0.9</v>
      </c>
      <c r="H324" t="n">
        <v>0</v>
      </c>
      <c r="I324" t="n">
        <v>0</v>
      </c>
      <c r="J324" t="n">
        <v>0</v>
      </c>
      <c r="K324" t="n">
        <v>0</v>
      </c>
      <c r="L324" t="n">
        <v>0</v>
      </c>
      <c r="M324" t="n">
        <v>0</v>
      </c>
      <c r="N324" t="n">
        <v>0</v>
      </c>
      <c r="O324" t="n">
        <v>0</v>
      </c>
      <c r="P324" t="n">
        <v>0</v>
      </c>
      <c r="Q324" t="n">
        <v>0</v>
      </c>
      <c r="R324" s="2" t="inlineStr"/>
    </row>
    <row r="325" ht="15" customHeight="1">
      <c r="A325" t="inlineStr">
        <is>
          <t>A 45382-2021</t>
        </is>
      </c>
      <c r="B325" s="1" t="n">
        <v>44440</v>
      </c>
      <c r="C325" s="1" t="n">
        <v>45718</v>
      </c>
      <c r="D325" t="inlineStr">
        <is>
          <t>DALARNAS LÄN</t>
        </is>
      </c>
      <c r="E325" t="inlineStr">
        <is>
          <t>SMEDJEBACKEN</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45933-2021</t>
        </is>
      </c>
      <c r="B326" s="1" t="n">
        <v>44441</v>
      </c>
      <c r="C326" s="1" t="n">
        <v>45718</v>
      </c>
      <c r="D326" t="inlineStr">
        <is>
          <t>DALARNAS LÄN</t>
        </is>
      </c>
      <c r="E326" t="inlineStr">
        <is>
          <t>SMEDJEBACKEN</t>
        </is>
      </c>
      <c r="G326" t="n">
        <v>3.6</v>
      </c>
      <c r="H326" t="n">
        <v>0</v>
      </c>
      <c r="I326" t="n">
        <v>0</v>
      </c>
      <c r="J326" t="n">
        <v>0</v>
      </c>
      <c r="K326" t="n">
        <v>0</v>
      </c>
      <c r="L326" t="n">
        <v>0</v>
      </c>
      <c r="M326" t="n">
        <v>0</v>
      </c>
      <c r="N326" t="n">
        <v>0</v>
      </c>
      <c r="O326" t="n">
        <v>0</v>
      </c>
      <c r="P326" t="n">
        <v>0</v>
      </c>
      <c r="Q326" t="n">
        <v>0</v>
      </c>
      <c r="R326" s="2" t="inlineStr"/>
    </row>
    <row r="327" ht="15" customHeight="1">
      <c r="A327" t="inlineStr">
        <is>
          <t>A 46130-2021</t>
        </is>
      </c>
      <c r="B327" s="1" t="n">
        <v>44442</v>
      </c>
      <c r="C327" s="1" t="n">
        <v>45718</v>
      </c>
      <c r="D327" t="inlineStr">
        <is>
          <t>DALARNAS LÄN</t>
        </is>
      </c>
      <c r="E327" t="inlineStr">
        <is>
          <t>SMEDJEBACKEN</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46138-2021</t>
        </is>
      </c>
      <c r="B328" s="1" t="n">
        <v>44442</v>
      </c>
      <c r="C328" s="1" t="n">
        <v>45718</v>
      </c>
      <c r="D328" t="inlineStr">
        <is>
          <t>DALARNAS LÄN</t>
        </is>
      </c>
      <c r="E328" t="inlineStr">
        <is>
          <t>SMEDJEBACKEN</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46185-2021</t>
        </is>
      </c>
      <c r="B329" s="1" t="n">
        <v>44442</v>
      </c>
      <c r="C329" s="1" t="n">
        <v>45718</v>
      </c>
      <c r="D329" t="inlineStr">
        <is>
          <t>DALARNAS LÄN</t>
        </is>
      </c>
      <c r="E329" t="inlineStr">
        <is>
          <t>SMEDJEBACKEN</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46125-2021</t>
        </is>
      </c>
      <c r="B330" s="1" t="n">
        <v>44442</v>
      </c>
      <c r="C330" s="1" t="n">
        <v>45718</v>
      </c>
      <c r="D330" t="inlineStr">
        <is>
          <t>DALARNAS LÄN</t>
        </is>
      </c>
      <c r="E330" t="inlineStr">
        <is>
          <t>SMEDJEBACKEN</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46137-2021</t>
        </is>
      </c>
      <c r="B331" s="1" t="n">
        <v>44442</v>
      </c>
      <c r="C331" s="1" t="n">
        <v>45718</v>
      </c>
      <c r="D331" t="inlineStr">
        <is>
          <t>DALARNAS LÄN</t>
        </is>
      </c>
      <c r="E331" t="inlineStr">
        <is>
          <t>SMEDJEBACKEN</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46184-2021</t>
        </is>
      </c>
      <c r="B332" s="1" t="n">
        <v>44442</v>
      </c>
      <c r="C332" s="1" t="n">
        <v>45718</v>
      </c>
      <c r="D332" t="inlineStr">
        <is>
          <t>DALARNAS LÄN</t>
        </is>
      </c>
      <c r="E332" t="inlineStr">
        <is>
          <t>SMEDJEBACKEN</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46116-2021</t>
        </is>
      </c>
      <c r="B333" s="1" t="n">
        <v>44442</v>
      </c>
      <c r="C333" s="1" t="n">
        <v>45718</v>
      </c>
      <c r="D333" t="inlineStr">
        <is>
          <t>DALARNAS LÄN</t>
        </is>
      </c>
      <c r="E333" t="inlineStr">
        <is>
          <t>SMEDJEBACKEN</t>
        </is>
      </c>
      <c r="F333" t="inlineStr">
        <is>
          <t>Sveaskog</t>
        </is>
      </c>
      <c r="G333" t="n">
        <v>11.3</v>
      </c>
      <c r="H333" t="n">
        <v>0</v>
      </c>
      <c r="I333" t="n">
        <v>0</v>
      </c>
      <c r="J333" t="n">
        <v>0</v>
      </c>
      <c r="K333" t="n">
        <v>0</v>
      </c>
      <c r="L333" t="n">
        <v>0</v>
      </c>
      <c r="M333" t="n">
        <v>0</v>
      </c>
      <c r="N333" t="n">
        <v>0</v>
      </c>
      <c r="O333" t="n">
        <v>0</v>
      </c>
      <c r="P333" t="n">
        <v>0</v>
      </c>
      <c r="Q333" t="n">
        <v>0</v>
      </c>
      <c r="R333" s="2" t="inlineStr"/>
    </row>
    <row r="334" ht="15" customHeight="1">
      <c r="A334" t="inlineStr">
        <is>
          <t>A 46132-2021</t>
        </is>
      </c>
      <c r="B334" s="1" t="n">
        <v>44442</v>
      </c>
      <c r="C334" s="1" t="n">
        <v>45718</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46144-2021</t>
        </is>
      </c>
      <c r="B335" s="1" t="n">
        <v>44442</v>
      </c>
      <c r="C335" s="1" t="n">
        <v>45718</v>
      </c>
      <c r="D335" t="inlineStr">
        <is>
          <t>DALARNAS LÄN</t>
        </is>
      </c>
      <c r="E335" t="inlineStr">
        <is>
          <t>SMEDJEBACKEN</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46531-2021</t>
        </is>
      </c>
      <c r="B336" s="1" t="n">
        <v>44445</v>
      </c>
      <c r="C336" s="1" t="n">
        <v>45718</v>
      </c>
      <c r="D336" t="inlineStr">
        <is>
          <t>DALARNAS LÄN</t>
        </is>
      </c>
      <c r="E336" t="inlineStr">
        <is>
          <t>SMEDJEBACKEN</t>
        </is>
      </c>
      <c r="F336" t="inlineStr">
        <is>
          <t>Sveaskog</t>
        </is>
      </c>
      <c r="G336" t="n">
        <v>3.9</v>
      </c>
      <c r="H336" t="n">
        <v>0</v>
      </c>
      <c r="I336" t="n">
        <v>0</v>
      </c>
      <c r="J336" t="n">
        <v>0</v>
      </c>
      <c r="K336" t="n">
        <v>0</v>
      </c>
      <c r="L336" t="n">
        <v>0</v>
      </c>
      <c r="M336" t="n">
        <v>0</v>
      </c>
      <c r="N336" t="n">
        <v>0</v>
      </c>
      <c r="O336" t="n">
        <v>0</v>
      </c>
      <c r="P336" t="n">
        <v>0</v>
      </c>
      <c r="Q336" t="n">
        <v>0</v>
      </c>
      <c r="R336" s="2" t="inlineStr"/>
    </row>
    <row r="337" ht="15" customHeight="1">
      <c r="A337" t="inlineStr">
        <is>
          <t>A 48156-2021</t>
        </is>
      </c>
      <c r="B337" s="1" t="n">
        <v>44449</v>
      </c>
      <c r="C337" s="1" t="n">
        <v>45718</v>
      </c>
      <c r="D337" t="inlineStr">
        <is>
          <t>DALARNAS LÄN</t>
        </is>
      </c>
      <c r="E337" t="inlineStr">
        <is>
          <t>SMEDJEBACKEN</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48158-2021</t>
        </is>
      </c>
      <c r="B338" s="1" t="n">
        <v>44449</v>
      </c>
      <c r="C338" s="1" t="n">
        <v>45718</v>
      </c>
      <c r="D338" t="inlineStr">
        <is>
          <t>DALARNAS LÄN</t>
        </is>
      </c>
      <c r="E338" t="inlineStr">
        <is>
          <t>SMEDJEBACKEN</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49097-2021</t>
        </is>
      </c>
      <c r="B339" s="1" t="n">
        <v>44453</v>
      </c>
      <c r="C339" s="1" t="n">
        <v>45718</v>
      </c>
      <c r="D339" t="inlineStr">
        <is>
          <t>DALARNAS LÄN</t>
        </is>
      </c>
      <c r="E339" t="inlineStr">
        <is>
          <t>SMEDJEBACKEN</t>
        </is>
      </c>
      <c r="G339" t="n">
        <v>1.4</v>
      </c>
      <c r="H339" t="n">
        <v>0</v>
      </c>
      <c r="I339" t="n">
        <v>0</v>
      </c>
      <c r="J339" t="n">
        <v>0</v>
      </c>
      <c r="K339" t="n">
        <v>0</v>
      </c>
      <c r="L339" t="n">
        <v>0</v>
      </c>
      <c r="M339" t="n">
        <v>0</v>
      </c>
      <c r="N339" t="n">
        <v>0</v>
      </c>
      <c r="O339" t="n">
        <v>0</v>
      </c>
      <c r="P339" t="n">
        <v>0</v>
      </c>
      <c r="Q339" t="n">
        <v>0</v>
      </c>
      <c r="R339" s="2" t="inlineStr"/>
    </row>
    <row r="340" ht="15" customHeight="1">
      <c r="A340" t="inlineStr">
        <is>
          <t>A 49834-2021</t>
        </is>
      </c>
      <c r="B340" s="1" t="n">
        <v>44455</v>
      </c>
      <c r="C340" s="1" t="n">
        <v>45718</v>
      </c>
      <c r="D340" t="inlineStr">
        <is>
          <t>DALARNAS LÄN</t>
        </is>
      </c>
      <c r="E340" t="inlineStr">
        <is>
          <t>SMEDJEBACKEN</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49828-2021</t>
        </is>
      </c>
      <c r="B341" s="1" t="n">
        <v>44455</v>
      </c>
      <c r="C341" s="1" t="n">
        <v>45718</v>
      </c>
      <c r="D341" t="inlineStr">
        <is>
          <t>DALARNAS LÄN</t>
        </is>
      </c>
      <c r="E341" t="inlineStr">
        <is>
          <t>SMEDJEBACKEN</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51422-2021</t>
        </is>
      </c>
      <c r="B342" s="1" t="n">
        <v>44461</v>
      </c>
      <c r="C342" s="1" t="n">
        <v>45718</v>
      </c>
      <c r="D342" t="inlineStr">
        <is>
          <t>DALARNAS LÄN</t>
        </is>
      </c>
      <c r="E342" t="inlineStr">
        <is>
          <t>SMEDJEBACKEN</t>
        </is>
      </c>
      <c r="G342" t="n">
        <v>4.3</v>
      </c>
      <c r="H342" t="n">
        <v>0</v>
      </c>
      <c r="I342" t="n">
        <v>0</v>
      </c>
      <c r="J342" t="n">
        <v>0</v>
      </c>
      <c r="K342" t="n">
        <v>0</v>
      </c>
      <c r="L342" t="n">
        <v>0</v>
      </c>
      <c r="M342" t="n">
        <v>0</v>
      </c>
      <c r="N342" t="n">
        <v>0</v>
      </c>
      <c r="O342" t="n">
        <v>0</v>
      </c>
      <c r="P342" t="n">
        <v>0</v>
      </c>
      <c r="Q342" t="n">
        <v>0</v>
      </c>
      <c r="R342" s="2" t="inlineStr"/>
    </row>
    <row r="343" ht="15" customHeight="1">
      <c r="A343" t="inlineStr">
        <is>
          <t>A 51731-2021</t>
        </is>
      </c>
      <c r="B343" s="1" t="n">
        <v>44462</v>
      </c>
      <c r="C343" s="1" t="n">
        <v>45718</v>
      </c>
      <c r="D343" t="inlineStr">
        <is>
          <t>DALARNAS LÄN</t>
        </is>
      </c>
      <c r="E343" t="inlineStr">
        <is>
          <t>SMEDJEBACKEN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53013-2021</t>
        </is>
      </c>
      <c r="B344" s="1" t="n">
        <v>44466</v>
      </c>
      <c r="C344" s="1" t="n">
        <v>45718</v>
      </c>
      <c r="D344" t="inlineStr">
        <is>
          <t>DALARNAS LÄN</t>
        </is>
      </c>
      <c r="E344" t="inlineStr">
        <is>
          <t>SMEDJEBACKEN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52958-2021</t>
        </is>
      </c>
      <c r="B345" s="1" t="n">
        <v>44467</v>
      </c>
      <c r="C345" s="1" t="n">
        <v>45718</v>
      </c>
      <c r="D345" t="inlineStr">
        <is>
          <t>DALARNAS LÄN</t>
        </is>
      </c>
      <c r="E345" t="inlineStr">
        <is>
          <t>SMEDJEBACKEN</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53583-2021</t>
        </is>
      </c>
      <c r="B346" s="1" t="n">
        <v>44469</v>
      </c>
      <c r="C346" s="1" t="n">
        <v>45718</v>
      </c>
      <c r="D346" t="inlineStr">
        <is>
          <t>DALARNAS LÄN</t>
        </is>
      </c>
      <c r="E346" t="inlineStr">
        <is>
          <t>SMEDJEBACKEN</t>
        </is>
      </c>
      <c r="G346" t="n">
        <v>1.1</v>
      </c>
      <c r="H346" t="n">
        <v>0</v>
      </c>
      <c r="I346" t="n">
        <v>0</v>
      </c>
      <c r="J346" t="n">
        <v>0</v>
      </c>
      <c r="K346" t="n">
        <v>0</v>
      </c>
      <c r="L346" t="n">
        <v>0</v>
      </c>
      <c r="M346" t="n">
        <v>0</v>
      </c>
      <c r="N346" t="n">
        <v>0</v>
      </c>
      <c r="O346" t="n">
        <v>0</v>
      </c>
      <c r="P346" t="n">
        <v>0</v>
      </c>
      <c r="Q346" t="n">
        <v>0</v>
      </c>
      <c r="R346" s="2" t="inlineStr"/>
    </row>
    <row r="347" ht="15" customHeight="1">
      <c r="A347" t="inlineStr">
        <is>
          <t>A 54382-2021</t>
        </is>
      </c>
      <c r="B347" s="1" t="n">
        <v>44473</v>
      </c>
      <c r="C347" s="1" t="n">
        <v>45718</v>
      </c>
      <c r="D347" t="inlineStr">
        <is>
          <t>DALARNAS LÄN</t>
        </is>
      </c>
      <c r="E347" t="inlineStr">
        <is>
          <t>SMEDJEBACKEN</t>
        </is>
      </c>
      <c r="G347" t="n">
        <v>0.5</v>
      </c>
      <c r="H347" t="n">
        <v>0</v>
      </c>
      <c r="I347" t="n">
        <v>0</v>
      </c>
      <c r="J347" t="n">
        <v>0</v>
      </c>
      <c r="K347" t="n">
        <v>0</v>
      </c>
      <c r="L347" t="n">
        <v>0</v>
      </c>
      <c r="M347" t="n">
        <v>0</v>
      </c>
      <c r="N347" t="n">
        <v>0</v>
      </c>
      <c r="O347" t="n">
        <v>0</v>
      </c>
      <c r="P347" t="n">
        <v>0</v>
      </c>
      <c r="Q347" t="n">
        <v>0</v>
      </c>
      <c r="R347" s="2" t="inlineStr"/>
    </row>
    <row r="348" ht="15" customHeight="1">
      <c r="A348" t="inlineStr">
        <is>
          <t>A 54971-2021</t>
        </is>
      </c>
      <c r="B348" s="1" t="n">
        <v>44474</v>
      </c>
      <c r="C348" s="1" t="n">
        <v>45718</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55466-2021</t>
        </is>
      </c>
      <c r="B349" s="1" t="n">
        <v>44475</v>
      </c>
      <c r="C349" s="1" t="n">
        <v>45718</v>
      </c>
      <c r="D349" t="inlineStr">
        <is>
          <t>DALARNAS LÄN</t>
        </is>
      </c>
      <c r="E349" t="inlineStr">
        <is>
          <t>SMEDJEBACKEN</t>
        </is>
      </c>
      <c r="G349" t="n">
        <v>2</v>
      </c>
      <c r="H349" t="n">
        <v>0</v>
      </c>
      <c r="I349" t="n">
        <v>0</v>
      </c>
      <c r="J349" t="n">
        <v>0</v>
      </c>
      <c r="K349" t="n">
        <v>0</v>
      </c>
      <c r="L349" t="n">
        <v>0</v>
      </c>
      <c r="M349" t="n">
        <v>0</v>
      </c>
      <c r="N349" t="n">
        <v>0</v>
      </c>
      <c r="O349" t="n">
        <v>0</v>
      </c>
      <c r="P349" t="n">
        <v>0</v>
      </c>
      <c r="Q349" t="n">
        <v>0</v>
      </c>
      <c r="R349" s="2" t="inlineStr"/>
    </row>
    <row r="350" ht="15" customHeight="1">
      <c r="A350" t="inlineStr">
        <is>
          <t>A 55362-2021</t>
        </is>
      </c>
      <c r="B350" s="1" t="n">
        <v>44475</v>
      </c>
      <c r="C350" s="1" t="n">
        <v>45718</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55626-2021</t>
        </is>
      </c>
      <c r="B351" s="1" t="n">
        <v>44475</v>
      </c>
      <c r="C351" s="1" t="n">
        <v>45718</v>
      </c>
      <c r="D351" t="inlineStr">
        <is>
          <t>DALARNAS LÄN</t>
        </is>
      </c>
      <c r="E351" t="inlineStr">
        <is>
          <t>SMEDJEBACKEN</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55619-2021</t>
        </is>
      </c>
      <c r="B352" s="1" t="n">
        <v>44475</v>
      </c>
      <c r="C352" s="1" t="n">
        <v>45718</v>
      </c>
      <c r="D352" t="inlineStr">
        <is>
          <t>DALARNAS LÄN</t>
        </is>
      </c>
      <c r="E352" t="inlineStr">
        <is>
          <t>SMEDJEBACKEN</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55650-2021</t>
        </is>
      </c>
      <c r="B353" s="1" t="n">
        <v>44475</v>
      </c>
      <c r="C353" s="1" t="n">
        <v>45718</v>
      </c>
      <c r="D353" t="inlineStr">
        <is>
          <t>DALARNAS LÄN</t>
        </is>
      </c>
      <c r="E353" t="inlineStr">
        <is>
          <t>SMEDJEBACKEN</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55851-2021</t>
        </is>
      </c>
      <c r="B354" s="1" t="n">
        <v>44476</v>
      </c>
      <c r="C354" s="1" t="n">
        <v>45718</v>
      </c>
      <c r="D354" t="inlineStr">
        <is>
          <t>DALARNAS LÄN</t>
        </is>
      </c>
      <c r="E354" t="inlineStr">
        <is>
          <t>SMEDJEBACKEN</t>
        </is>
      </c>
      <c r="F354" t="inlineStr">
        <is>
          <t>Övriga Aktiebolag</t>
        </is>
      </c>
      <c r="G354" t="n">
        <v>2.6</v>
      </c>
      <c r="H354" t="n">
        <v>0</v>
      </c>
      <c r="I354" t="n">
        <v>0</v>
      </c>
      <c r="J354" t="n">
        <v>0</v>
      </c>
      <c r="K354" t="n">
        <v>0</v>
      </c>
      <c r="L354" t="n">
        <v>0</v>
      </c>
      <c r="M354" t="n">
        <v>0</v>
      </c>
      <c r="N354" t="n">
        <v>0</v>
      </c>
      <c r="O354" t="n">
        <v>0</v>
      </c>
      <c r="P354" t="n">
        <v>0</v>
      </c>
      <c r="Q354" t="n">
        <v>0</v>
      </c>
      <c r="R354" s="2" t="inlineStr"/>
    </row>
    <row r="355" ht="15" customHeight="1">
      <c r="A355" t="inlineStr">
        <is>
          <t>A 56012-2021</t>
        </is>
      </c>
      <c r="B355" s="1" t="n">
        <v>44477</v>
      </c>
      <c r="C355" s="1" t="n">
        <v>45718</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56305-2021</t>
        </is>
      </c>
      <c r="B356" s="1" t="n">
        <v>44477</v>
      </c>
      <c r="C356" s="1" t="n">
        <v>45718</v>
      </c>
      <c r="D356" t="inlineStr">
        <is>
          <t>DALARNAS LÄN</t>
        </is>
      </c>
      <c r="E356" t="inlineStr">
        <is>
          <t>SMEDJEBACKEN</t>
        </is>
      </c>
      <c r="F356" t="inlineStr">
        <is>
          <t>Bergvik skog väst AB</t>
        </is>
      </c>
      <c r="G356" t="n">
        <v>14.2</v>
      </c>
      <c r="H356" t="n">
        <v>0</v>
      </c>
      <c r="I356" t="n">
        <v>0</v>
      </c>
      <c r="J356" t="n">
        <v>0</v>
      </c>
      <c r="K356" t="n">
        <v>0</v>
      </c>
      <c r="L356" t="n">
        <v>0</v>
      </c>
      <c r="M356" t="n">
        <v>0</v>
      </c>
      <c r="N356" t="n">
        <v>0</v>
      </c>
      <c r="O356" t="n">
        <v>0</v>
      </c>
      <c r="P356" t="n">
        <v>0</v>
      </c>
      <c r="Q356" t="n">
        <v>0</v>
      </c>
      <c r="R356" s="2" t="inlineStr"/>
    </row>
    <row r="357" ht="15" customHeight="1">
      <c r="A357" t="inlineStr">
        <is>
          <t>A 57260-2021</t>
        </is>
      </c>
      <c r="B357" s="1" t="n">
        <v>44482</v>
      </c>
      <c r="C357" s="1" t="n">
        <v>45718</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57269-2021</t>
        </is>
      </c>
      <c r="B358" s="1" t="n">
        <v>44482</v>
      </c>
      <c r="C358" s="1" t="n">
        <v>45718</v>
      </c>
      <c r="D358" t="inlineStr">
        <is>
          <t>DALARNAS LÄN</t>
        </is>
      </c>
      <c r="E358" t="inlineStr">
        <is>
          <t>SMEDJEBACKEN</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60086-2021</t>
        </is>
      </c>
      <c r="B359" s="1" t="n">
        <v>44494</v>
      </c>
      <c r="C359" s="1" t="n">
        <v>45718</v>
      </c>
      <c r="D359" t="inlineStr">
        <is>
          <t>DALARNAS LÄN</t>
        </is>
      </c>
      <c r="E359" t="inlineStr">
        <is>
          <t>SMEDJEBACKEN</t>
        </is>
      </c>
      <c r="F359" t="inlineStr">
        <is>
          <t>Bergvik skog väst AB</t>
        </is>
      </c>
      <c r="G359" t="n">
        <v>2.3</v>
      </c>
      <c r="H359" t="n">
        <v>0</v>
      </c>
      <c r="I359" t="n">
        <v>0</v>
      </c>
      <c r="J359" t="n">
        <v>0</v>
      </c>
      <c r="K359" t="n">
        <v>0</v>
      </c>
      <c r="L359" t="n">
        <v>0</v>
      </c>
      <c r="M359" t="n">
        <v>0</v>
      </c>
      <c r="N359" t="n">
        <v>0</v>
      </c>
      <c r="O359" t="n">
        <v>0</v>
      </c>
      <c r="P359" t="n">
        <v>0</v>
      </c>
      <c r="Q359" t="n">
        <v>0</v>
      </c>
      <c r="R359" s="2" t="inlineStr"/>
    </row>
    <row r="360" ht="15" customHeight="1">
      <c r="A360" t="inlineStr">
        <is>
          <t>A 60414-2021</t>
        </is>
      </c>
      <c r="B360" s="1" t="n">
        <v>44496</v>
      </c>
      <c r="C360" s="1" t="n">
        <v>45718</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60451-2021</t>
        </is>
      </c>
      <c r="B361" s="1" t="n">
        <v>44496</v>
      </c>
      <c r="C361" s="1" t="n">
        <v>45718</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60697-2021</t>
        </is>
      </c>
      <c r="B362" s="1" t="n">
        <v>44496</v>
      </c>
      <c r="C362" s="1" t="n">
        <v>45718</v>
      </c>
      <c r="D362" t="inlineStr">
        <is>
          <t>DALARNAS LÄN</t>
        </is>
      </c>
      <c r="E362" t="inlineStr">
        <is>
          <t>SMEDJEBACKEN</t>
        </is>
      </c>
      <c r="G362" t="n">
        <v>0.6</v>
      </c>
      <c r="H362" t="n">
        <v>0</v>
      </c>
      <c r="I362" t="n">
        <v>0</v>
      </c>
      <c r="J362" t="n">
        <v>0</v>
      </c>
      <c r="K362" t="n">
        <v>0</v>
      </c>
      <c r="L362" t="n">
        <v>0</v>
      </c>
      <c r="M362" t="n">
        <v>0</v>
      </c>
      <c r="N362" t="n">
        <v>0</v>
      </c>
      <c r="O362" t="n">
        <v>0</v>
      </c>
      <c r="P362" t="n">
        <v>0</v>
      </c>
      <c r="Q362" t="n">
        <v>0</v>
      </c>
      <c r="R362" s="2" t="inlineStr"/>
    </row>
    <row r="363" ht="15" customHeight="1">
      <c r="A363" t="inlineStr">
        <is>
          <t>A 60421-2021</t>
        </is>
      </c>
      <c r="B363" s="1" t="n">
        <v>44496</v>
      </c>
      <c r="C363" s="1" t="n">
        <v>45718</v>
      </c>
      <c r="D363" t="inlineStr">
        <is>
          <t>DALARNAS LÄN</t>
        </is>
      </c>
      <c r="E363" t="inlineStr">
        <is>
          <t>SMEDJEBACKEN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60905-2021</t>
        </is>
      </c>
      <c r="B364" s="1" t="n">
        <v>44496</v>
      </c>
      <c r="C364" s="1" t="n">
        <v>45718</v>
      </c>
      <c r="D364" t="inlineStr">
        <is>
          <t>DALARNAS LÄN</t>
        </is>
      </c>
      <c r="E364" t="inlineStr">
        <is>
          <t>SMEDJEBACKEN</t>
        </is>
      </c>
      <c r="G364" t="n">
        <v>2.3</v>
      </c>
      <c r="H364" t="n">
        <v>0</v>
      </c>
      <c r="I364" t="n">
        <v>0</v>
      </c>
      <c r="J364" t="n">
        <v>0</v>
      </c>
      <c r="K364" t="n">
        <v>0</v>
      </c>
      <c r="L364" t="n">
        <v>0</v>
      </c>
      <c r="M364" t="n">
        <v>0</v>
      </c>
      <c r="N364" t="n">
        <v>0</v>
      </c>
      <c r="O364" t="n">
        <v>0</v>
      </c>
      <c r="P364" t="n">
        <v>0</v>
      </c>
      <c r="Q364" t="n">
        <v>0</v>
      </c>
      <c r="R364" s="2" t="inlineStr"/>
    </row>
    <row r="365" ht="15" customHeight="1">
      <c r="A365" t="inlineStr">
        <is>
          <t>A 60886-2021</t>
        </is>
      </c>
      <c r="B365" s="1" t="n">
        <v>44496</v>
      </c>
      <c r="C365" s="1" t="n">
        <v>45718</v>
      </c>
      <c r="D365" t="inlineStr">
        <is>
          <t>DALARNAS LÄN</t>
        </is>
      </c>
      <c r="E365" t="inlineStr">
        <is>
          <t>SMEDJEBACKEN</t>
        </is>
      </c>
      <c r="G365" t="n">
        <v>7</v>
      </c>
      <c r="H365" t="n">
        <v>0</v>
      </c>
      <c r="I365" t="n">
        <v>0</v>
      </c>
      <c r="J365" t="n">
        <v>0</v>
      </c>
      <c r="K365" t="n">
        <v>0</v>
      </c>
      <c r="L365" t="n">
        <v>0</v>
      </c>
      <c r="M365" t="n">
        <v>0</v>
      </c>
      <c r="N365" t="n">
        <v>0</v>
      </c>
      <c r="O365" t="n">
        <v>0</v>
      </c>
      <c r="P365" t="n">
        <v>0</v>
      </c>
      <c r="Q365" t="n">
        <v>0</v>
      </c>
      <c r="R365" s="2" t="inlineStr"/>
    </row>
    <row r="366" ht="15" customHeight="1">
      <c r="A366" t="inlineStr">
        <is>
          <t>A 60910-2021</t>
        </is>
      </c>
      <c r="B366" s="1" t="n">
        <v>44496</v>
      </c>
      <c r="C366" s="1" t="n">
        <v>45718</v>
      </c>
      <c r="D366" t="inlineStr">
        <is>
          <t>DALARNAS LÄN</t>
        </is>
      </c>
      <c r="E366" t="inlineStr">
        <is>
          <t>SMEDJEBACKEN</t>
        </is>
      </c>
      <c r="G366" t="n">
        <v>0.5</v>
      </c>
      <c r="H366" t="n">
        <v>0</v>
      </c>
      <c r="I366" t="n">
        <v>0</v>
      </c>
      <c r="J366" t="n">
        <v>0</v>
      </c>
      <c r="K366" t="n">
        <v>0</v>
      </c>
      <c r="L366" t="n">
        <v>0</v>
      </c>
      <c r="M366" t="n">
        <v>0</v>
      </c>
      <c r="N366" t="n">
        <v>0</v>
      </c>
      <c r="O366" t="n">
        <v>0</v>
      </c>
      <c r="P366" t="n">
        <v>0</v>
      </c>
      <c r="Q366" t="n">
        <v>0</v>
      </c>
      <c r="R366" s="2" t="inlineStr"/>
    </row>
    <row r="367" ht="15" customHeight="1">
      <c r="A367" t="inlineStr">
        <is>
          <t>A 60927-2021</t>
        </is>
      </c>
      <c r="B367" s="1" t="n">
        <v>44496</v>
      </c>
      <c r="C367" s="1" t="n">
        <v>45718</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60922-2021</t>
        </is>
      </c>
      <c r="B368" s="1" t="n">
        <v>44496</v>
      </c>
      <c r="C368" s="1" t="n">
        <v>45718</v>
      </c>
      <c r="D368" t="inlineStr">
        <is>
          <t>DALARNAS LÄN</t>
        </is>
      </c>
      <c r="E368" t="inlineStr">
        <is>
          <t>SMEDJEBACKEN</t>
        </is>
      </c>
      <c r="G368" t="n">
        <v>3.6</v>
      </c>
      <c r="H368" t="n">
        <v>0</v>
      </c>
      <c r="I368" t="n">
        <v>0</v>
      </c>
      <c r="J368" t="n">
        <v>0</v>
      </c>
      <c r="K368" t="n">
        <v>0</v>
      </c>
      <c r="L368" t="n">
        <v>0</v>
      </c>
      <c r="M368" t="n">
        <v>0</v>
      </c>
      <c r="N368" t="n">
        <v>0</v>
      </c>
      <c r="O368" t="n">
        <v>0</v>
      </c>
      <c r="P368" t="n">
        <v>0</v>
      </c>
      <c r="Q368" t="n">
        <v>0</v>
      </c>
      <c r="R368" s="2" t="inlineStr"/>
    </row>
    <row r="369" ht="15" customHeight="1">
      <c r="A369" t="inlineStr">
        <is>
          <t>A 60912-2021</t>
        </is>
      </c>
      <c r="B369" s="1" t="n">
        <v>44496</v>
      </c>
      <c r="C369" s="1" t="n">
        <v>45718</v>
      </c>
      <c r="D369" t="inlineStr">
        <is>
          <t>DALARNAS LÄN</t>
        </is>
      </c>
      <c r="E369" t="inlineStr">
        <is>
          <t>SMEDJEBACKEN</t>
        </is>
      </c>
      <c r="G369" t="n">
        <v>3</v>
      </c>
      <c r="H369" t="n">
        <v>0</v>
      </c>
      <c r="I369" t="n">
        <v>0</v>
      </c>
      <c r="J369" t="n">
        <v>0</v>
      </c>
      <c r="K369" t="n">
        <v>0</v>
      </c>
      <c r="L369" t="n">
        <v>0</v>
      </c>
      <c r="M369" t="n">
        <v>0</v>
      </c>
      <c r="N369" t="n">
        <v>0</v>
      </c>
      <c r="O369" t="n">
        <v>0</v>
      </c>
      <c r="P369" t="n">
        <v>0</v>
      </c>
      <c r="Q369" t="n">
        <v>0</v>
      </c>
      <c r="R369" s="2" t="inlineStr"/>
    </row>
    <row r="370" ht="15" customHeight="1">
      <c r="A370" t="inlineStr">
        <is>
          <t>A 62380-2021</t>
        </is>
      </c>
      <c r="B370" s="1" t="n">
        <v>44503</v>
      </c>
      <c r="C370" s="1" t="n">
        <v>45718</v>
      </c>
      <c r="D370" t="inlineStr">
        <is>
          <t>DALARNAS LÄN</t>
        </is>
      </c>
      <c r="E370" t="inlineStr">
        <is>
          <t>SMEDJEBACKEN</t>
        </is>
      </c>
      <c r="G370" t="n">
        <v>10.4</v>
      </c>
      <c r="H370" t="n">
        <v>0</v>
      </c>
      <c r="I370" t="n">
        <v>0</v>
      </c>
      <c r="J370" t="n">
        <v>0</v>
      </c>
      <c r="K370" t="n">
        <v>0</v>
      </c>
      <c r="L370" t="n">
        <v>0</v>
      </c>
      <c r="M370" t="n">
        <v>0</v>
      </c>
      <c r="N370" t="n">
        <v>0</v>
      </c>
      <c r="O370" t="n">
        <v>0</v>
      </c>
      <c r="P370" t="n">
        <v>0</v>
      </c>
      <c r="Q370" t="n">
        <v>0</v>
      </c>
      <c r="R370" s="2" t="inlineStr"/>
    </row>
    <row r="371" ht="15" customHeight="1">
      <c r="A371" t="inlineStr">
        <is>
          <t>A 63510-2021</t>
        </is>
      </c>
      <c r="B371" s="1" t="n">
        <v>44508</v>
      </c>
      <c r="C371" s="1" t="n">
        <v>45718</v>
      </c>
      <c r="D371" t="inlineStr">
        <is>
          <t>DALARNAS LÄN</t>
        </is>
      </c>
      <c r="E371" t="inlineStr">
        <is>
          <t>SMEDJEBACKEN</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63511-2021</t>
        </is>
      </c>
      <c r="B372" s="1" t="n">
        <v>44508</v>
      </c>
      <c r="C372" s="1" t="n">
        <v>45718</v>
      </c>
      <c r="D372" t="inlineStr">
        <is>
          <t>DALARNAS LÄN</t>
        </is>
      </c>
      <c r="E372" t="inlineStr">
        <is>
          <t>SMEDJEBACKEN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63693-2021</t>
        </is>
      </c>
      <c r="B373" s="1" t="n">
        <v>44509</v>
      </c>
      <c r="C373" s="1" t="n">
        <v>45718</v>
      </c>
      <c r="D373" t="inlineStr">
        <is>
          <t>DALARNAS LÄN</t>
        </is>
      </c>
      <c r="E373" t="inlineStr">
        <is>
          <t>SMEDJEBACKEN</t>
        </is>
      </c>
      <c r="G373" t="n">
        <v>1.6</v>
      </c>
      <c r="H373" t="n">
        <v>0</v>
      </c>
      <c r="I373" t="n">
        <v>0</v>
      </c>
      <c r="J373" t="n">
        <v>0</v>
      </c>
      <c r="K373" t="n">
        <v>0</v>
      </c>
      <c r="L373" t="n">
        <v>0</v>
      </c>
      <c r="M373" t="n">
        <v>0</v>
      </c>
      <c r="N373" t="n">
        <v>0</v>
      </c>
      <c r="O373" t="n">
        <v>0</v>
      </c>
      <c r="P373" t="n">
        <v>0</v>
      </c>
      <c r="Q373" t="n">
        <v>0</v>
      </c>
      <c r="R373" s="2" t="inlineStr"/>
    </row>
    <row r="374" ht="15" customHeight="1">
      <c r="A374" t="inlineStr">
        <is>
          <t>A 63691-2021</t>
        </is>
      </c>
      <c r="B374" s="1" t="n">
        <v>44509</v>
      </c>
      <c r="C374" s="1" t="n">
        <v>45718</v>
      </c>
      <c r="D374" t="inlineStr">
        <is>
          <t>DALARNAS LÄN</t>
        </is>
      </c>
      <c r="E374" t="inlineStr">
        <is>
          <t>SMEDJEBACKEN</t>
        </is>
      </c>
      <c r="G374" t="n">
        <v>1.8</v>
      </c>
      <c r="H374" t="n">
        <v>0</v>
      </c>
      <c r="I374" t="n">
        <v>0</v>
      </c>
      <c r="J374" t="n">
        <v>0</v>
      </c>
      <c r="K374" t="n">
        <v>0</v>
      </c>
      <c r="L374" t="n">
        <v>0</v>
      </c>
      <c r="M374" t="n">
        <v>0</v>
      </c>
      <c r="N374" t="n">
        <v>0</v>
      </c>
      <c r="O374" t="n">
        <v>0</v>
      </c>
      <c r="P374" t="n">
        <v>0</v>
      </c>
      <c r="Q374" t="n">
        <v>0</v>
      </c>
      <c r="R374" s="2" t="inlineStr"/>
    </row>
    <row r="375" ht="15" customHeight="1">
      <c r="A375" t="inlineStr">
        <is>
          <t>A 65249-2021</t>
        </is>
      </c>
      <c r="B375" s="1" t="n">
        <v>44515</v>
      </c>
      <c r="C375" s="1" t="n">
        <v>45718</v>
      </c>
      <c r="D375" t="inlineStr">
        <is>
          <t>DALARNAS LÄN</t>
        </is>
      </c>
      <c r="E375" t="inlineStr">
        <is>
          <t>SMEDJEBACKEN</t>
        </is>
      </c>
      <c r="G375" t="n">
        <v>0.9</v>
      </c>
      <c r="H375" t="n">
        <v>0</v>
      </c>
      <c r="I375" t="n">
        <v>0</v>
      </c>
      <c r="J375" t="n">
        <v>0</v>
      </c>
      <c r="K375" t="n">
        <v>0</v>
      </c>
      <c r="L375" t="n">
        <v>0</v>
      </c>
      <c r="M375" t="n">
        <v>0</v>
      </c>
      <c r="N375" t="n">
        <v>0</v>
      </c>
      <c r="O375" t="n">
        <v>0</v>
      </c>
      <c r="P375" t="n">
        <v>0</v>
      </c>
      <c r="Q375" t="n">
        <v>0</v>
      </c>
      <c r="R375" s="2" t="inlineStr"/>
    </row>
    <row r="376" ht="15" customHeight="1">
      <c r="A376" t="inlineStr">
        <is>
          <t>A 67977-2021</t>
        </is>
      </c>
      <c r="B376" s="1" t="n">
        <v>44525</v>
      </c>
      <c r="C376" s="1" t="n">
        <v>45718</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68913-2021</t>
        </is>
      </c>
      <c r="B377" s="1" t="n">
        <v>44530</v>
      </c>
      <c r="C377" s="1" t="n">
        <v>45718</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69033-2021</t>
        </is>
      </c>
      <c r="B378" s="1" t="n">
        <v>44530</v>
      </c>
      <c r="C378" s="1" t="n">
        <v>45718</v>
      </c>
      <c r="D378" t="inlineStr">
        <is>
          <t>DALARNAS LÄN</t>
        </is>
      </c>
      <c r="E378" t="inlineStr">
        <is>
          <t>SMEDJEBACKEN</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69042-2021</t>
        </is>
      </c>
      <c r="B379" s="1" t="n">
        <v>44530</v>
      </c>
      <c r="C379" s="1" t="n">
        <v>45718</v>
      </c>
      <c r="D379" t="inlineStr">
        <is>
          <t>DALARNAS LÄN</t>
        </is>
      </c>
      <c r="E379" t="inlineStr">
        <is>
          <t>SMEDJEBACKEN</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69084-2021</t>
        </is>
      </c>
      <c r="B380" s="1" t="n">
        <v>44530</v>
      </c>
      <c r="C380" s="1" t="n">
        <v>45718</v>
      </c>
      <c r="D380" t="inlineStr">
        <is>
          <t>DALARNAS LÄN</t>
        </is>
      </c>
      <c r="E380" t="inlineStr">
        <is>
          <t>SMEDJEBACKEN</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69335-2021</t>
        </is>
      </c>
      <c r="B381" s="1" t="n">
        <v>44531</v>
      </c>
      <c r="C381" s="1" t="n">
        <v>45718</v>
      </c>
      <c r="D381" t="inlineStr">
        <is>
          <t>DALARNAS LÄN</t>
        </is>
      </c>
      <c r="E381" t="inlineStr">
        <is>
          <t>SMEDJEBACKEN</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69334-2021</t>
        </is>
      </c>
      <c r="B382" s="1" t="n">
        <v>44531</v>
      </c>
      <c r="C382" s="1" t="n">
        <v>45718</v>
      </c>
      <c r="D382" t="inlineStr">
        <is>
          <t>DALARNAS LÄN</t>
        </is>
      </c>
      <c r="E382" t="inlineStr">
        <is>
          <t>SMEDJEBACKEN</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69512-2021</t>
        </is>
      </c>
      <c r="B383" s="1" t="n">
        <v>44531</v>
      </c>
      <c r="C383" s="1" t="n">
        <v>45718</v>
      </c>
      <c r="D383" t="inlineStr">
        <is>
          <t>DALARNAS LÄN</t>
        </is>
      </c>
      <c r="E383" t="inlineStr">
        <is>
          <t>SMEDJEBACKEN</t>
        </is>
      </c>
      <c r="G383" t="n">
        <v>3.1</v>
      </c>
      <c r="H383" t="n">
        <v>0</v>
      </c>
      <c r="I383" t="n">
        <v>0</v>
      </c>
      <c r="J383" t="n">
        <v>0</v>
      </c>
      <c r="K383" t="n">
        <v>0</v>
      </c>
      <c r="L383" t="n">
        <v>0</v>
      </c>
      <c r="M383" t="n">
        <v>0</v>
      </c>
      <c r="N383" t="n">
        <v>0</v>
      </c>
      <c r="O383" t="n">
        <v>0</v>
      </c>
      <c r="P383" t="n">
        <v>0</v>
      </c>
      <c r="Q383" t="n">
        <v>0</v>
      </c>
      <c r="R383" s="2" t="inlineStr"/>
    </row>
    <row r="384" ht="15" customHeight="1">
      <c r="A384" t="inlineStr">
        <is>
          <t>A 69540-2021</t>
        </is>
      </c>
      <c r="B384" s="1" t="n">
        <v>44531</v>
      </c>
      <c r="C384" s="1" t="n">
        <v>45718</v>
      </c>
      <c r="D384" t="inlineStr">
        <is>
          <t>DALARNAS LÄN</t>
        </is>
      </c>
      <c r="E384" t="inlineStr">
        <is>
          <t>SMEDJEBACKEN</t>
        </is>
      </c>
      <c r="G384" t="n">
        <v>6.3</v>
      </c>
      <c r="H384" t="n">
        <v>0</v>
      </c>
      <c r="I384" t="n">
        <v>0</v>
      </c>
      <c r="J384" t="n">
        <v>0</v>
      </c>
      <c r="K384" t="n">
        <v>0</v>
      </c>
      <c r="L384" t="n">
        <v>0</v>
      </c>
      <c r="M384" t="n">
        <v>0</v>
      </c>
      <c r="N384" t="n">
        <v>0</v>
      </c>
      <c r="O384" t="n">
        <v>0</v>
      </c>
      <c r="P384" t="n">
        <v>0</v>
      </c>
      <c r="Q384" t="n">
        <v>0</v>
      </c>
      <c r="R384" s="2" t="inlineStr"/>
    </row>
    <row r="385" ht="15" customHeight="1">
      <c r="A385" t="inlineStr">
        <is>
          <t>A 70780-2021</t>
        </is>
      </c>
      <c r="B385" s="1" t="n">
        <v>44537</v>
      </c>
      <c r="C385" s="1" t="n">
        <v>45718</v>
      </c>
      <c r="D385" t="inlineStr">
        <is>
          <t>DALARNAS LÄN</t>
        </is>
      </c>
      <c r="E385" t="inlineStr">
        <is>
          <t>SMEDJEBACKEN</t>
        </is>
      </c>
      <c r="G385" t="n">
        <v>3.2</v>
      </c>
      <c r="H385" t="n">
        <v>0</v>
      </c>
      <c r="I385" t="n">
        <v>0</v>
      </c>
      <c r="J385" t="n">
        <v>0</v>
      </c>
      <c r="K385" t="n">
        <v>0</v>
      </c>
      <c r="L385" t="n">
        <v>0</v>
      </c>
      <c r="M385" t="n">
        <v>0</v>
      </c>
      <c r="N385" t="n">
        <v>0</v>
      </c>
      <c r="O385" t="n">
        <v>0</v>
      </c>
      <c r="P385" t="n">
        <v>0</v>
      </c>
      <c r="Q385" t="n">
        <v>0</v>
      </c>
      <c r="R385" s="2" t="inlineStr"/>
    </row>
    <row r="386" ht="15" customHeight="1">
      <c r="A386" t="inlineStr">
        <is>
          <t>A 70937-2021</t>
        </is>
      </c>
      <c r="B386" s="1" t="n">
        <v>44537</v>
      </c>
      <c r="C386" s="1" t="n">
        <v>45718</v>
      </c>
      <c r="D386" t="inlineStr">
        <is>
          <t>DALARNAS LÄN</t>
        </is>
      </c>
      <c r="E386" t="inlineStr">
        <is>
          <t>SMEDJEBACKEN</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71337-2021</t>
        </is>
      </c>
      <c r="B387" s="1" t="n">
        <v>44539</v>
      </c>
      <c r="C387" s="1" t="n">
        <v>45718</v>
      </c>
      <c r="D387" t="inlineStr">
        <is>
          <t>DALARNAS LÄN</t>
        </is>
      </c>
      <c r="E387" t="inlineStr">
        <is>
          <t>SMEDJEBACKEN</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72384-2021</t>
        </is>
      </c>
      <c r="B388" s="1" t="n">
        <v>44545</v>
      </c>
      <c r="C388" s="1" t="n">
        <v>45718</v>
      </c>
      <c r="D388" t="inlineStr">
        <is>
          <t>DALARNAS LÄN</t>
        </is>
      </c>
      <c r="E388" t="inlineStr">
        <is>
          <t>SMEDJEBACKEN</t>
        </is>
      </c>
      <c r="G388" t="n">
        <v>13</v>
      </c>
      <c r="H388" t="n">
        <v>0</v>
      </c>
      <c r="I388" t="n">
        <v>0</v>
      </c>
      <c r="J388" t="n">
        <v>0</v>
      </c>
      <c r="K388" t="n">
        <v>0</v>
      </c>
      <c r="L388" t="n">
        <v>0</v>
      </c>
      <c r="M388" t="n">
        <v>0</v>
      </c>
      <c r="N388" t="n">
        <v>0</v>
      </c>
      <c r="O388" t="n">
        <v>0</v>
      </c>
      <c r="P388" t="n">
        <v>0</v>
      </c>
      <c r="Q388" t="n">
        <v>0</v>
      </c>
      <c r="R388" s="2" t="inlineStr"/>
    </row>
    <row r="389" ht="15" customHeight="1">
      <c r="A389" t="inlineStr">
        <is>
          <t>A 15-2022</t>
        </is>
      </c>
      <c r="B389" s="1" t="n">
        <v>44563</v>
      </c>
      <c r="C389" s="1" t="n">
        <v>45718</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16-2022</t>
        </is>
      </c>
      <c r="B390" s="1" t="n">
        <v>44563</v>
      </c>
      <c r="C390" s="1" t="n">
        <v>45718</v>
      </c>
      <c r="D390" t="inlineStr">
        <is>
          <t>DALARNAS LÄN</t>
        </is>
      </c>
      <c r="E390" t="inlineStr">
        <is>
          <t>SMEDJEBACKEN</t>
        </is>
      </c>
      <c r="G390" t="n">
        <v>2.9</v>
      </c>
      <c r="H390" t="n">
        <v>0</v>
      </c>
      <c r="I390" t="n">
        <v>0</v>
      </c>
      <c r="J390" t="n">
        <v>0</v>
      </c>
      <c r="K390" t="n">
        <v>0</v>
      </c>
      <c r="L390" t="n">
        <v>0</v>
      </c>
      <c r="M390" t="n">
        <v>0</v>
      </c>
      <c r="N390" t="n">
        <v>0</v>
      </c>
      <c r="O390" t="n">
        <v>0</v>
      </c>
      <c r="P390" t="n">
        <v>0</v>
      </c>
      <c r="Q390" t="n">
        <v>0</v>
      </c>
      <c r="R390" s="2" t="inlineStr"/>
    </row>
    <row r="391" ht="15" customHeight="1">
      <c r="A391" t="inlineStr">
        <is>
          <t>A 14-2022</t>
        </is>
      </c>
      <c r="B391" s="1" t="n">
        <v>44563</v>
      </c>
      <c r="C391" s="1" t="n">
        <v>45718</v>
      </c>
      <c r="D391" t="inlineStr">
        <is>
          <t>DALARNAS LÄN</t>
        </is>
      </c>
      <c r="E391" t="inlineStr">
        <is>
          <t>SMEDJEBACKEN</t>
        </is>
      </c>
      <c r="G391" t="n">
        <v>1.5</v>
      </c>
      <c r="H391" t="n">
        <v>0</v>
      </c>
      <c r="I391" t="n">
        <v>0</v>
      </c>
      <c r="J391" t="n">
        <v>0</v>
      </c>
      <c r="K391" t="n">
        <v>0</v>
      </c>
      <c r="L391" t="n">
        <v>0</v>
      </c>
      <c r="M391" t="n">
        <v>0</v>
      </c>
      <c r="N391" t="n">
        <v>0</v>
      </c>
      <c r="O391" t="n">
        <v>0</v>
      </c>
      <c r="P391" t="n">
        <v>0</v>
      </c>
      <c r="Q391" t="n">
        <v>0</v>
      </c>
      <c r="R391" s="2" t="inlineStr"/>
    </row>
    <row r="392" ht="15" customHeight="1">
      <c r="A392" t="inlineStr">
        <is>
          <t>A 337-2022</t>
        </is>
      </c>
      <c r="B392" s="1" t="n">
        <v>44565</v>
      </c>
      <c r="C392" s="1" t="n">
        <v>45718</v>
      </c>
      <c r="D392" t="inlineStr">
        <is>
          <t>DALARNAS LÄN</t>
        </is>
      </c>
      <c r="E392" t="inlineStr">
        <is>
          <t>SMEDJEBACKEN</t>
        </is>
      </c>
      <c r="G392" t="n">
        <v>1.7</v>
      </c>
      <c r="H392" t="n">
        <v>0</v>
      </c>
      <c r="I392" t="n">
        <v>0</v>
      </c>
      <c r="J392" t="n">
        <v>0</v>
      </c>
      <c r="K392" t="n">
        <v>0</v>
      </c>
      <c r="L392" t="n">
        <v>0</v>
      </c>
      <c r="M392" t="n">
        <v>0</v>
      </c>
      <c r="N392" t="n">
        <v>0</v>
      </c>
      <c r="O392" t="n">
        <v>0</v>
      </c>
      <c r="P392" t="n">
        <v>0</v>
      </c>
      <c r="Q392" t="n">
        <v>0</v>
      </c>
      <c r="R392" s="2" t="inlineStr"/>
    </row>
    <row r="393" ht="15" customHeight="1">
      <c r="A393" t="inlineStr">
        <is>
          <t>A 542-2022</t>
        </is>
      </c>
      <c r="B393" s="1" t="n">
        <v>44566</v>
      </c>
      <c r="C393" s="1" t="n">
        <v>45718</v>
      </c>
      <c r="D393" t="inlineStr">
        <is>
          <t>DALARNAS LÄN</t>
        </is>
      </c>
      <c r="E393" t="inlineStr">
        <is>
          <t>SMEDJEBACKEN</t>
        </is>
      </c>
      <c r="F393" t="inlineStr">
        <is>
          <t>Kyrkan</t>
        </is>
      </c>
      <c r="G393" t="n">
        <v>2.7</v>
      </c>
      <c r="H393" t="n">
        <v>0</v>
      </c>
      <c r="I393" t="n">
        <v>0</v>
      </c>
      <c r="J393" t="n">
        <v>0</v>
      </c>
      <c r="K393" t="n">
        <v>0</v>
      </c>
      <c r="L393" t="n">
        <v>0</v>
      </c>
      <c r="M393" t="n">
        <v>0</v>
      </c>
      <c r="N393" t="n">
        <v>0</v>
      </c>
      <c r="O393" t="n">
        <v>0</v>
      </c>
      <c r="P393" t="n">
        <v>0</v>
      </c>
      <c r="Q393" t="n">
        <v>0</v>
      </c>
      <c r="R393" s="2" t="inlineStr"/>
    </row>
    <row r="394" ht="15" customHeight="1">
      <c r="A394" t="inlineStr">
        <is>
          <t>A 540-2022</t>
        </is>
      </c>
      <c r="B394" s="1" t="n">
        <v>44566</v>
      </c>
      <c r="C394" s="1" t="n">
        <v>45718</v>
      </c>
      <c r="D394" t="inlineStr">
        <is>
          <t>DALARNAS LÄN</t>
        </is>
      </c>
      <c r="E394" t="inlineStr">
        <is>
          <t>SMEDJEBACKEN</t>
        </is>
      </c>
      <c r="F394" t="inlineStr">
        <is>
          <t>Kyrkan</t>
        </is>
      </c>
      <c r="G394" t="n">
        <v>3</v>
      </c>
      <c r="H394" t="n">
        <v>0</v>
      </c>
      <c r="I394" t="n">
        <v>0</v>
      </c>
      <c r="J394" t="n">
        <v>0</v>
      </c>
      <c r="K394" t="n">
        <v>0</v>
      </c>
      <c r="L394" t="n">
        <v>0</v>
      </c>
      <c r="M394" t="n">
        <v>0</v>
      </c>
      <c r="N394" t="n">
        <v>0</v>
      </c>
      <c r="O394" t="n">
        <v>0</v>
      </c>
      <c r="P394" t="n">
        <v>0</v>
      </c>
      <c r="Q394" t="n">
        <v>0</v>
      </c>
      <c r="R394" s="2" t="inlineStr"/>
    </row>
    <row r="395" ht="15" customHeight="1">
      <c r="A395" t="inlineStr">
        <is>
          <t>A 646-2022</t>
        </is>
      </c>
      <c r="B395" s="1" t="n">
        <v>44568</v>
      </c>
      <c r="C395" s="1" t="n">
        <v>45718</v>
      </c>
      <c r="D395" t="inlineStr">
        <is>
          <t>DALARNAS LÄN</t>
        </is>
      </c>
      <c r="E395" t="inlineStr">
        <is>
          <t>SMEDJEBACKEN</t>
        </is>
      </c>
      <c r="G395" t="n">
        <v>2.2</v>
      </c>
      <c r="H395" t="n">
        <v>0</v>
      </c>
      <c r="I395" t="n">
        <v>0</v>
      </c>
      <c r="J395" t="n">
        <v>0</v>
      </c>
      <c r="K395" t="n">
        <v>0</v>
      </c>
      <c r="L395" t="n">
        <v>0</v>
      </c>
      <c r="M395" t="n">
        <v>0</v>
      </c>
      <c r="N395" t="n">
        <v>0</v>
      </c>
      <c r="O395" t="n">
        <v>0</v>
      </c>
      <c r="P395" t="n">
        <v>0</v>
      </c>
      <c r="Q395" t="n">
        <v>0</v>
      </c>
      <c r="R395" s="2" t="inlineStr"/>
    </row>
    <row r="396" ht="15" customHeight="1">
      <c r="A396" t="inlineStr">
        <is>
          <t>A 907-2022</t>
        </is>
      </c>
      <c r="B396" s="1" t="n">
        <v>44571</v>
      </c>
      <c r="C396" s="1" t="n">
        <v>45718</v>
      </c>
      <c r="D396" t="inlineStr">
        <is>
          <t>DALARNAS LÄN</t>
        </is>
      </c>
      <c r="E396" t="inlineStr">
        <is>
          <t>SMEDJEBACKEN</t>
        </is>
      </c>
      <c r="G396" t="n">
        <v>0.7</v>
      </c>
      <c r="H396" t="n">
        <v>0</v>
      </c>
      <c r="I396" t="n">
        <v>0</v>
      </c>
      <c r="J396" t="n">
        <v>0</v>
      </c>
      <c r="K396" t="n">
        <v>0</v>
      </c>
      <c r="L396" t="n">
        <v>0</v>
      </c>
      <c r="M396" t="n">
        <v>0</v>
      </c>
      <c r="N396" t="n">
        <v>0</v>
      </c>
      <c r="O396" t="n">
        <v>0</v>
      </c>
      <c r="P396" t="n">
        <v>0</v>
      </c>
      <c r="Q396" t="n">
        <v>0</v>
      </c>
      <c r="R396" s="2" t="inlineStr"/>
    </row>
    <row r="397" ht="15" customHeight="1">
      <c r="A397" t="inlineStr">
        <is>
          <t>A 1700-2022</t>
        </is>
      </c>
      <c r="B397" s="1" t="n">
        <v>44574</v>
      </c>
      <c r="C397" s="1" t="n">
        <v>45718</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2836-2022</t>
        </is>
      </c>
      <c r="B398" s="1" t="n">
        <v>44581</v>
      </c>
      <c r="C398" s="1" t="n">
        <v>45718</v>
      </c>
      <c r="D398" t="inlineStr">
        <is>
          <t>DALARNAS LÄN</t>
        </is>
      </c>
      <c r="E398" t="inlineStr">
        <is>
          <t>SMEDJEBACKEN</t>
        </is>
      </c>
      <c r="G398" t="n">
        <v>2</v>
      </c>
      <c r="H398" t="n">
        <v>0</v>
      </c>
      <c r="I398" t="n">
        <v>0</v>
      </c>
      <c r="J398" t="n">
        <v>0</v>
      </c>
      <c r="K398" t="n">
        <v>0</v>
      </c>
      <c r="L398" t="n">
        <v>0</v>
      </c>
      <c r="M398" t="n">
        <v>0</v>
      </c>
      <c r="N398" t="n">
        <v>0</v>
      </c>
      <c r="O398" t="n">
        <v>0</v>
      </c>
      <c r="P398" t="n">
        <v>0</v>
      </c>
      <c r="Q398" t="n">
        <v>0</v>
      </c>
      <c r="R398" s="2" t="inlineStr"/>
    </row>
    <row r="399" ht="15" customHeight="1">
      <c r="A399" t="inlineStr">
        <is>
          <t>A 3898-2022</t>
        </is>
      </c>
      <c r="B399" s="1" t="n">
        <v>44587</v>
      </c>
      <c r="C399" s="1" t="n">
        <v>45718</v>
      </c>
      <c r="D399" t="inlineStr">
        <is>
          <t>DALARNAS LÄN</t>
        </is>
      </c>
      <c r="E399" t="inlineStr">
        <is>
          <t>SMEDJEBACKEN</t>
        </is>
      </c>
      <c r="G399" t="n">
        <v>2.4</v>
      </c>
      <c r="H399" t="n">
        <v>0</v>
      </c>
      <c r="I399" t="n">
        <v>0</v>
      </c>
      <c r="J399" t="n">
        <v>0</v>
      </c>
      <c r="K399" t="n">
        <v>0</v>
      </c>
      <c r="L399" t="n">
        <v>0</v>
      </c>
      <c r="M399" t="n">
        <v>0</v>
      </c>
      <c r="N399" t="n">
        <v>0</v>
      </c>
      <c r="O399" t="n">
        <v>0</v>
      </c>
      <c r="P399" t="n">
        <v>0</v>
      </c>
      <c r="Q399" t="n">
        <v>0</v>
      </c>
      <c r="R399" s="2" t="inlineStr"/>
    </row>
    <row r="400" ht="15" customHeight="1">
      <c r="A400" t="inlineStr">
        <is>
          <t>A 7174-2022</t>
        </is>
      </c>
      <c r="B400" s="1" t="n">
        <v>44604</v>
      </c>
      <c r="C400" s="1" t="n">
        <v>45718</v>
      </c>
      <c r="D400" t="inlineStr">
        <is>
          <t>DALARNAS LÄN</t>
        </is>
      </c>
      <c r="E400" t="inlineStr">
        <is>
          <t>SMEDJEBACKEN</t>
        </is>
      </c>
      <c r="G400" t="n">
        <v>3.4</v>
      </c>
      <c r="H400" t="n">
        <v>0</v>
      </c>
      <c r="I400" t="n">
        <v>0</v>
      </c>
      <c r="J400" t="n">
        <v>0</v>
      </c>
      <c r="K400" t="n">
        <v>0</v>
      </c>
      <c r="L400" t="n">
        <v>0</v>
      </c>
      <c r="M400" t="n">
        <v>0</v>
      </c>
      <c r="N400" t="n">
        <v>0</v>
      </c>
      <c r="O400" t="n">
        <v>0</v>
      </c>
      <c r="P400" t="n">
        <v>0</v>
      </c>
      <c r="Q400" t="n">
        <v>0</v>
      </c>
      <c r="R400" s="2" t="inlineStr"/>
    </row>
    <row r="401" ht="15" customHeight="1">
      <c r="A401" t="inlineStr">
        <is>
          <t>A 7221-2022</t>
        </is>
      </c>
      <c r="B401" s="1" t="n">
        <v>44606</v>
      </c>
      <c r="C401" s="1" t="n">
        <v>45718</v>
      </c>
      <c r="D401" t="inlineStr">
        <is>
          <t>DALARNAS LÄN</t>
        </is>
      </c>
      <c r="E401" t="inlineStr">
        <is>
          <t>SMEDJEBACKEN</t>
        </is>
      </c>
      <c r="G401" t="n">
        <v>4.8</v>
      </c>
      <c r="H401" t="n">
        <v>0</v>
      </c>
      <c r="I401" t="n">
        <v>0</v>
      </c>
      <c r="J401" t="n">
        <v>0</v>
      </c>
      <c r="K401" t="n">
        <v>0</v>
      </c>
      <c r="L401" t="n">
        <v>0</v>
      </c>
      <c r="M401" t="n">
        <v>0</v>
      </c>
      <c r="N401" t="n">
        <v>0</v>
      </c>
      <c r="O401" t="n">
        <v>0</v>
      </c>
      <c r="P401" t="n">
        <v>0</v>
      </c>
      <c r="Q401" t="n">
        <v>0</v>
      </c>
      <c r="R401" s="2" t="inlineStr"/>
    </row>
    <row r="402" ht="15" customHeight="1">
      <c r="A402" t="inlineStr">
        <is>
          <t>A 7759-2022</t>
        </is>
      </c>
      <c r="B402" s="1" t="n">
        <v>44608</v>
      </c>
      <c r="C402" s="1" t="n">
        <v>45718</v>
      </c>
      <c r="D402" t="inlineStr">
        <is>
          <t>DALARNAS LÄN</t>
        </is>
      </c>
      <c r="E402" t="inlineStr">
        <is>
          <t>SMEDJEBACKEN</t>
        </is>
      </c>
      <c r="G402" t="n">
        <v>0.6</v>
      </c>
      <c r="H402" t="n">
        <v>0</v>
      </c>
      <c r="I402" t="n">
        <v>0</v>
      </c>
      <c r="J402" t="n">
        <v>0</v>
      </c>
      <c r="K402" t="n">
        <v>0</v>
      </c>
      <c r="L402" t="n">
        <v>0</v>
      </c>
      <c r="M402" t="n">
        <v>0</v>
      </c>
      <c r="N402" t="n">
        <v>0</v>
      </c>
      <c r="O402" t="n">
        <v>0</v>
      </c>
      <c r="P402" t="n">
        <v>0</v>
      </c>
      <c r="Q402" t="n">
        <v>0</v>
      </c>
      <c r="R402" s="2" t="inlineStr"/>
    </row>
    <row r="403" ht="15" customHeight="1">
      <c r="A403" t="inlineStr">
        <is>
          <t>A 8675-2022</t>
        </is>
      </c>
      <c r="B403" s="1" t="n">
        <v>44613</v>
      </c>
      <c r="C403" s="1" t="n">
        <v>45718</v>
      </c>
      <c r="D403" t="inlineStr">
        <is>
          <t>DALARNAS LÄN</t>
        </is>
      </c>
      <c r="E403" t="inlineStr">
        <is>
          <t>SMEDJEBACKEN</t>
        </is>
      </c>
      <c r="G403" t="n">
        <v>5.3</v>
      </c>
      <c r="H403" t="n">
        <v>0</v>
      </c>
      <c r="I403" t="n">
        <v>0</v>
      </c>
      <c r="J403" t="n">
        <v>0</v>
      </c>
      <c r="K403" t="n">
        <v>0</v>
      </c>
      <c r="L403" t="n">
        <v>0</v>
      </c>
      <c r="M403" t="n">
        <v>0</v>
      </c>
      <c r="N403" t="n">
        <v>0</v>
      </c>
      <c r="O403" t="n">
        <v>0</v>
      </c>
      <c r="P403" t="n">
        <v>0</v>
      </c>
      <c r="Q403" t="n">
        <v>0</v>
      </c>
      <c r="R403" s="2" t="inlineStr"/>
    </row>
    <row r="404" ht="15" customHeight="1">
      <c r="A404" t="inlineStr">
        <is>
          <t>A 9790-2022</t>
        </is>
      </c>
      <c r="B404" s="1" t="n">
        <v>44617</v>
      </c>
      <c r="C404" s="1" t="n">
        <v>45718</v>
      </c>
      <c r="D404" t="inlineStr">
        <is>
          <t>DALARNAS LÄN</t>
        </is>
      </c>
      <c r="E404" t="inlineStr">
        <is>
          <t>SMEDJEBACKEN</t>
        </is>
      </c>
      <c r="G404" t="n">
        <v>1.7</v>
      </c>
      <c r="H404" t="n">
        <v>0</v>
      </c>
      <c r="I404" t="n">
        <v>0</v>
      </c>
      <c r="J404" t="n">
        <v>0</v>
      </c>
      <c r="K404" t="n">
        <v>0</v>
      </c>
      <c r="L404" t="n">
        <v>0</v>
      </c>
      <c r="M404" t="n">
        <v>0</v>
      </c>
      <c r="N404" t="n">
        <v>0</v>
      </c>
      <c r="O404" t="n">
        <v>0</v>
      </c>
      <c r="P404" t="n">
        <v>0</v>
      </c>
      <c r="Q404" t="n">
        <v>0</v>
      </c>
      <c r="R404" s="2" t="inlineStr"/>
    </row>
    <row r="405" ht="15" customHeight="1">
      <c r="A405" t="inlineStr">
        <is>
          <t>A 10340-2022</t>
        </is>
      </c>
      <c r="B405" s="1" t="n">
        <v>44623</v>
      </c>
      <c r="C405" s="1" t="n">
        <v>45718</v>
      </c>
      <c r="D405" t="inlineStr">
        <is>
          <t>DALARNAS LÄN</t>
        </is>
      </c>
      <c r="E405" t="inlineStr">
        <is>
          <t>SMEDJEBACKEN</t>
        </is>
      </c>
      <c r="G405" t="n">
        <v>2.5</v>
      </c>
      <c r="H405" t="n">
        <v>0</v>
      </c>
      <c r="I405" t="n">
        <v>0</v>
      </c>
      <c r="J405" t="n">
        <v>0</v>
      </c>
      <c r="K405" t="n">
        <v>0</v>
      </c>
      <c r="L405" t="n">
        <v>0</v>
      </c>
      <c r="M405" t="n">
        <v>0</v>
      </c>
      <c r="N405" t="n">
        <v>0</v>
      </c>
      <c r="O405" t="n">
        <v>0</v>
      </c>
      <c r="P405" t="n">
        <v>0</v>
      </c>
      <c r="Q405" t="n">
        <v>0</v>
      </c>
      <c r="R405" s="2" t="inlineStr"/>
    </row>
    <row r="406" ht="15" customHeight="1">
      <c r="A406" t="inlineStr">
        <is>
          <t>A 11410-2022</t>
        </is>
      </c>
      <c r="B406" s="1" t="n">
        <v>44630</v>
      </c>
      <c r="C406" s="1" t="n">
        <v>45718</v>
      </c>
      <c r="D406" t="inlineStr">
        <is>
          <t>DALARNAS LÄN</t>
        </is>
      </c>
      <c r="E406" t="inlineStr">
        <is>
          <t>SMEDJEBACKEN</t>
        </is>
      </c>
      <c r="G406" t="n">
        <v>0.2</v>
      </c>
      <c r="H406" t="n">
        <v>0</v>
      </c>
      <c r="I406" t="n">
        <v>0</v>
      </c>
      <c r="J406" t="n">
        <v>0</v>
      </c>
      <c r="K406" t="n">
        <v>0</v>
      </c>
      <c r="L406" t="n">
        <v>0</v>
      </c>
      <c r="M406" t="n">
        <v>0</v>
      </c>
      <c r="N406" t="n">
        <v>0</v>
      </c>
      <c r="O406" t="n">
        <v>0</v>
      </c>
      <c r="P406" t="n">
        <v>0</v>
      </c>
      <c r="Q406" t="n">
        <v>0</v>
      </c>
      <c r="R406" s="2" t="inlineStr"/>
    </row>
    <row r="407" ht="15" customHeight="1">
      <c r="A407" t="inlineStr">
        <is>
          <t>A 11426-2022</t>
        </is>
      </c>
      <c r="B407" s="1" t="n">
        <v>44630</v>
      </c>
      <c r="C407" s="1" t="n">
        <v>45718</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12331-2022</t>
        </is>
      </c>
      <c r="B408" s="1" t="n">
        <v>44637</v>
      </c>
      <c r="C408" s="1" t="n">
        <v>45718</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12606-2022</t>
        </is>
      </c>
      <c r="B409" s="1" t="n">
        <v>44641</v>
      </c>
      <c r="C409" s="1" t="n">
        <v>45718</v>
      </c>
      <c r="D409" t="inlineStr">
        <is>
          <t>DALARNAS LÄN</t>
        </is>
      </c>
      <c r="E409" t="inlineStr">
        <is>
          <t>SMEDJEBACKEN</t>
        </is>
      </c>
      <c r="G409" t="n">
        <v>0.4</v>
      </c>
      <c r="H409" t="n">
        <v>0</v>
      </c>
      <c r="I409" t="n">
        <v>0</v>
      </c>
      <c r="J409" t="n">
        <v>0</v>
      </c>
      <c r="K409" t="n">
        <v>0</v>
      </c>
      <c r="L409" t="n">
        <v>0</v>
      </c>
      <c r="M409" t="n">
        <v>0</v>
      </c>
      <c r="N409" t="n">
        <v>0</v>
      </c>
      <c r="O409" t="n">
        <v>0</v>
      </c>
      <c r="P409" t="n">
        <v>0</v>
      </c>
      <c r="Q409" t="n">
        <v>0</v>
      </c>
      <c r="R409" s="2" t="inlineStr"/>
    </row>
    <row r="410" ht="15" customHeight="1">
      <c r="A410" t="inlineStr">
        <is>
          <t>A 14236-2022</t>
        </is>
      </c>
      <c r="B410" s="1" t="n">
        <v>44651</v>
      </c>
      <c r="C410" s="1" t="n">
        <v>45718</v>
      </c>
      <c r="D410" t="inlineStr">
        <is>
          <t>DALARNAS LÄN</t>
        </is>
      </c>
      <c r="E410" t="inlineStr">
        <is>
          <t>SMEDJEBACKEN</t>
        </is>
      </c>
      <c r="G410" t="n">
        <v>9.1</v>
      </c>
      <c r="H410" t="n">
        <v>0</v>
      </c>
      <c r="I410" t="n">
        <v>0</v>
      </c>
      <c r="J410" t="n">
        <v>0</v>
      </c>
      <c r="K410" t="n">
        <v>0</v>
      </c>
      <c r="L410" t="n">
        <v>0</v>
      </c>
      <c r="M410" t="n">
        <v>0</v>
      </c>
      <c r="N410" t="n">
        <v>0</v>
      </c>
      <c r="O410" t="n">
        <v>0</v>
      </c>
      <c r="P410" t="n">
        <v>0</v>
      </c>
      <c r="Q410" t="n">
        <v>0</v>
      </c>
      <c r="R410" s="2" t="inlineStr"/>
    </row>
    <row r="411" ht="15" customHeight="1">
      <c r="A411" t="inlineStr">
        <is>
          <t>A 14382-2022</t>
        </is>
      </c>
      <c r="B411" s="1" t="n">
        <v>44652</v>
      </c>
      <c r="C411" s="1" t="n">
        <v>45718</v>
      </c>
      <c r="D411" t="inlineStr">
        <is>
          <t>DALARNAS LÄN</t>
        </is>
      </c>
      <c r="E411" t="inlineStr">
        <is>
          <t>SMEDJEBACKEN</t>
        </is>
      </c>
      <c r="F411" t="inlineStr">
        <is>
          <t>Sveaskog</t>
        </is>
      </c>
      <c r="G411" t="n">
        <v>7.8</v>
      </c>
      <c r="H411" t="n">
        <v>0</v>
      </c>
      <c r="I411" t="n">
        <v>0</v>
      </c>
      <c r="J411" t="n">
        <v>0</v>
      </c>
      <c r="K411" t="n">
        <v>0</v>
      </c>
      <c r="L411" t="n">
        <v>0</v>
      </c>
      <c r="M411" t="n">
        <v>0</v>
      </c>
      <c r="N411" t="n">
        <v>0</v>
      </c>
      <c r="O411" t="n">
        <v>0</v>
      </c>
      <c r="P411" t="n">
        <v>0</v>
      </c>
      <c r="Q411" t="n">
        <v>0</v>
      </c>
      <c r="R411" s="2" t="inlineStr"/>
    </row>
    <row r="412" ht="15" customHeight="1">
      <c r="A412" t="inlineStr">
        <is>
          <t>A 14868-2022</t>
        </is>
      </c>
      <c r="B412" s="1" t="n">
        <v>44656</v>
      </c>
      <c r="C412" s="1" t="n">
        <v>45718</v>
      </c>
      <c r="D412" t="inlineStr">
        <is>
          <t>DALARNAS LÄN</t>
        </is>
      </c>
      <c r="E412" t="inlineStr">
        <is>
          <t>SMEDJEBACKEN</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15350-2022</t>
        </is>
      </c>
      <c r="B413" s="1" t="n">
        <v>44659</v>
      </c>
      <c r="C413" s="1" t="n">
        <v>45718</v>
      </c>
      <c r="D413" t="inlineStr">
        <is>
          <t>DALARNAS LÄN</t>
        </is>
      </c>
      <c r="E413" t="inlineStr">
        <is>
          <t>SMEDJEBACKEN</t>
        </is>
      </c>
      <c r="G413" t="n">
        <v>1.5</v>
      </c>
      <c r="H413" t="n">
        <v>0</v>
      </c>
      <c r="I413" t="n">
        <v>0</v>
      </c>
      <c r="J413" t="n">
        <v>0</v>
      </c>
      <c r="K413" t="n">
        <v>0</v>
      </c>
      <c r="L413" t="n">
        <v>0</v>
      </c>
      <c r="M413" t="n">
        <v>0</v>
      </c>
      <c r="N413" t="n">
        <v>0</v>
      </c>
      <c r="O413" t="n">
        <v>0</v>
      </c>
      <c r="P413" t="n">
        <v>0</v>
      </c>
      <c r="Q413" t="n">
        <v>0</v>
      </c>
      <c r="R413" s="2" t="inlineStr"/>
    </row>
    <row r="414" ht="15" customHeight="1">
      <c r="A414" t="inlineStr">
        <is>
          <t>A 15552-2022</t>
        </is>
      </c>
      <c r="B414" s="1" t="n">
        <v>44662</v>
      </c>
      <c r="C414" s="1" t="n">
        <v>45718</v>
      </c>
      <c r="D414" t="inlineStr">
        <is>
          <t>DALARNAS LÄN</t>
        </is>
      </c>
      <c r="E414" t="inlineStr">
        <is>
          <t>SMEDJEBACKEN</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16155-2022</t>
        </is>
      </c>
      <c r="B415" s="1" t="n">
        <v>44666</v>
      </c>
      <c r="C415" s="1" t="n">
        <v>45718</v>
      </c>
      <c r="D415" t="inlineStr">
        <is>
          <t>DALARNAS LÄN</t>
        </is>
      </c>
      <c r="E415" t="inlineStr">
        <is>
          <t>SMEDJEBACKEN</t>
        </is>
      </c>
      <c r="G415" t="n">
        <v>0.9</v>
      </c>
      <c r="H415" t="n">
        <v>0</v>
      </c>
      <c r="I415" t="n">
        <v>0</v>
      </c>
      <c r="J415" t="n">
        <v>0</v>
      </c>
      <c r="K415" t="n">
        <v>0</v>
      </c>
      <c r="L415" t="n">
        <v>0</v>
      </c>
      <c r="M415" t="n">
        <v>0</v>
      </c>
      <c r="N415" t="n">
        <v>0</v>
      </c>
      <c r="O415" t="n">
        <v>0</v>
      </c>
      <c r="P415" t="n">
        <v>0</v>
      </c>
      <c r="Q415" t="n">
        <v>0</v>
      </c>
      <c r="R415" s="2" t="inlineStr"/>
    </row>
    <row r="416" ht="15" customHeight="1">
      <c r="A416" t="inlineStr">
        <is>
          <t>A 16158-2022</t>
        </is>
      </c>
      <c r="B416" s="1" t="n">
        <v>44666</v>
      </c>
      <c r="C416" s="1" t="n">
        <v>45718</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17908-2022</t>
        </is>
      </c>
      <c r="B417" s="1" t="n">
        <v>44683</v>
      </c>
      <c r="C417" s="1" t="n">
        <v>45718</v>
      </c>
      <c r="D417" t="inlineStr">
        <is>
          <t>DALARNAS LÄN</t>
        </is>
      </c>
      <c r="E417" t="inlineStr">
        <is>
          <t>SMEDJEBACKEN</t>
        </is>
      </c>
      <c r="G417" t="n">
        <v>2</v>
      </c>
      <c r="H417" t="n">
        <v>0</v>
      </c>
      <c r="I417" t="n">
        <v>0</v>
      </c>
      <c r="J417" t="n">
        <v>0</v>
      </c>
      <c r="K417" t="n">
        <v>0</v>
      </c>
      <c r="L417" t="n">
        <v>0</v>
      </c>
      <c r="M417" t="n">
        <v>0</v>
      </c>
      <c r="N417" t="n">
        <v>0</v>
      </c>
      <c r="O417" t="n">
        <v>0</v>
      </c>
      <c r="P417" t="n">
        <v>0</v>
      </c>
      <c r="Q417" t="n">
        <v>0</v>
      </c>
      <c r="R417" s="2" t="inlineStr"/>
    </row>
    <row r="418" ht="15" customHeight="1">
      <c r="A418" t="inlineStr">
        <is>
          <t>A 17951-2022</t>
        </is>
      </c>
      <c r="B418" s="1" t="n">
        <v>44683</v>
      </c>
      <c r="C418" s="1" t="n">
        <v>45718</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17956-2022</t>
        </is>
      </c>
      <c r="B419" s="1" t="n">
        <v>44683</v>
      </c>
      <c r="C419" s="1" t="n">
        <v>45718</v>
      </c>
      <c r="D419" t="inlineStr">
        <is>
          <t>DALARNAS LÄN</t>
        </is>
      </c>
      <c r="E419" t="inlineStr">
        <is>
          <t>SMEDJEBACKEN</t>
        </is>
      </c>
      <c r="G419" t="n">
        <v>2.6</v>
      </c>
      <c r="H419" t="n">
        <v>0</v>
      </c>
      <c r="I419" t="n">
        <v>0</v>
      </c>
      <c r="J419" t="n">
        <v>0</v>
      </c>
      <c r="K419" t="n">
        <v>0</v>
      </c>
      <c r="L419" t="n">
        <v>0</v>
      </c>
      <c r="M419" t="n">
        <v>0</v>
      </c>
      <c r="N419" t="n">
        <v>0</v>
      </c>
      <c r="O419" t="n">
        <v>0</v>
      </c>
      <c r="P419" t="n">
        <v>0</v>
      </c>
      <c r="Q419" t="n">
        <v>0</v>
      </c>
      <c r="R419" s="2" t="inlineStr"/>
    </row>
    <row r="420" ht="15" customHeight="1">
      <c r="A420" t="inlineStr">
        <is>
          <t>A 18038-2022</t>
        </is>
      </c>
      <c r="B420" s="1" t="n">
        <v>44684</v>
      </c>
      <c r="C420" s="1" t="n">
        <v>45718</v>
      </c>
      <c r="D420" t="inlineStr">
        <is>
          <t>DALARNAS LÄN</t>
        </is>
      </c>
      <c r="E420" t="inlineStr">
        <is>
          <t>SMEDJEBACKEN</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18036-2022</t>
        </is>
      </c>
      <c r="B421" s="1" t="n">
        <v>44684</v>
      </c>
      <c r="C421" s="1" t="n">
        <v>45718</v>
      </c>
      <c r="D421" t="inlineStr">
        <is>
          <t>DALARNAS LÄN</t>
        </is>
      </c>
      <c r="E421" t="inlineStr">
        <is>
          <t>SMEDJEBACKEN</t>
        </is>
      </c>
      <c r="F421" t="inlineStr">
        <is>
          <t>Sveaskog</t>
        </is>
      </c>
      <c r="G421" t="n">
        <v>10.1</v>
      </c>
      <c r="H421" t="n">
        <v>0</v>
      </c>
      <c r="I421" t="n">
        <v>0</v>
      </c>
      <c r="J421" t="n">
        <v>0</v>
      </c>
      <c r="K421" t="n">
        <v>0</v>
      </c>
      <c r="L421" t="n">
        <v>0</v>
      </c>
      <c r="M421" t="n">
        <v>0</v>
      </c>
      <c r="N421" t="n">
        <v>0</v>
      </c>
      <c r="O421" t="n">
        <v>0</v>
      </c>
      <c r="P421" t="n">
        <v>0</v>
      </c>
      <c r="Q421" t="n">
        <v>0</v>
      </c>
      <c r="R421" s="2" t="inlineStr"/>
    </row>
    <row r="422" ht="15" customHeight="1">
      <c r="A422" t="inlineStr">
        <is>
          <t>A 18040-2022</t>
        </is>
      </c>
      <c r="B422" s="1" t="n">
        <v>44684</v>
      </c>
      <c r="C422" s="1" t="n">
        <v>45718</v>
      </c>
      <c r="D422" t="inlineStr">
        <is>
          <t>DALARNAS LÄN</t>
        </is>
      </c>
      <c r="E422" t="inlineStr">
        <is>
          <t>SMEDJEBACKEN</t>
        </is>
      </c>
      <c r="F422" t="inlineStr">
        <is>
          <t>Sveaskog</t>
        </is>
      </c>
      <c r="G422" t="n">
        <v>5.3</v>
      </c>
      <c r="H422" t="n">
        <v>0</v>
      </c>
      <c r="I422" t="n">
        <v>0</v>
      </c>
      <c r="J422" t="n">
        <v>0</v>
      </c>
      <c r="K422" t="n">
        <v>0</v>
      </c>
      <c r="L422" t="n">
        <v>0</v>
      </c>
      <c r="M422" t="n">
        <v>0</v>
      </c>
      <c r="N422" t="n">
        <v>0</v>
      </c>
      <c r="O422" t="n">
        <v>0</v>
      </c>
      <c r="P422" t="n">
        <v>0</v>
      </c>
      <c r="Q422" t="n">
        <v>0</v>
      </c>
      <c r="R422" s="2" t="inlineStr"/>
    </row>
    <row r="423" ht="15" customHeight="1">
      <c r="A423" t="inlineStr">
        <is>
          <t>A 18419-2022</t>
        </is>
      </c>
      <c r="B423" s="1" t="n">
        <v>44686</v>
      </c>
      <c r="C423" s="1" t="n">
        <v>45718</v>
      </c>
      <c r="D423" t="inlineStr">
        <is>
          <t>DALARNAS LÄN</t>
        </is>
      </c>
      <c r="E423" t="inlineStr">
        <is>
          <t>SMEDJEBACKEN</t>
        </is>
      </c>
      <c r="G423" t="n">
        <v>0.7</v>
      </c>
      <c r="H423" t="n">
        <v>0</v>
      </c>
      <c r="I423" t="n">
        <v>0</v>
      </c>
      <c r="J423" t="n">
        <v>0</v>
      </c>
      <c r="K423" t="n">
        <v>0</v>
      </c>
      <c r="L423" t="n">
        <v>0</v>
      </c>
      <c r="M423" t="n">
        <v>0</v>
      </c>
      <c r="N423" t="n">
        <v>0</v>
      </c>
      <c r="O423" t="n">
        <v>0</v>
      </c>
      <c r="P423" t="n">
        <v>0</v>
      </c>
      <c r="Q423" t="n">
        <v>0</v>
      </c>
      <c r="R423" s="2" t="inlineStr"/>
    </row>
    <row r="424" ht="15" customHeight="1">
      <c r="A424" t="inlineStr">
        <is>
          <t>A 18682-2022</t>
        </is>
      </c>
      <c r="B424" s="1" t="n">
        <v>44687</v>
      </c>
      <c r="C424" s="1" t="n">
        <v>45718</v>
      </c>
      <c r="D424" t="inlineStr">
        <is>
          <t>DALARNAS LÄN</t>
        </is>
      </c>
      <c r="E424" t="inlineStr">
        <is>
          <t>SMEDJEBACKEN</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19019-2022</t>
        </is>
      </c>
      <c r="B425" s="1" t="n">
        <v>44691</v>
      </c>
      <c r="C425" s="1" t="n">
        <v>45718</v>
      </c>
      <c r="D425" t="inlineStr">
        <is>
          <t>DALARNAS LÄN</t>
        </is>
      </c>
      <c r="E425" t="inlineStr">
        <is>
          <t>SMEDJEBACKEN</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20099-2022</t>
        </is>
      </c>
      <c r="B426" s="1" t="n">
        <v>44698</v>
      </c>
      <c r="C426" s="1" t="n">
        <v>45718</v>
      </c>
      <c r="D426" t="inlineStr">
        <is>
          <t>DALARNAS LÄN</t>
        </is>
      </c>
      <c r="E426" t="inlineStr">
        <is>
          <t>SMEDJEBACKEN</t>
        </is>
      </c>
      <c r="F426" t="inlineStr">
        <is>
          <t>Övriga Aktiebolag</t>
        </is>
      </c>
      <c r="G426" t="n">
        <v>8</v>
      </c>
      <c r="H426" t="n">
        <v>0</v>
      </c>
      <c r="I426" t="n">
        <v>0</v>
      </c>
      <c r="J426" t="n">
        <v>0</v>
      </c>
      <c r="K426" t="n">
        <v>0</v>
      </c>
      <c r="L426" t="n">
        <v>0</v>
      </c>
      <c r="M426" t="n">
        <v>0</v>
      </c>
      <c r="N426" t="n">
        <v>0</v>
      </c>
      <c r="O426" t="n">
        <v>0</v>
      </c>
      <c r="P426" t="n">
        <v>0</v>
      </c>
      <c r="Q426" t="n">
        <v>0</v>
      </c>
      <c r="R426" s="2" t="inlineStr"/>
    </row>
    <row r="427" ht="15" customHeight="1">
      <c r="A427" t="inlineStr">
        <is>
          <t>A 20623-2022</t>
        </is>
      </c>
      <c r="B427" s="1" t="n">
        <v>44700</v>
      </c>
      <c r="C427" s="1" t="n">
        <v>45718</v>
      </c>
      <c r="D427" t="inlineStr">
        <is>
          <t>DALARNAS LÄN</t>
        </is>
      </c>
      <c r="E427" t="inlineStr">
        <is>
          <t>SMEDJEBACKEN</t>
        </is>
      </c>
      <c r="G427" t="n">
        <v>0.8</v>
      </c>
      <c r="H427" t="n">
        <v>0</v>
      </c>
      <c r="I427" t="n">
        <v>0</v>
      </c>
      <c r="J427" t="n">
        <v>0</v>
      </c>
      <c r="K427" t="n">
        <v>0</v>
      </c>
      <c r="L427" t="n">
        <v>0</v>
      </c>
      <c r="M427" t="n">
        <v>0</v>
      </c>
      <c r="N427" t="n">
        <v>0</v>
      </c>
      <c r="O427" t="n">
        <v>0</v>
      </c>
      <c r="P427" t="n">
        <v>0</v>
      </c>
      <c r="Q427" t="n">
        <v>0</v>
      </c>
      <c r="R427" s="2" t="inlineStr"/>
    </row>
    <row r="428" ht="15" customHeight="1">
      <c r="A428" t="inlineStr">
        <is>
          <t>A 21631-2022</t>
        </is>
      </c>
      <c r="B428" s="1" t="n">
        <v>44706</v>
      </c>
      <c r="C428" s="1" t="n">
        <v>45718</v>
      </c>
      <c r="D428" t="inlineStr">
        <is>
          <t>DALARNAS LÄN</t>
        </is>
      </c>
      <c r="E428" t="inlineStr">
        <is>
          <t>SMEDJEBACKEN</t>
        </is>
      </c>
      <c r="G428" t="n">
        <v>2.5</v>
      </c>
      <c r="H428" t="n">
        <v>0</v>
      </c>
      <c r="I428" t="n">
        <v>0</v>
      </c>
      <c r="J428" t="n">
        <v>0</v>
      </c>
      <c r="K428" t="n">
        <v>0</v>
      </c>
      <c r="L428" t="n">
        <v>0</v>
      </c>
      <c r="M428" t="n">
        <v>0</v>
      </c>
      <c r="N428" t="n">
        <v>0</v>
      </c>
      <c r="O428" t="n">
        <v>0</v>
      </c>
      <c r="P428" t="n">
        <v>0</v>
      </c>
      <c r="Q428" t="n">
        <v>0</v>
      </c>
      <c r="R428" s="2" t="inlineStr"/>
    </row>
    <row r="429" ht="15" customHeight="1">
      <c r="A429" t="inlineStr">
        <is>
          <t>A 22351-2022</t>
        </is>
      </c>
      <c r="B429" s="1" t="n">
        <v>44713</v>
      </c>
      <c r="C429" s="1" t="n">
        <v>45718</v>
      </c>
      <c r="D429" t="inlineStr">
        <is>
          <t>DALARNAS LÄN</t>
        </is>
      </c>
      <c r="E429" t="inlineStr">
        <is>
          <t>SMEDJEBACKEN</t>
        </is>
      </c>
      <c r="G429" t="n">
        <v>2.3</v>
      </c>
      <c r="H429" t="n">
        <v>0</v>
      </c>
      <c r="I429" t="n">
        <v>0</v>
      </c>
      <c r="J429" t="n">
        <v>0</v>
      </c>
      <c r="K429" t="n">
        <v>0</v>
      </c>
      <c r="L429" t="n">
        <v>0</v>
      </c>
      <c r="M429" t="n">
        <v>0</v>
      </c>
      <c r="N429" t="n">
        <v>0</v>
      </c>
      <c r="O429" t="n">
        <v>0</v>
      </c>
      <c r="P429" t="n">
        <v>0</v>
      </c>
      <c r="Q429" t="n">
        <v>0</v>
      </c>
      <c r="R429" s="2" t="inlineStr"/>
    </row>
    <row r="430" ht="15" customHeight="1">
      <c r="A430" t="inlineStr">
        <is>
          <t>A 22640-2022</t>
        </is>
      </c>
      <c r="B430" s="1" t="n">
        <v>44714</v>
      </c>
      <c r="C430" s="1" t="n">
        <v>45718</v>
      </c>
      <c r="D430" t="inlineStr">
        <is>
          <t>DALARNAS LÄN</t>
        </is>
      </c>
      <c r="E430" t="inlineStr">
        <is>
          <t>SMEDJEBACKEN</t>
        </is>
      </c>
      <c r="G430" t="n">
        <v>11.5</v>
      </c>
      <c r="H430" t="n">
        <v>0</v>
      </c>
      <c r="I430" t="n">
        <v>0</v>
      </c>
      <c r="J430" t="n">
        <v>0</v>
      </c>
      <c r="K430" t="n">
        <v>0</v>
      </c>
      <c r="L430" t="n">
        <v>0</v>
      </c>
      <c r="M430" t="n">
        <v>0</v>
      </c>
      <c r="N430" t="n">
        <v>0</v>
      </c>
      <c r="O430" t="n">
        <v>0</v>
      </c>
      <c r="P430" t="n">
        <v>0</v>
      </c>
      <c r="Q430" t="n">
        <v>0</v>
      </c>
      <c r="R430" s="2" t="inlineStr"/>
    </row>
    <row r="431" ht="15" customHeight="1">
      <c r="A431" t="inlineStr">
        <is>
          <t>A 22984-2022</t>
        </is>
      </c>
      <c r="B431" s="1" t="n">
        <v>44718</v>
      </c>
      <c r="C431" s="1" t="n">
        <v>45718</v>
      </c>
      <c r="D431" t="inlineStr">
        <is>
          <t>DALARNAS LÄN</t>
        </is>
      </c>
      <c r="E431" t="inlineStr">
        <is>
          <t>SMEDJEBACKEN</t>
        </is>
      </c>
      <c r="G431" t="n">
        <v>1.1</v>
      </c>
      <c r="H431" t="n">
        <v>0</v>
      </c>
      <c r="I431" t="n">
        <v>0</v>
      </c>
      <c r="J431" t="n">
        <v>0</v>
      </c>
      <c r="K431" t="n">
        <v>0</v>
      </c>
      <c r="L431" t="n">
        <v>0</v>
      </c>
      <c r="M431" t="n">
        <v>0</v>
      </c>
      <c r="N431" t="n">
        <v>0</v>
      </c>
      <c r="O431" t="n">
        <v>0</v>
      </c>
      <c r="P431" t="n">
        <v>0</v>
      </c>
      <c r="Q431" t="n">
        <v>0</v>
      </c>
      <c r="R431" s="2" t="inlineStr"/>
    </row>
    <row r="432" ht="15" customHeight="1">
      <c r="A432" t="inlineStr">
        <is>
          <t>A 24469-2022</t>
        </is>
      </c>
      <c r="B432" s="1" t="n">
        <v>44726</v>
      </c>
      <c r="C432" s="1" t="n">
        <v>45718</v>
      </c>
      <c r="D432" t="inlineStr">
        <is>
          <t>DALARNAS LÄN</t>
        </is>
      </c>
      <c r="E432" t="inlineStr">
        <is>
          <t>SMEDJEBACKEN</t>
        </is>
      </c>
      <c r="G432" t="n">
        <v>4.3</v>
      </c>
      <c r="H432" t="n">
        <v>0</v>
      </c>
      <c r="I432" t="n">
        <v>0</v>
      </c>
      <c r="J432" t="n">
        <v>0</v>
      </c>
      <c r="K432" t="n">
        <v>0</v>
      </c>
      <c r="L432" t="n">
        <v>0</v>
      </c>
      <c r="M432" t="n">
        <v>0</v>
      </c>
      <c r="N432" t="n">
        <v>0</v>
      </c>
      <c r="O432" t="n">
        <v>0</v>
      </c>
      <c r="P432" t="n">
        <v>0</v>
      </c>
      <c r="Q432" t="n">
        <v>0</v>
      </c>
      <c r="R432" s="2" t="inlineStr"/>
    </row>
    <row r="433" ht="15" customHeight="1">
      <c r="A433" t="inlineStr">
        <is>
          <t>A 25344-2022</t>
        </is>
      </c>
      <c r="B433" s="1" t="n">
        <v>44732</v>
      </c>
      <c r="C433" s="1" t="n">
        <v>45718</v>
      </c>
      <c r="D433" t="inlineStr">
        <is>
          <t>DALARNAS LÄN</t>
        </is>
      </c>
      <c r="E433" t="inlineStr">
        <is>
          <t>SMEDJEBACKEN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25788-2022</t>
        </is>
      </c>
      <c r="B434" s="1" t="n">
        <v>44733</v>
      </c>
      <c r="C434" s="1" t="n">
        <v>45718</v>
      </c>
      <c r="D434" t="inlineStr">
        <is>
          <t>DALARNAS LÄN</t>
        </is>
      </c>
      <c r="E434" t="inlineStr">
        <is>
          <t>SMEDJEBACKEN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26005-2022</t>
        </is>
      </c>
      <c r="B435" s="1" t="n">
        <v>44734</v>
      </c>
      <c r="C435" s="1" t="n">
        <v>45718</v>
      </c>
      <c r="D435" t="inlineStr">
        <is>
          <t>DALARNAS LÄN</t>
        </is>
      </c>
      <c r="E435" t="inlineStr">
        <is>
          <t>SMEDJEBACKEN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26009-2022</t>
        </is>
      </c>
      <c r="B436" s="1" t="n">
        <v>44734</v>
      </c>
      <c r="C436" s="1" t="n">
        <v>45718</v>
      </c>
      <c r="D436" t="inlineStr">
        <is>
          <t>DALARNAS LÄN</t>
        </is>
      </c>
      <c r="E436" t="inlineStr">
        <is>
          <t>SMEDJEBACKEN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26305-2022</t>
        </is>
      </c>
      <c r="B437" s="1" t="n">
        <v>44735</v>
      </c>
      <c r="C437" s="1" t="n">
        <v>45718</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26298-2022</t>
        </is>
      </c>
      <c r="B438" s="1" t="n">
        <v>44735</v>
      </c>
      <c r="C438" s="1" t="n">
        <v>45718</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26294-2022</t>
        </is>
      </c>
      <c r="B439" s="1" t="n">
        <v>44735</v>
      </c>
      <c r="C439" s="1" t="n">
        <v>45718</v>
      </c>
      <c r="D439" t="inlineStr">
        <is>
          <t>DALARNAS LÄN</t>
        </is>
      </c>
      <c r="E439" t="inlineStr">
        <is>
          <t>SMEDJEBACKEN</t>
        </is>
      </c>
      <c r="G439" t="n">
        <v>1.2</v>
      </c>
      <c r="H439" t="n">
        <v>0</v>
      </c>
      <c r="I439" t="n">
        <v>0</v>
      </c>
      <c r="J439" t="n">
        <v>0</v>
      </c>
      <c r="K439" t="n">
        <v>0</v>
      </c>
      <c r="L439" t="n">
        <v>0</v>
      </c>
      <c r="M439" t="n">
        <v>0</v>
      </c>
      <c r="N439" t="n">
        <v>0</v>
      </c>
      <c r="O439" t="n">
        <v>0</v>
      </c>
      <c r="P439" t="n">
        <v>0</v>
      </c>
      <c r="Q439" t="n">
        <v>0</v>
      </c>
      <c r="R439" s="2" t="inlineStr"/>
    </row>
    <row r="440" ht="15" customHeight="1">
      <c r="A440" t="inlineStr">
        <is>
          <t>A 26669-2022</t>
        </is>
      </c>
      <c r="B440" s="1" t="n">
        <v>44739</v>
      </c>
      <c r="C440" s="1" t="n">
        <v>45718</v>
      </c>
      <c r="D440" t="inlineStr">
        <is>
          <t>DALARNAS LÄN</t>
        </is>
      </c>
      <c r="E440" t="inlineStr">
        <is>
          <t>SMEDJEBACKEN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27070-2022</t>
        </is>
      </c>
      <c r="B441" s="1" t="n">
        <v>44741</v>
      </c>
      <c r="C441" s="1" t="n">
        <v>45718</v>
      </c>
      <c r="D441" t="inlineStr">
        <is>
          <t>DALARNAS LÄN</t>
        </is>
      </c>
      <c r="E441" t="inlineStr">
        <is>
          <t>SMEDJEBACKEN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28613-2022</t>
        </is>
      </c>
      <c r="B442" s="1" t="n">
        <v>44748</v>
      </c>
      <c r="C442" s="1" t="n">
        <v>45718</v>
      </c>
      <c r="D442" t="inlineStr">
        <is>
          <t>DALARNAS LÄN</t>
        </is>
      </c>
      <c r="E442" t="inlineStr">
        <is>
          <t>SMEDJEBACKEN</t>
        </is>
      </c>
      <c r="G442" t="n">
        <v>0.9</v>
      </c>
      <c r="H442" t="n">
        <v>0</v>
      </c>
      <c r="I442" t="n">
        <v>0</v>
      </c>
      <c r="J442" t="n">
        <v>0</v>
      </c>
      <c r="K442" t="n">
        <v>0</v>
      </c>
      <c r="L442" t="n">
        <v>0</v>
      </c>
      <c r="M442" t="n">
        <v>0</v>
      </c>
      <c r="N442" t="n">
        <v>0</v>
      </c>
      <c r="O442" t="n">
        <v>0</v>
      </c>
      <c r="P442" t="n">
        <v>0</v>
      </c>
      <c r="Q442" t="n">
        <v>0</v>
      </c>
      <c r="R442" s="2" t="inlineStr"/>
    </row>
    <row r="443" ht="15" customHeight="1">
      <c r="A443" t="inlineStr">
        <is>
          <t>A 31143-2022</t>
        </is>
      </c>
      <c r="B443" s="1" t="n">
        <v>44770</v>
      </c>
      <c r="C443" s="1" t="n">
        <v>45718</v>
      </c>
      <c r="D443" t="inlineStr">
        <is>
          <t>DALARNAS LÄN</t>
        </is>
      </c>
      <c r="E443" t="inlineStr">
        <is>
          <t>SMEDJEBACKEN</t>
        </is>
      </c>
      <c r="G443" t="n">
        <v>1.5</v>
      </c>
      <c r="H443" t="n">
        <v>0</v>
      </c>
      <c r="I443" t="n">
        <v>0</v>
      </c>
      <c r="J443" t="n">
        <v>0</v>
      </c>
      <c r="K443" t="n">
        <v>0</v>
      </c>
      <c r="L443" t="n">
        <v>0</v>
      </c>
      <c r="M443" t="n">
        <v>0</v>
      </c>
      <c r="N443" t="n">
        <v>0</v>
      </c>
      <c r="O443" t="n">
        <v>0</v>
      </c>
      <c r="P443" t="n">
        <v>0</v>
      </c>
      <c r="Q443" t="n">
        <v>0</v>
      </c>
      <c r="R443" s="2" t="inlineStr"/>
    </row>
    <row r="444" ht="15" customHeight="1">
      <c r="A444" t="inlineStr">
        <is>
          <t>A 31326-2022</t>
        </is>
      </c>
      <c r="B444" s="1" t="n">
        <v>44774</v>
      </c>
      <c r="C444" s="1" t="n">
        <v>45718</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31781-2022</t>
        </is>
      </c>
      <c r="B445" s="1" t="n">
        <v>44776</v>
      </c>
      <c r="C445" s="1" t="n">
        <v>45718</v>
      </c>
      <c r="D445" t="inlineStr">
        <is>
          <t>DALARNAS LÄN</t>
        </is>
      </c>
      <c r="E445" t="inlineStr">
        <is>
          <t>SMEDJEBACKEN</t>
        </is>
      </c>
      <c r="F445" t="inlineStr">
        <is>
          <t>Bergvik skog väst AB</t>
        </is>
      </c>
      <c r="G445" t="n">
        <v>7.6</v>
      </c>
      <c r="H445" t="n">
        <v>0</v>
      </c>
      <c r="I445" t="n">
        <v>0</v>
      </c>
      <c r="J445" t="n">
        <v>0</v>
      </c>
      <c r="K445" t="n">
        <v>0</v>
      </c>
      <c r="L445" t="n">
        <v>0</v>
      </c>
      <c r="M445" t="n">
        <v>0</v>
      </c>
      <c r="N445" t="n">
        <v>0</v>
      </c>
      <c r="O445" t="n">
        <v>0</v>
      </c>
      <c r="P445" t="n">
        <v>0</v>
      </c>
      <c r="Q445" t="n">
        <v>0</v>
      </c>
      <c r="R445" s="2" t="inlineStr"/>
    </row>
    <row r="446" ht="15" customHeight="1">
      <c r="A446" t="inlineStr">
        <is>
          <t>A 31791-2022</t>
        </is>
      </c>
      <c r="B446" s="1" t="n">
        <v>44776</v>
      </c>
      <c r="C446" s="1" t="n">
        <v>45718</v>
      </c>
      <c r="D446" t="inlineStr">
        <is>
          <t>DALARNAS LÄN</t>
        </is>
      </c>
      <c r="E446" t="inlineStr">
        <is>
          <t>SMEDJEBACKEN</t>
        </is>
      </c>
      <c r="F446" t="inlineStr">
        <is>
          <t>Bergvik skog väst AB</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31809-2022</t>
        </is>
      </c>
      <c r="B447" s="1" t="n">
        <v>44776</v>
      </c>
      <c r="C447" s="1" t="n">
        <v>45718</v>
      </c>
      <c r="D447" t="inlineStr">
        <is>
          <t>DALARNAS LÄN</t>
        </is>
      </c>
      <c r="E447" t="inlineStr">
        <is>
          <t>SMEDJEBACKEN</t>
        </is>
      </c>
      <c r="F447" t="inlineStr">
        <is>
          <t>Bergvik skog väst AB</t>
        </is>
      </c>
      <c r="G447" t="n">
        <v>5.5</v>
      </c>
      <c r="H447" t="n">
        <v>0</v>
      </c>
      <c r="I447" t="n">
        <v>0</v>
      </c>
      <c r="J447" t="n">
        <v>0</v>
      </c>
      <c r="K447" t="n">
        <v>0</v>
      </c>
      <c r="L447" t="n">
        <v>0</v>
      </c>
      <c r="M447" t="n">
        <v>0</v>
      </c>
      <c r="N447" t="n">
        <v>0</v>
      </c>
      <c r="O447" t="n">
        <v>0</v>
      </c>
      <c r="P447" t="n">
        <v>0</v>
      </c>
      <c r="Q447" t="n">
        <v>0</v>
      </c>
      <c r="R447" s="2" t="inlineStr"/>
    </row>
    <row r="448" ht="15" customHeight="1">
      <c r="A448" t="inlineStr">
        <is>
          <t>A 31788-2022</t>
        </is>
      </c>
      <c r="B448" s="1" t="n">
        <v>44776</v>
      </c>
      <c r="C448" s="1" t="n">
        <v>45718</v>
      </c>
      <c r="D448" t="inlineStr">
        <is>
          <t>DALARNAS LÄN</t>
        </is>
      </c>
      <c r="E448" t="inlineStr">
        <is>
          <t>SMEDJEBACKEN</t>
        </is>
      </c>
      <c r="F448" t="inlineStr">
        <is>
          <t>Bergvik skog väst AB</t>
        </is>
      </c>
      <c r="G448" t="n">
        <v>3.9</v>
      </c>
      <c r="H448" t="n">
        <v>0</v>
      </c>
      <c r="I448" t="n">
        <v>0</v>
      </c>
      <c r="J448" t="n">
        <v>0</v>
      </c>
      <c r="K448" t="n">
        <v>0</v>
      </c>
      <c r="L448" t="n">
        <v>0</v>
      </c>
      <c r="M448" t="n">
        <v>0</v>
      </c>
      <c r="N448" t="n">
        <v>0</v>
      </c>
      <c r="O448" t="n">
        <v>0</v>
      </c>
      <c r="P448" t="n">
        <v>0</v>
      </c>
      <c r="Q448" t="n">
        <v>0</v>
      </c>
      <c r="R448" s="2" t="inlineStr"/>
    </row>
    <row r="449" ht="15" customHeight="1">
      <c r="A449" t="inlineStr">
        <is>
          <t>A 31795-2022</t>
        </is>
      </c>
      <c r="B449" s="1" t="n">
        <v>44776</v>
      </c>
      <c r="C449" s="1" t="n">
        <v>45718</v>
      </c>
      <c r="D449" t="inlineStr">
        <is>
          <t>DALARNAS LÄN</t>
        </is>
      </c>
      <c r="E449" t="inlineStr">
        <is>
          <t>SMEDJEBACKEN</t>
        </is>
      </c>
      <c r="F449" t="inlineStr">
        <is>
          <t>Bergvik skog väst AB</t>
        </is>
      </c>
      <c r="G449" t="n">
        <v>7.5</v>
      </c>
      <c r="H449" t="n">
        <v>0</v>
      </c>
      <c r="I449" t="n">
        <v>0</v>
      </c>
      <c r="J449" t="n">
        <v>0</v>
      </c>
      <c r="K449" t="n">
        <v>0</v>
      </c>
      <c r="L449" t="n">
        <v>0</v>
      </c>
      <c r="M449" t="n">
        <v>0</v>
      </c>
      <c r="N449" t="n">
        <v>0</v>
      </c>
      <c r="O449" t="n">
        <v>0</v>
      </c>
      <c r="P449" t="n">
        <v>0</v>
      </c>
      <c r="Q449" t="n">
        <v>0</v>
      </c>
      <c r="R449" s="2" t="inlineStr"/>
    </row>
    <row r="450" ht="15" customHeight="1">
      <c r="A450" t="inlineStr">
        <is>
          <t>A 31792-2022</t>
        </is>
      </c>
      <c r="B450" s="1" t="n">
        <v>44776</v>
      </c>
      <c r="C450" s="1" t="n">
        <v>45718</v>
      </c>
      <c r="D450" t="inlineStr">
        <is>
          <t>DALARNAS LÄN</t>
        </is>
      </c>
      <c r="E450" t="inlineStr">
        <is>
          <t>SMEDJEBACKEN</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31799-2022</t>
        </is>
      </c>
      <c r="B451" s="1" t="n">
        <v>44776</v>
      </c>
      <c r="C451" s="1" t="n">
        <v>45718</v>
      </c>
      <c r="D451" t="inlineStr">
        <is>
          <t>DALARNAS LÄN</t>
        </is>
      </c>
      <c r="E451" t="inlineStr">
        <is>
          <t>SMEDJEBACKEN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32013-2022</t>
        </is>
      </c>
      <c r="B452" s="1" t="n">
        <v>44778</v>
      </c>
      <c r="C452" s="1" t="n">
        <v>45718</v>
      </c>
      <c r="D452" t="inlineStr">
        <is>
          <t>DALARNAS LÄN</t>
        </is>
      </c>
      <c r="E452" t="inlineStr">
        <is>
          <t>SMEDJEBACKEN</t>
        </is>
      </c>
      <c r="G452" t="n">
        <v>1.7</v>
      </c>
      <c r="H452" t="n">
        <v>0</v>
      </c>
      <c r="I452" t="n">
        <v>0</v>
      </c>
      <c r="J452" t="n">
        <v>0</v>
      </c>
      <c r="K452" t="n">
        <v>0</v>
      </c>
      <c r="L452" t="n">
        <v>0</v>
      </c>
      <c r="M452" t="n">
        <v>0</v>
      </c>
      <c r="N452" t="n">
        <v>0</v>
      </c>
      <c r="O452" t="n">
        <v>0</v>
      </c>
      <c r="P452" t="n">
        <v>0</v>
      </c>
      <c r="Q452" t="n">
        <v>0</v>
      </c>
      <c r="R452" s="2" t="inlineStr"/>
    </row>
    <row r="453" ht="15" customHeight="1">
      <c r="A453" t="inlineStr">
        <is>
          <t>A 32016-2022</t>
        </is>
      </c>
      <c r="B453" s="1" t="n">
        <v>44778</v>
      </c>
      <c r="C453" s="1" t="n">
        <v>45718</v>
      </c>
      <c r="D453" t="inlineStr">
        <is>
          <t>DALARNAS LÄN</t>
        </is>
      </c>
      <c r="E453" t="inlineStr">
        <is>
          <t>SMEDJEBACKEN</t>
        </is>
      </c>
      <c r="G453" t="n">
        <v>1.1</v>
      </c>
      <c r="H453" t="n">
        <v>0</v>
      </c>
      <c r="I453" t="n">
        <v>0</v>
      </c>
      <c r="J453" t="n">
        <v>0</v>
      </c>
      <c r="K453" t="n">
        <v>0</v>
      </c>
      <c r="L453" t="n">
        <v>0</v>
      </c>
      <c r="M453" t="n">
        <v>0</v>
      </c>
      <c r="N453" t="n">
        <v>0</v>
      </c>
      <c r="O453" t="n">
        <v>0</v>
      </c>
      <c r="P453" t="n">
        <v>0</v>
      </c>
      <c r="Q453" t="n">
        <v>0</v>
      </c>
      <c r="R453" s="2" t="inlineStr"/>
    </row>
    <row r="454" ht="15" customHeight="1">
      <c r="A454" t="inlineStr">
        <is>
          <t>A 32381-2022</t>
        </is>
      </c>
      <c r="B454" s="1" t="n">
        <v>44781</v>
      </c>
      <c r="C454" s="1" t="n">
        <v>45718</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32384-2022</t>
        </is>
      </c>
      <c r="B455" s="1" t="n">
        <v>44782</v>
      </c>
      <c r="C455" s="1" t="n">
        <v>45718</v>
      </c>
      <c r="D455" t="inlineStr">
        <is>
          <t>DALARNAS LÄN</t>
        </is>
      </c>
      <c r="E455" t="inlineStr">
        <is>
          <t>SMEDJEBACKEN</t>
        </is>
      </c>
      <c r="G455" t="n">
        <v>2.9</v>
      </c>
      <c r="H455" t="n">
        <v>0</v>
      </c>
      <c r="I455" t="n">
        <v>0</v>
      </c>
      <c r="J455" t="n">
        <v>0</v>
      </c>
      <c r="K455" t="n">
        <v>0</v>
      </c>
      <c r="L455" t="n">
        <v>0</v>
      </c>
      <c r="M455" t="n">
        <v>0</v>
      </c>
      <c r="N455" t="n">
        <v>0</v>
      </c>
      <c r="O455" t="n">
        <v>0</v>
      </c>
      <c r="P455" t="n">
        <v>0</v>
      </c>
      <c r="Q455" t="n">
        <v>0</v>
      </c>
      <c r="R455" s="2" t="inlineStr"/>
    </row>
    <row r="456" ht="15" customHeight="1">
      <c r="A456" t="inlineStr">
        <is>
          <t>A 32903-2022</t>
        </is>
      </c>
      <c r="B456" s="1" t="n">
        <v>44784</v>
      </c>
      <c r="C456" s="1" t="n">
        <v>45718</v>
      </c>
      <c r="D456" t="inlineStr">
        <is>
          <t>DALARNAS LÄN</t>
        </is>
      </c>
      <c r="E456" t="inlineStr">
        <is>
          <t>SMEDJEBACKEN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32945-2022</t>
        </is>
      </c>
      <c r="B457" s="1" t="n">
        <v>44784</v>
      </c>
      <c r="C457" s="1" t="n">
        <v>45718</v>
      </c>
      <c r="D457" t="inlineStr">
        <is>
          <t>DALARNAS LÄN</t>
        </is>
      </c>
      <c r="E457" t="inlineStr">
        <is>
          <t>SMEDJEBACKEN</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32939-2022</t>
        </is>
      </c>
      <c r="B458" s="1" t="n">
        <v>44784</v>
      </c>
      <c r="C458" s="1" t="n">
        <v>45718</v>
      </c>
      <c r="D458" t="inlineStr">
        <is>
          <t>DALARNAS LÄN</t>
        </is>
      </c>
      <c r="E458" t="inlineStr">
        <is>
          <t>SMEDJEBACKEN</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33253-2022</t>
        </is>
      </c>
      <c r="B459" s="1" t="n">
        <v>44787</v>
      </c>
      <c r="C459" s="1" t="n">
        <v>45718</v>
      </c>
      <c r="D459" t="inlineStr">
        <is>
          <t>DALARNAS LÄN</t>
        </is>
      </c>
      <c r="E459" t="inlineStr">
        <is>
          <t>SMEDJEBACKEN</t>
        </is>
      </c>
      <c r="G459" t="n">
        <v>0.5</v>
      </c>
      <c r="H459" t="n">
        <v>0</v>
      </c>
      <c r="I459" t="n">
        <v>0</v>
      </c>
      <c r="J459" t="n">
        <v>0</v>
      </c>
      <c r="K459" t="n">
        <v>0</v>
      </c>
      <c r="L459" t="n">
        <v>0</v>
      </c>
      <c r="M459" t="n">
        <v>0</v>
      </c>
      <c r="N459" t="n">
        <v>0</v>
      </c>
      <c r="O459" t="n">
        <v>0</v>
      </c>
      <c r="P459" t="n">
        <v>0</v>
      </c>
      <c r="Q459" t="n">
        <v>0</v>
      </c>
      <c r="R459" s="2" t="inlineStr"/>
    </row>
    <row r="460" ht="15" customHeight="1">
      <c r="A460" t="inlineStr">
        <is>
          <t>A 33257-2022</t>
        </is>
      </c>
      <c r="B460" s="1" t="n">
        <v>44787</v>
      </c>
      <c r="C460" s="1" t="n">
        <v>45718</v>
      </c>
      <c r="D460" t="inlineStr">
        <is>
          <t>DALARNAS LÄN</t>
        </is>
      </c>
      <c r="E460" t="inlineStr">
        <is>
          <t>SMEDJEBACKEN</t>
        </is>
      </c>
      <c r="G460" t="n">
        <v>4</v>
      </c>
      <c r="H460" t="n">
        <v>0</v>
      </c>
      <c r="I460" t="n">
        <v>0</v>
      </c>
      <c r="J460" t="n">
        <v>0</v>
      </c>
      <c r="K460" t="n">
        <v>0</v>
      </c>
      <c r="L460" t="n">
        <v>0</v>
      </c>
      <c r="M460" t="n">
        <v>0</v>
      </c>
      <c r="N460" t="n">
        <v>0</v>
      </c>
      <c r="O460" t="n">
        <v>0</v>
      </c>
      <c r="P460" t="n">
        <v>0</v>
      </c>
      <c r="Q460" t="n">
        <v>0</v>
      </c>
      <c r="R460" s="2" t="inlineStr"/>
    </row>
    <row r="461" ht="15" customHeight="1">
      <c r="A461" t="inlineStr">
        <is>
          <t>A 33256-2022</t>
        </is>
      </c>
      <c r="B461" s="1" t="n">
        <v>44787</v>
      </c>
      <c r="C461" s="1" t="n">
        <v>45718</v>
      </c>
      <c r="D461" t="inlineStr">
        <is>
          <t>DALARNAS LÄN</t>
        </is>
      </c>
      <c r="E461" t="inlineStr">
        <is>
          <t>SMEDJEBACKEN</t>
        </is>
      </c>
      <c r="G461" t="n">
        <v>6.6</v>
      </c>
      <c r="H461" t="n">
        <v>0</v>
      </c>
      <c r="I461" t="n">
        <v>0</v>
      </c>
      <c r="J461" t="n">
        <v>0</v>
      </c>
      <c r="K461" t="n">
        <v>0</v>
      </c>
      <c r="L461" t="n">
        <v>0</v>
      </c>
      <c r="M461" t="n">
        <v>0</v>
      </c>
      <c r="N461" t="n">
        <v>0</v>
      </c>
      <c r="O461" t="n">
        <v>0</v>
      </c>
      <c r="P461" t="n">
        <v>0</v>
      </c>
      <c r="Q461" t="n">
        <v>0</v>
      </c>
      <c r="R461" s="2" t="inlineStr"/>
    </row>
    <row r="462" ht="15" customHeight="1">
      <c r="A462" t="inlineStr">
        <is>
          <t>A 33255-2022</t>
        </is>
      </c>
      <c r="B462" s="1" t="n">
        <v>44787</v>
      </c>
      <c r="C462" s="1" t="n">
        <v>45718</v>
      </c>
      <c r="D462" t="inlineStr">
        <is>
          <t>DALARNAS LÄN</t>
        </is>
      </c>
      <c r="E462" t="inlineStr">
        <is>
          <t>SMEDJEBACKEN</t>
        </is>
      </c>
      <c r="G462" t="n">
        <v>2.1</v>
      </c>
      <c r="H462" t="n">
        <v>0</v>
      </c>
      <c r="I462" t="n">
        <v>0</v>
      </c>
      <c r="J462" t="n">
        <v>0</v>
      </c>
      <c r="K462" t="n">
        <v>0</v>
      </c>
      <c r="L462" t="n">
        <v>0</v>
      </c>
      <c r="M462" t="n">
        <v>0</v>
      </c>
      <c r="N462" t="n">
        <v>0</v>
      </c>
      <c r="O462" t="n">
        <v>0</v>
      </c>
      <c r="P462" t="n">
        <v>0</v>
      </c>
      <c r="Q462" t="n">
        <v>0</v>
      </c>
      <c r="R462" s="2" t="inlineStr"/>
    </row>
    <row r="463" ht="15" customHeight="1">
      <c r="A463" t="inlineStr">
        <is>
          <t>A 33707-2022</t>
        </is>
      </c>
      <c r="B463" s="1" t="n">
        <v>44789</v>
      </c>
      <c r="C463" s="1" t="n">
        <v>45718</v>
      </c>
      <c r="D463" t="inlineStr">
        <is>
          <t>DALARNAS LÄN</t>
        </is>
      </c>
      <c r="E463" t="inlineStr">
        <is>
          <t>SMEDJEBACKEN</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33843-2022</t>
        </is>
      </c>
      <c r="B464" s="1" t="n">
        <v>44790</v>
      </c>
      <c r="C464" s="1" t="n">
        <v>45718</v>
      </c>
      <c r="D464" t="inlineStr">
        <is>
          <t>DALARNAS LÄN</t>
        </is>
      </c>
      <c r="E464" t="inlineStr">
        <is>
          <t>SMEDJEBACKEN</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33846-2022</t>
        </is>
      </c>
      <c r="B465" s="1" t="n">
        <v>44790</v>
      </c>
      <c r="C465" s="1" t="n">
        <v>45718</v>
      </c>
      <c r="D465" t="inlineStr">
        <is>
          <t>DALARNAS LÄN</t>
        </is>
      </c>
      <c r="E465" t="inlineStr">
        <is>
          <t>SMEDJEBACKEN</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34123-2022</t>
        </is>
      </c>
      <c r="B466" s="1" t="n">
        <v>44791</v>
      </c>
      <c r="C466" s="1" t="n">
        <v>45718</v>
      </c>
      <c r="D466" t="inlineStr">
        <is>
          <t>DALARNAS LÄN</t>
        </is>
      </c>
      <c r="E466" t="inlineStr">
        <is>
          <t>SMEDJEBACKEN</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34216-2022</t>
        </is>
      </c>
      <c r="B467" s="1" t="n">
        <v>44791</v>
      </c>
      <c r="C467" s="1" t="n">
        <v>45718</v>
      </c>
      <c r="D467" t="inlineStr">
        <is>
          <t>DALARNAS LÄN</t>
        </is>
      </c>
      <c r="E467" t="inlineStr">
        <is>
          <t>SMEDJEBACKEN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34235-2022</t>
        </is>
      </c>
      <c r="B468" s="1" t="n">
        <v>44791</v>
      </c>
      <c r="C468" s="1" t="n">
        <v>45718</v>
      </c>
      <c r="D468" t="inlineStr">
        <is>
          <t>DALARNAS LÄN</t>
        </is>
      </c>
      <c r="E468" t="inlineStr">
        <is>
          <t>SMEDJEBACKEN</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34382-2022</t>
        </is>
      </c>
      <c r="B469" s="1" t="n">
        <v>44792</v>
      </c>
      <c r="C469" s="1" t="n">
        <v>45718</v>
      </c>
      <c r="D469" t="inlineStr">
        <is>
          <t>DALARNAS LÄN</t>
        </is>
      </c>
      <c r="E469" t="inlineStr">
        <is>
          <t>SMEDJEBACKEN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34372-2022</t>
        </is>
      </c>
      <c r="B470" s="1" t="n">
        <v>44792</v>
      </c>
      <c r="C470" s="1" t="n">
        <v>45718</v>
      </c>
      <c r="D470" t="inlineStr">
        <is>
          <t>DALARNAS LÄN</t>
        </is>
      </c>
      <c r="E470" t="inlineStr">
        <is>
          <t>SMEDJEBACKEN</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34360-2022</t>
        </is>
      </c>
      <c r="B471" s="1" t="n">
        <v>44792</v>
      </c>
      <c r="C471" s="1" t="n">
        <v>45718</v>
      </c>
      <c r="D471" t="inlineStr">
        <is>
          <t>DALARNAS LÄN</t>
        </is>
      </c>
      <c r="E471" t="inlineStr">
        <is>
          <t>SMEDJEBACKEN</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34369-2022</t>
        </is>
      </c>
      <c r="B472" s="1" t="n">
        <v>44792</v>
      </c>
      <c r="C472" s="1" t="n">
        <v>45718</v>
      </c>
      <c r="D472" t="inlineStr">
        <is>
          <t>DALARNAS LÄN</t>
        </is>
      </c>
      <c r="E472" t="inlineStr">
        <is>
          <t>SMEDJEBACKEN</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34374-2022</t>
        </is>
      </c>
      <c r="B473" s="1" t="n">
        <v>44792</v>
      </c>
      <c r="C473" s="1" t="n">
        <v>45718</v>
      </c>
      <c r="D473" t="inlineStr">
        <is>
          <t>DALARNAS LÄN</t>
        </is>
      </c>
      <c r="E473" t="inlineStr">
        <is>
          <t>SMEDJEBACKEN</t>
        </is>
      </c>
      <c r="F473" t="inlineStr">
        <is>
          <t>Sveaskog</t>
        </is>
      </c>
      <c r="G473" t="n">
        <v>4.9</v>
      </c>
      <c r="H473" t="n">
        <v>0</v>
      </c>
      <c r="I473" t="n">
        <v>0</v>
      </c>
      <c r="J473" t="n">
        <v>0</v>
      </c>
      <c r="K473" t="n">
        <v>0</v>
      </c>
      <c r="L473" t="n">
        <v>0</v>
      </c>
      <c r="M473" t="n">
        <v>0</v>
      </c>
      <c r="N473" t="n">
        <v>0</v>
      </c>
      <c r="O473" t="n">
        <v>0</v>
      </c>
      <c r="P473" t="n">
        <v>0</v>
      </c>
      <c r="Q473" t="n">
        <v>0</v>
      </c>
      <c r="R473" s="2" t="inlineStr"/>
    </row>
    <row r="474" ht="15" customHeight="1">
      <c r="A474" t="inlineStr">
        <is>
          <t>A 34755-2022</t>
        </is>
      </c>
      <c r="B474" s="1" t="n">
        <v>44795</v>
      </c>
      <c r="C474" s="1" t="n">
        <v>45718</v>
      </c>
      <c r="D474" t="inlineStr">
        <is>
          <t>DALARNAS LÄN</t>
        </is>
      </c>
      <c r="E474" t="inlineStr">
        <is>
          <t>SMEDJEBACKEN</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35666-2022</t>
        </is>
      </c>
      <c r="B475" s="1" t="n">
        <v>44799</v>
      </c>
      <c r="C475" s="1" t="n">
        <v>45718</v>
      </c>
      <c r="D475" t="inlineStr">
        <is>
          <t>DALARNAS LÄN</t>
        </is>
      </c>
      <c r="E475" t="inlineStr">
        <is>
          <t>SMEDJEBACKEN</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35785-2022</t>
        </is>
      </c>
      <c r="B476" s="1" t="n">
        <v>44801</v>
      </c>
      <c r="C476" s="1" t="n">
        <v>45718</v>
      </c>
      <c r="D476" t="inlineStr">
        <is>
          <t>DALARNAS LÄN</t>
        </is>
      </c>
      <c r="E476" t="inlineStr">
        <is>
          <t>SMEDJEBACKEN</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35812-2022</t>
        </is>
      </c>
      <c r="B477" s="1" t="n">
        <v>44802</v>
      </c>
      <c r="C477" s="1" t="n">
        <v>45718</v>
      </c>
      <c r="D477" t="inlineStr">
        <is>
          <t>DALARNAS LÄN</t>
        </is>
      </c>
      <c r="E477" t="inlineStr">
        <is>
          <t>SMEDJEBACKEN</t>
        </is>
      </c>
      <c r="F477" t="inlineStr">
        <is>
          <t>Sveaskog</t>
        </is>
      </c>
      <c r="G477" t="n">
        <v>15.9</v>
      </c>
      <c r="H477" t="n">
        <v>0</v>
      </c>
      <c r="I477" t="n">
        <v>0</v>
      </c>
      <c r="J477" t="n">
        <v>0</v>
      </c>
      <c r="K477" t="n">
        <v>0</v>
      </c>
      <c r="L477" t="n">
        <v>0</v>
      </c>
      <c r="M477" t="n">
        <v>0</v>
      </c>
      <c r="N477" t="n">
        <v>0</v>
      </c>
      <c r="O477" t="n">
        <v>0</v>
      </c>
      <c r="P477" t="n">
        <v>0</v>
      </c>
      <c r="Q477" t="n">
        <v>0</v>
      </c>
      <c r="R477" s="2" t="inlineStr"/>
    </row>
    <row r="478" ht="15" customHeight="1">
      <c r="A478" t="inlineStr">
        <is>
          <t>A 36238-2022</t>
        </is>
      </c>
      <c r="B478" s="1" t="n">
        <v>44803</v>
      </c>
      <c r="C478" s="1" t="n">
        <v>45718</v>
      </c>
      <c r="D478" t="inlineStr">
        <is>
          <t>DALARNAS LÄN</t>
        </is>
      </c>
      <c r="E478" t="inlineStr">
        <is>
          <t>SMEDJEBACKEN</t>
        </is>
      </c>
      <c r="G478" t="n">
        <v>3.2</v>
      </c>
      <c r="H478" t="n">
        <v>0</v>
      </c>
      <c r="I478" t="n">
        <v>0</v>
      </c>
      <c r="J478" t="n">
        <v>0</v>
      </c>
      <c r="K478" t="n">
        <v>0</v>
      </c>
      <c r="L478" t="n">
        <v>0</v>
      </c>
      <c r="M478" t="n">
        <v>0</v>
      </c>
      <c r="N478" t="n">
        <v>0</v>
      </c>
      <c r="O478" t="n">
        <v>0</v>
      </c>
      <c r="P478" t="n">
        <v>0</v>
      </c>
      <c r="Q478" t="n">
        <v>0</v>
      </c>
      <c r="R478" s="2" t="inlineStr"/>
    </row>
    <row r="479" ht="15" customHeight="1">
      <c r="A479" t="inlineStr">
        <is>
          <t>A 36231-2022</t>
        </is>
      </c>
      <c r="B479" s="1" t="n">
        <v>44803</v>
      </c>
      <c r="C479" s="1" t="n">
        <v>45718</v>
      </c>
      <c r="D479" t="inlineStr">
        <is>
          <t>DALARNAS LÄN</t>
        </is>
      </c>
      <c r="E479" t="inlineStr">
        <is>
          <t>SMEDJEBACKEN</t>
        </is>
      </c>
      <c r="G479" t="n">
        <v>5.7</v>
      </c>
      <c r="H479" t="n">
        <v>0</v>
      </c>
      <c r="I479" t="n">
        <v>0</v>
      </c>
      <c r="J479" t="n">
        <v>0</v>
      </c>
      <c r="K479" t="n">
        <v>0</v>
      </c>
      <c r="L479" t="n">
        <v>0</v>
      </c>
      <c r="M479" t="n">
        <v>0</v>
      </c>
      <c r="N479" t="n">
        <v>0</v>
      </c>
      <c r="O479" t="n">
        <v>0</v>
      </c>
      <c r="P479" t="n">
        <v>0</v>
      </c>
      <c r="Q479" t="n">
        <v>0</v>
      </c>
      <c r="R479" s="2" t="inlineStr"/>
    </row>
    <row r="480" ht="15" customHeight="1">
      <c r="A480" t="inlineStr">
        <is>
          <t>A 36243-2022</t>
        </is>
      </c>
      <c r="B480" s="1" t="n">
        <v>44803</v>
      </c>
      <c r="C480" s="1" t="n">
        <v>45718</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36663-2022</t>
        </is>
      </c>
      <c r="B481" s="1" t="n">
        <v>44804</v>
      </c>
      <c r="C481" s="1" t="n">
        <v>45718</v>
      </c>
      <c r="D481" t="inlineStr">
        <is>
          <t>DALARNAS LÄN</t>
        </is>
      </c>
      <c r="E481" t="inlineStr">
        <is>
          <t>SMEDJEBACKEN</t>
        </is>
      </c>
      <c r="G481" t="n">
        <v>0.9</v>
      </c>
      <c r="H481" t="n">
        <v>0</v>
      </c>
      <c r="I481" t="n">
        <v>0</v>
      </c>
      <c r="J481" t="n">
        <v>0</v>
      </c>
      <c r="K481" t="n">
        <v>0</v>
      </c>
      <c r="L481" t="n">
        <v>0</v>
      </c>
      <c r="M481" t="n">
        <v>0</v>
      </c>
      <c r="N481" t="n">
        <v>0</v>
      </c>
      <c r="O481" t="n">
        <v>0</v>
      </c>
      <c r="P481" t="n">
        <v>0</v>
      </c>
      <c r="Q481" t="n">
        <v>0</v>
      </c>
      <c r="R481" s="2" t="inlineStr"/>
    </row>
    <row r="482" ht="15" customHeight="1">
      <c r="A482" t="inlineStr">
        <is>
          <t>A 37039-2022</t>
        </is>
      </c>
      <c r="B482" s="1" t="n">
        <v>44806</v>
      </c>
      <c r="C482" s="1" t="n">
        <v>45718</v>
      </c>
      <c r="D482" t="inlineStr">
        <is>
          <t>DALARNAS LÄN</t>
        </is>
      </c>
      <c r="E482" t="inlineStr">
        <is>
          <t>SMEDJEBACKEN</t>
        </is>
      </c>
      <c r="F482" t="inlineStr">
        <is>
          <t>Bergvik skog väst AB</t>
        </is>
      </c>
      <c r="G482" t="n">
        <v>7</v>
      </c>
      <c r="H482" t="n">
        <v>0</v>
      </c>
      <c r="I482" t="n">
        <v>0</v>
      </c>
      <c r="J482" t="n">
        <v>0</v>
      </c>
      <c r="K482" t="n">
        <v>0</v>
      </c>
      <c r="L482" t="n">
        <v>0</v>
      </c>
      <c r="M482" t="n">
        <v>0</v>
      </c>
      <c r="N482" t="n">
        <v>0</v>
      </c>
      <c r="O482" t="n">
        <v>0</v>
      </c>
      <c r="P482" t="n">
        <v>0</v>
      </c>
      <c r="Q482" t="n">
        <v>0</v>
      </c>
      <c r="R482" s="2" t="inlineStr"/>
    </row>
    <row r="483" ht="15" customHeight="1">
      <c r="A483" t="inlineStr">
        <is>
          <t>A 37370-2022</t>
        </is>
      </c>
      <c r="B483" s="1" t="n">
        <v>44809</v>
      </c>
      <c r="C483" s="1" t="n">
        <v>45718</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37375-2022</t>
        </is>
      </c>
      <c r="B484" s="1" t="n">
        <v>44809</v>
      </c>
      <c r="C484" s="1" t="n">
        <v>45718</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37501-2022</t>
        </is>
      </c>
      <c r="B485" s="1" t="n">
        <v>44809</v>
      </c>
      <c r="C485" s="1" t="n">
        <v>45718</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37881-2022</t>
        </is>
      </c>
      <c r="B486" s="1" t="n">
        <v>44811</v>
      </c>
      <c r="C486" s="1" t="n">
        <v>45718</v>
      </c>
      <c r="D486" t="inlineStr">
        <is>
          <t>DALARNAS LÄN</t>
        </is>
      </c>
      <c r="E486" t="inlineStr">
        <is>
          <t>SMEDJEBACKEN</t>
        </is>
      </c>
      <c r="G486" t="n">
        <v>1</v>
      </c>
      <c r="H486" t="n">
        <v>0</v>
      </c>
      <c r="I486" t="n">
        <v>0</v>
      </c>
      <c r="J486" t="n">
        <v>0</v>
      </c>
      <c r="K486" t="n">
        <v>0</v>
      </c>
      <c r="L486" t="n">
        <v>0</v>
      </c>
      <c r="M486" t="n">
        <v>0</v>
      </c>
      <c r="N486" t="n">
        <v>0</v>
      </c>
      <c r="O486" t="n">
        <v>0</v>
      </c>
      <c r="P486" t="n">
        <v>0</v>
      </c>
      <c r="Q486" t="n">
        <v>0</v>
      </c>
      <c r="R486" s="2" t="inlineStr"/>
    </row>
    <row r="487" ht="15" customHeight="1">
      <c r="A487" t="inlineStr">
        <is>
          <t>A 37884-2022</t>
        </is>
      </c>
      <c r="B487" s="1" t="n">
        <v>44811</v>
      </c>
      <c r="C487" s="1" t="n">
        <v>45718</v>
      </c>
      <c r="D487" t="inlineStr">
        <is>
          <t>DALARNAS LÄN</t>
        </is>
      </c>
      <c r="E487" t="inlineStr">
        <is>
          <t>SMEDJEBACKEN</t>
        </is>
      </c>
      <c r="G487" t="n">
        <v>3.7</v>
      </c>
      <c r="H487" t="n">
        <v>0</v>
      </c>
      <c r="I487" t="n">
        <v>0</v>
      </c>
      <c r="J487" t="n">
        <v>0</v>
      </c>
      <c r="K487" t="n">
        <v>0</v>
      </c>
      <c r="L487" t="n">
        <v>0</v>
      </c>
      <c r="M487" t="n">
        <v>0</v>
      </c>
      <c r="N487" t="n">
        <v>0</v>
      </c>
      <c r="O487" t="n">
        <v>0</v>
      </c>
      <c r="P487" t="n">
        <v>0</v>
      </c>
      <c r="Q487" t="n">
        <v>0</v>
      </c>
      <c r="R487" s="2" t="inlineStr"/>
    </row>
    <row r="488" ht="15" customHeight="1">
      <c r="A488" t="inlineStr">
        <is>
          <t>A 38438-2022</t>
        </is>
      </c>
      <c r="B488" s="1" t="n">
        <v>44813</v>
      </c>
      <c r="C488" s="1" t="n">
        <v>45718</v>
      </c>
      <c r="D488" t="inlineStr">
        <is>
          <t>DALARNAS LÄN</t>
        </is>
      </c>
      <c r="E488" t="inlineStr">
        <is>
          <t>SMEDJEBACKEN</t>
        </is>
      </c>
      <c r="F488" t="inlineStr">
        <is>
          <t>Bergvik skog väst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38439-2022</t>
        </is>
      </c>
      <c r="B489" s="1" t="n">
        <v>44813</v>
      </c>
      <c r="C489" s="1" t="n">
        <v>45718</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38441-2022</t>
        </is>
      </c>
      <c r="B490" s="1" t="n">
        <v>44813</v>
      </c>
      <c r="C490" s="1" t="n">
        <v>45718</v>
      </c>
      <c r="D490" t="inlineStr">
        <is>
          <t>DALARNAS LÄN</t>
        </is>
      </c>
      <c r="E490" t="inlineStr">
        <is>
          <t>SMEDJEBACKEN</t>
        </is>
      </c>
      <c r="F490" t="inlineStr">
        <is>
          <t>Bergvik skog väst AB</t>
        </is>
      </c>
      <c r="G490" t="n">
        <v>10.1</v>
      </c>
      <c r="H490" t="n">
        <v>0</v>
      </c>
      <c r="I490" t="n">
        <v>0</v>
      </c>
      <c r="J490" t="n">
        <v>0</v>
      </c>
      <c r="K490" t="n">
        <v>0</v>
      </c>
      <c r="L490" t="n">
        <v>0</v>
      </c>
      <c r="M490" t="n">
        <v>0</v>
      </c>
      <c r="N490" t="n">
        <v>0</v>
      </c>
      <c r="O490" t="n">
        <v>0</v>
      </c>
      <c r="P490" t="n">
        <v>0</v>
      </c>
      <c r="Q490" t="n">
        <v>0</v>
      </c>
      <c r="R490" s="2" t="inlineStr"/>
    </row>
    <row r="491" ht="15" customHeight="1">
      <c r="A491" t="inlineStr">
        <is>
          <t>A 38440-2022</t>
        </is>
      </c>
      <c r="B491" s="1" t="n">
        <v>44813</v>
      </c>
      <c r="C491" s="1" t="n">
        <v>45718</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38576-2022</t>
        </is>
      </c>
      <c r="B492" s="1" t="n">
        <v>44813</v>
      </c>
      <c r="C492" s="1" t="n">
        <v>45718</v>
      </c>
      <c r="D492" t="inlineStr">
        <is>
          <t>DALARNAS LÄN</t>
        </is>
      </c>
      <c r="E492" t="inlineStr">
        <is>
          <t>SMEDJEBACKEN</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39021-2022</t>
        </is>
      </c>
      <c r="B493" s="1" t="n">
        <v>44817</v>
      </c>
      <c r="C493" s="1" t="n">
        <v>45718</v>
      </c>
      <c r="D493" t="inlineStr">
        <is>
          <t>DALARNAS LÄN</t>
        </is>
      </c>
      <c r="E493" t="inlineStr">
        <is>
          <t>SMEDJEBACKEN</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39131-2022</t>
        </is>
      </c>
      <c r="B494" s="1" t="n">
        <v>44817</v>
      </c>
      <c r="C494" s="1" t="n">
        <v>45718</v>
      </c>
      <c r="D494" t="inlineStr">
        <is>
          <t>DALARNAS LÄN</t>
        </is>
      </c>
      <c r="E494" t="inlineStr">
        <is>
          <t>SMEDJEBACKEN</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40119-2022</t>
        </is>
      </c>
      <c r="B495" s="1" t="n">
        <v>44820</v>
      </c>
      <c r="C495" s="1" t="n">
        <v>45718</v>
      </c>
      <c r="D495" t="inlineStr">
        <is>
          <t>DALARNAS LÄN</t>
        </is>
      </c>
      <c r="E495" t="inlineStr">
        <is>
          <t>SMEDJEBACKEN</t>
        </is>
      </c>
      <c r="F495" t="inlineStr">
        <is>
          <t>Bergvik skog väst AB</t>
        </is>
      </c>
      <c r="G495" t="n">
        <v>7.6</v>
      </c>
      <c r="H495" t="n">
        <v>0</v>
      </c>
      <c r="I495" t="n">
        <v>0</v>
      </c>
      <c r="J495" t="n">
        <v>0</v>
      </c>
      <c r="K495" t="n">
        <v>0</v>
      </c>
      <c r="L495" t="n">
        <v>0</v>
      </c>
      <c r="M495" t="n">
        <v>0</v>
      </c>
      <c r="N495" t="n">
        <v>0</v>
      </c>
      <c r="O495" t="n">
        <v>0</v>
      </c>
      <c r="P495" t="n">
        <v>0</v>
      </c>
      <c r="Q495" t="n">
        <v>0</v>
      </c>
      <c r="R495" s="2" t="inlineStr"/>
    </row>
    <row r="496" ht="15" customHeight="1">
      <c r="A496" t="inlineStr">
        <is>
          <t>A 40644-2022</t>
        </is>
      </c>
      <c r="B496" s="1" t="n">
        <v>44824</v>
      </c>
      <c r="C496" s="1" t="n">
        <v>45718</v>
      </c>
      <c r="D496" t="inlineStr">
        <is>
          <t>DALARNAS LÄN</t>
        </is>
      </c>
      <c r="E496" t="inlineStr">
        <is>
          <t>SMEDJEBACKEN</t>
        </is>
      </c>
      <c r="F496" t="inlineStr">
        <is>
          <t>Sveaskog</t>
        </is>
      </c>
      <c r="G496" t="n">
        <v>18.7</v>
      </c>
      <c r="H496" t="n">
        <v>0</v>
      </c>
      <c r="I496" t="n">
        <v>0</v>
      </c>
      <c r="J496" t="n">
        <v>0</v>
      </c>
      <c r="K496" t="n">
        <v>0</v>
      </c>
      <c r="L496" t="n">
        <v>0</v>
      </c>
      <c r="M496" t="n">
        <v>0</v>
      </c>
      <c r="N496" t="n">
        <v>0</v>
      </c>
      <c r="O496" t="n">
        <v>0</v>
      </c>
      <c r="P496" t="n">
        <v>0</v>
      </c>
      <c r="Q496" t="n">
        <v>0</v>
      </c>
      <c r="R496" s="2" t="inlineStr"/>
    </row>
    <row r="497" ht="15" customHeight="1">
      <c r="A497" t="inlineStr">
        <is>
          <t>A 41337-2022</t>
        </is>
      </c>
      <c r="B497" s="1" t="n">
        <v>44826</v>
      </c>
      <c r="C497" s="1" t="n">
        <v>45718</v>
      </c>
      <c r="D497" t="inlineStr">
        <is>
          <t>DALARNAS LÄN</t>
        </is>
      </c>
      <c r="E497" t="inlineStr">
        <is>
          <t>SMEDJEBACKEN</t>
        </is>
      </c>
      <c r="G497" t="n">
        <v>1.5</v>
      </c>
      <c r="H497" t="n">
        <v>0</v>
      </c>
      <c r="I497" t="n">
        <v>0</v>
      </c>
      <c r="J497" t="n">
        <v>0</v>
      </c>
      <c r="K497" t="n">
        <v>0</v>
      </c>
      <c r="L497" t="n">
        <v>0</v>
      </c>
      <c r="M497" t="n">
        <v>0</v>
      </c>
      <c r="N497" t="n">
        <v>0</v>
      </c>
      <c r="O497" t="n">
        <v>0</v>
      </c>
      <c r="P497" t="n">
        <v>0</v>
      </c>
      <c r="Q497" t="n">
        <v>0</v>
      </c>
      <c r="R497" s="2" t="inlineStr"/>
    </row>
    <row r="498" ht="15" customHeight="1">
      <c r="A498" t="inlineStr">
        <is>
          <t>A 41730-2022</t>
        </is>
      </c>
      <c r="B498" s="1" t="n">
        <v>44827</v>
      </c>
      <c r="C498" s="1" t="n">
        <v>45718</v>
      </c>
      <c r="D498" t="inlineStr">
        <is>
          <t>DALARNAS LÄN</t>
        </is>
      </c>
      <c r="E498" t="inlineStr">
        <is>
          <t>SMEDJEBACKEN</t>
        </is>
      </c>
      <c r="F498" t="inlineStr">
        <is>
          <t>Bergvik skog väst AB</t>
        </is>
      </c>
      <c r="G498" t="n">
        <v>4.1</v>
      </c>
      <c r="H498" t="n">
        <v>0</v>
      </c>
      <c r="I498" t="n">
        <v>0</v>
      </c>
      <c r="J498" t="n">
        <v>0</v>
      </c>
      <c r="K498" t="n">
        <v>0</v>
      </c>
      <c r="L498" t="n">
        <v>0</v>
      </c>
      <c r="M498" t="n">
        <v>0</v>
      </c>
      <c r="N498" t="n">
        <v>0</v>
      </c>
      <c r="O498" t="n">
        <v>0</v>
      </c>
      <c r="P498" t="n">
        <v>0</v>
      </c>
      <c r="Q498" t="n">
        <v>0</v>
      </c>
      <c r="R498" s="2" t="inlineStr"/>
    </row>
    <row r="499" ht="15" customHeight="1">
      <c r="A499" t="inlineStr">
        <is>
          <t>A 42502-2022</t>
        </is>
      </c>
      <c r="B499" s="1" t="n">
        <v>44831</v>
      </c>
      <c r="C499" s="1" t="n">
        <v>45718</v>
      </c>
      <c r="D499" t="inlineStr">
        <is>
          <t>DALARNAS LÄN</t>
        </is>
      </c>
      <c r="E499" t="inlineStr">
        <is>
          <t>SMEDJEBACKEN</t>
        </is>
      </c>
      <c r="F499" t="inlineStr">
        <is>
          <t>Sveaskog</t>
        </is>
      </c>
      <c r="G499" t="n">
        <v>7.8</v>
      </c>
      <c r="H499" t="n">
        <v>0</v>
      </c>
      <c r="I499" t="n">
        <v>0</v>
      </c>
      <c r="J499" t="n">
        <v>0</v>
      </c>
      <c r="K499" t="n">
        <v>0</v>
      </c>
      <c r="L499" t="n">
        <v>0</v>
      </c>
      <c r="M499" t="n">
        <v>0</v>
      </c>
      <c r="N499" t="n">
        <v>0</v>
      </c>
      <c r="O499" t="n">
        <v>0</v>
      </c>
      <c r="P499" t="n">
        <v>0</v>
      </c>
      <c r="Q499" t="n">
        <v>0</v>
      </c>
      <c r="R499" s="2" t="inlineStr"/>
    </row>
    <row r="500" ht="15" customHeight="1">
      <c r="A500" t="inlineStr">
        <is>
          <t>A 42496-2022</t>
        </is>
      </c>
      <c r="B500" s="1" t="n">
        <v>44831</v>
      </c>
      <c r="C500" s="1" t="n">
        <v>45718</v>
      </c>
      <c r="D500" t="inlineStr">
        <is>
          <t>DALARNAS LÄN</t>
        </is>
      </c>
      <c r="E500" t="inlineStr">
        <is>
          <t>SMEDJEBACKEN</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42744-2022</t>
        </is>
      </c>
      <c r="B501" s="1" t="n">
        <v>44832</v>
      </c>
      <c r="C501" s="1" t="n">
        <v>45718</v>
      </c>
      <c r="D501" t="inlineStr">
        <is>
          <t>DALARNAS LÄN</t>
        </is>
      </c>
      <c r="E501" t="inlineStr">
        <is>
          <t>SMEDJEBACKEN</t>
        </is>
      </c>
      <c r="G501" t="n">
        <v>6.8</v>
      </c>
      <c r="H501" t="n">
        <v>0</v>
      </c>
      <c r="I501" t="n">
        <v>0</v>
      </c>
      <c r="J501" t="n">
        <v>0</v>
      </c>
      <c r="K501" t="n">
        <v>0</v>
      </c>
      <c r="L501" t="n">
        <v>0</v>
      </c>
      <c r="M501" t="n">
        <v>0</v>
      </c>
      <c r="N501" t="n">
        <v>0</v>
      </c>
      <c r="O501" t="n">
        <v>0</v>
      </c>
      <c r="P501" t="n">
        <v>0</v>
      </c>
      <c r="Q501" t="n">
        <v>0</v>
      </c>
      <c r="R501" s="2" t="inlineStr"/>
    </row>
    <row r="502" ht="15" customHeight="1">
      <c r="A502" t="inlineStr">
        <is>
          <t>A 43351-2022</t>
        </is>
      </c>
      <c r="B502" s="1" t="n">
        <v>44834</v>
      </c>
      <c r="C502" s="1" t="n">
        <v>45718</v>
      </c>
      <c r="D502" t="inlineStr">
        <is>
          <t>DALARNAS LÄN</t>
        </is>
      </c>
      <c r="E502" t="inlineStr">
        <is>
          <t>SMEDJEBACKEN</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44702-2022</t>
        </is>
      </c>
      <c r="B503" s="1" t="n">
        <v>44840</v>
      </c>
      <c r="C503" s="1" t="n">
        <v>45718</v>
      </c>
      <c r="D503" t="inlineStr">
        <is>
          <t>DALARNAS LÄN</t>
        </is>
      </c>
      <c r="E503" t="inlineStr">
        <is>
          <t>SMEDJEBACKEN</t>
        </is>
      </c>
      <c r="G503" t="n">
        <v>4.9</v>
      </c>
      <c r="H503" t="n">
        <v>0</v>
      </c>
      <c r="I503" t="n">
        <v>0</v>
      </c>
      <c r="J503" t="n">
        <v>0</v>
      </c>
      <c r="K503" t="n">
        <v>0</v>
      </c>
      <c r="L503" t="n">
        <v>0</v>
      </c>
      <c r="M503" t="n">
        <v>0</v>
      </c>
      <c r="N503" t="n">
        <v>0</v>
      </c>
      <c r="O503" t="n">
        <v>0</v>
      </c>
      <c r="P503" t="n">
        <v>0</v>
      </c>
      <c r="Q503" t="n">
        <v>0</v>
      </c>
      <c r="R503" s="2" t="inlineStr"/>
    </row>
    <row r="504" ht="15" customHeight="1">
      <c r="A504" t="inlineStr">
        <is>
          <t>A 45018-2022</t>
        </is>
      </c>
      <c r="B504" s="1" t="n">
        <v>44840</v>
      </c>
      <c r="C504" s="1" t="n">
        <v>45718</v>
      </c>
      <c r="D504" t="inlineStr">
        <is>
          <t>DALARNAS LÄN</t>
        </is>
      </c>
      <c r="E504" t="inlineStr">
        <is>
          <t>SMEDJEBACKEN</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45174-2022</t>
        </is>
      </c>
      <c r="B505" s="1" t="n">
        <v>44840</v>
      </c>
      <c r="C505" s="1" t="n">
        <v>45718</v>
      </c>
      <c r="D505" t="inlineStr">
        <is>
          <t>DALARNAS LÄN</t>
        </is>
      </c>
      <c r="E505" t="inlineStr">
        <is>
          <t>SMEDJEBACKEN</t>
        </is>
      </c>
      <c r="F505" t="inlineStr">
        <is>
          <t>Bergvik skog väst AB</t>
        </is>
      </c>
      <c r="G505" t="n">
        <v>12.5</v>
      </c>
      <c r="H505" t="n">
        <v>0</v>
      </c>
      <c r="I505" t="n">
        <v>0</v>
      </c>
      <c r="J505" t="n">
        <v>0</v>
      </c>
      <c r="K505" t="n">
        <v>0</v>
      </c>
      <c r="L505" t="n">
        <v>0</v>
      </c>
      <c r="M505" t="n">
        <v>0</v>
      </c>
      <c r="N505" t="n">
        <v>0</v>
      </c>
      <c r="O505" t="n">
        <v>0</v>
      </c>
      <c r="P505" t="n">
        <v>0</v>
      </c>
      <c r="Q505" t="n">
        <v>0</v>
      </c>
      <c r="R505" s="2" t="inlineStr"/>
    </row>
    <row r="506" ht="15" customHeight="1">
      <c r="A506" t="inlineStr">
        <is>
          <t>A 45210-2022</t>
        </is>
      </c>
      <c r="B506" s="1" t="n">
        <v>44840</v>
      </c>
      <c r="C506" s="1" t="n">
        <v>45718</v>
      </c>
      <c r="D506" t="inlineStr">
        <is>
          <t>DALARNAS LÄN</t>
        </is>
      </c>
      <c r="E506" t="inlineStr">
        <is>
          <t>SMEDJEBACKEN</t>
        </is>
      </c>
      <c r="F506" t="inlineStr">
        <is>
          <t>Bergvik skog väst AB</t>
        </is>
      </c>
      <c r="G506" t="n">
        <v>22.7</v>
      </c>
      <c r="H506" t="n">
        <v>0</v>
      </c>
      <c r="I506" t="n">
        <v>0</v>
      </c>
      <c r="J506" t="n">
        <v>0</v>
      </c>
      <c r="K506" t="n">
        <v>0</v>
      </c>
      <c r="L506" t="n">
        <v>0</v>
      </c>
      <c r="M506" t="n">
        <v>0</v>
      </c>
      <c r="N506" t="n">
        <v>0</v>
      </c>
      <c r="O506" t="n">
        <v>0</v>
      </c>
      <c r="P506" t="n">
        <v>0</v>
      </c>
      <c r="Q506" t="n">
        <v>0</v>
      </c>
      <c r="R506" s="2" t="inlineStr"/>
    </row>
    <row r="507" ht="15" customHeight="1">
      <c r="A507" t="inlineStr">
        <is>
          <t>A 45091-2022</t>
        </is>
      </c>
      <c r="B507" s="1" t="n">
        <v>44842</v>
      </c>
      <c r="C507" s="1" t="n">
        <v>45718</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45478-2022</t>
        </is>
      </c>
      <c r="B508" s="1" t="n">
        <v>44845</v>
      </c>
      <c r="C508" s="1" t="n">
        <v>45718</v>
      </c>
      <c r="D508" t="inlineStr">
        <is>
          <t>DALARNAS LÄN</t>
        </is>
      </c>
      <c r="E508" t="inlineStr">
        <is>
          <t>SMEDJEBACKEN</t>
        </is>
      </c>
      <c r="G508" t="n">
        <v>1</v>
      </c>
      <c r="H508" t="n">
        <v>0</v>
      </c>
      <c r="I508" t="n">
        <v>0</v>
      </c>
      <c r="J508" t="n">
        <v>0</v>
      </c>
      <c r="K508" t="n">
        <v>0</v>
      </c>
      <c r="L508" t="n">
        <v>0</v>
      </c>
      <c r="M508" t="n">
        <v>0</v>
      </c>
      <c r="N508" t="n">
        <v>0</v>
      </c>
      <c r="O508" t="n">
        <v>0</v>
      </c>
      <c r="P508" t="n">
        <v>0</v>
      </c>
      <c r="Q508" t="n">
        <v>0</v>
      </c>
      <c r="R508" s="2" t="inlineStr"/>
    </row>
    <row r="509" ht="15" customHeight="1">
      <c r="A509" t="inlineStr">
        <is>
          <t>A 45529-2022</t>
        </is>
      </c>
      <c r="B509" s="1" t="n">
        <v>44845</v>
      </c>
      <c r="C509" s="1" t="n">
        <v>45718</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47839-2022</t>
        </is>
      </c>
      <c r="B510" s="1" t="n">
        <v>44855</v>
      </c>
      <c r="C510" s="1" t="n">
        <v>45718</v>
      </c>
      <c r="D510" t="inlineStr">
        <is>
          <t>DALARNAS LÄN</t>
        </is>
      </c>
      <c r="E510" t="inlineStr">
        <is>
          <t>SMEDJEBACKEN</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49042-2022</t>
        </is>
      </c>
      <c r="B511" s="1" t="n">
        <v>44855</v>
      </c>
      <c r="C511" s="1" t="n">
        <v>45718</v>
      </c>
      <c r="D511" t="inlineStr">
        <is>
          <t>DALARNAS LÄN</t>
        </is>
      </c>
      <c r="E511" t="inlineStr">
        <is>
          <t>SMEDJEBACKEN</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48672-2022</t>
        </is>
      </c>
      <c r="B512" s="1" t="n">
        <v>44859</v>
      </c>
      <c r="C512" s="1" t="n">
        <v>45718</v>
      </c>
      <c r="D512" t="inlineStr">
        <is>
          <t>DALARNAS LÄN</t>
        </is>
      </c>
      <c r="E512" t="inlineStr">
        <is>
          <t>SMEDJEBACKEN</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48730-2022</t>
        </is>
      </c>
      <c r="B513" s="1" t="n">
        <v>44859</v>
      </c>
      <c r="C513" s="1" t="n">
        <v>45718</v>
      </c>
      <c r="D513" t="inlineStr">
        <is>
          <t>DALARNAS LÄN</t>
        </is>
      </c>
      <c r="E513" t="inlineStr">
        <is>
          <t>SMEDJEBACKEN</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48790-2022</t>
        </is>
      </c>
      <c r="B514" s="1" t="n">
        <v>44859</v>
      </c>
      <c r="C514" s="1" t="n">
        <v>45718</v>
      </c>
      <c r="D514" t="inlineStr">
        <is>
          <t>DALARNAS LÄN</t>
        </is>
      </c>
      <c r="E514" t="inlineStr">
        <is>
          <t>SMEDJEBACKEN</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48671-2022</t>
        </is>
      </c>
      <c r="B515" s="1" t="n">
        <v>44859</v>
      </c>
      <c r="C515" s="1" t="n">
        <v>45718</v>
      </c>
      <c r="D515" t="inlineStr">
        <is>
          <t>DALARNAS LÄN</t>
        </is>
      </c>
      <c r="E515" t="inlineStr">
        <is>
          <t>SMEDJEBACKEN</t>
        </is>
      </c>
      <c r="F515" t="inlineStr">
        <is>
          <t>Sveaskog</t>
        </is>
      </c>
      <c r="G515" t="n">
        <v>7</v>
      </c>
      <c r="H515" t="n">
        <v>0</v>
      </c>
      <c r="I515" t="n">
        <v>0</v>
      </c>
      <c r="J515" t="n">
        <v>0</v>
      </c>
      <c r="K515" t="n">
        <v>0</v>
      </c>
      <c r="L515" t="n">
        <v>0</v>
      </c>
      <c r="M515" t="n">
        <v>0</v>
      </c>
      <c r="N515" t="n">
        <v>0</v>
      </c>
      <c r="O515" t="n">
        <v>0</v>
      </c>
      <c r="P515" t="n">
        <v>0</v>
      </c>
      <c r="Q515" t="n">
        <v>0</v>
      </c>
      <c r="R515" s="2" t="inlineStr"/>
    </row>
    <row r="516" ht="15" customHeight="1">
      <c r="A516" t="inlineStr">
        <is>
          <t>A 48698-2022</t>
        </is>
      </c>
      <c r="B516" s="1" t="n">
        <v>44859</v>
      </c>
      <c r="C516" s="1" t="n">
        <v>45718</v>
      </c>
      <c r="D516" t="inlineStr">
        <is>
          <t>DALARNAS LÄN</t>
        </is>
      </c>
      <c r="E516" t="inlineStr">
        <is>
          <t>SMEDJEBACKEN</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48716-2022</t>
        </is>
      </c>
      <c r="B517" s="1" t="n">
        <v>44859</v>
      </c>
      <c r="C517" s="1" t="n">
        <v>45718</v>
      </c>
      <c r="D517" t="inlineStr">
        <is>
          <t>DALARNAS LÄN</t>
        </is>
      </c>
      <c r="E517" t="inlineStr">
        <is>
          <t>SMEDJEBACKEN</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48615-2022</t>
        </is>
      </c>
      <c r="B518" s="1" t="n">
        <v>44859</v>
      </c>
      <c r="C518" s="1" t="n">
        <v>45718</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48776-2022</t>
        </is>
      </c>
      <c r="B519" s="1" t="n">
        <v>44859</v>
      </c>
      <c r="C519" s="1" t="n">
        <v>45718</v>
      </c>
      <c r="D519" t="inlineStr">
        <is>
          <t>DALARNAS LÄN</t>
        </is>
      </c>
      <c r="E519" t="inlineStr">
        <is>
          <t>SMEDJEBACKEN</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49760-2022</t>
        </is>
      </c>
      <c r="B520" s="1" t="n">
        <v>44859</v>
      </c>
      <c r="C520" s="1" t="n">
        <v>45718</v>
      </c>
      <c r="D520" t="inlineStr">
        <is>
          <t>DALARNAS LÄN</t>
        </is>
      </c>
      <c r="E520" t="inlineStr">
        <is>
          <t>SMEDJEBACKEN</t>
        </is>
      </c>
      <c r="G520" t="n">
        <v>1.8</v>
      </c>
      <c r="H520" t="n">
        <v>0</v>
      </c>
      <c r="I520" t="n">
        <v>0</v>
      </c>
      <c r="J520" t="n">
        <v>0</v>
      </c>
      <c r="K520" t="n">
        <v>0</v>
      </c>
      <c r="L520" t="n">
        <v>0</v>
      </c>
      <c r="M520" t="n">
        <v>0</v>
      </c>
      <c r="N520" t="n">
        <v>0</v>
      </c>
      <c r="O520" t="n">
        <v>0</v>
      </c>
      <c r="P520" t="n">
        <v>0</v>
      </c>
      <c r="Q520" t="n">
        <v>0</v>
      </c>
      <c r="R520" s="2" t="inlineStr"/>
    </row>
    <row r="521" ht="15" customHeight="1">
      <c r="A521" t="inlineStr">
        <is>
          <t>A 49139-2022</t>
        </is>
      </c>
      <c r="B521" s="1" t="n">
        <v>44860</v>
      </c>
      <c r="C521" s="1" t="n">
        <v>45718</v>
      </c>
      <c r="D521" t="inlineStr">
        <is>
          <t>DALARNAS LÄN</t>
        </is>
      </c>
      <c r="E521" t="inlineStr">
        <is>
          <t>SMEDJEBACKEN</t>
        </is>
      </c>
      <c r="G521" t="n">
        <v>3.7</v>
      </c>
      <c r="H521" t="n">
        <v>0</v>
      </c>
      <c r="I521" t="n">
        <v>0</v>
      </c>
      <c r="J521" t="n">
        <v>0</v>
      </c>
      <c r="K521" t="n">
        <v>0</v>
      </c>
      <c r="L521" t="n">
        <v>0</v>
      </c>
      <c r="M521" t="n">
        <v>0</v>
      </c>
      <c r="N521" t="n">
        <v>0</v>
      </c>
      <c r="O521" t="n">
        <v>0</v>
      </c>
      <c r="P521" t="n">
        <v>0</v>
      </c>
      <c r="Q521" t="n">
        <v>0</v>
      </c>
      <c r="R521" s="2" t="inlineStr"/>
    </row>
    <row r="522" ht="15" customHeight="1">
      <c r="A522" t="inlineStr">
        <is>
          <t>A 49278-2022</t>
        </is>
      </c>
      <c r="B522" s="1" t="n">
        <v>44861</v>
      </c>
      <c r="C522" s="1" t="n">
        <v>45718</v>
      </c>
      <c r="D522" t="inlineStr">
        <is>
          <t>DALARNAS LÄN</t>
        </is>
      </c>
      <c r="E522" t="inlineStr">
        <is>
          <t>SMEDJEBACKEN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49275-2022</t>
        </is>
      </c>
      <c r="B523" s="1" t="n">
        <v>44861</v>
      </c>
      <c r="C523" s="1" t="n">
        <v>45718</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49481-2022</t>
        </is>
      </c>
      <c r="B524" s="1" t="n">
        <v>44861</v>
      </c>
      <c r="C524" s="1" t="n">
        <v>45718</v>
      </c>
      <c r="D524" t="inlineStr">
        <is>
          <t>DALARNAS LÄN</t>
        </is>
      </c>
      <c r="E524" t="inlineStr">
        <is>
          <t>SMEDJEBACKEN</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50047-2022</t>
        </is>
      </c>
      <c r="B525" s="1" t="n">
        <v>44865</v>
      </c>
      <c r="C525" s="1" t="n">
        <v>45718</v>
      </c>
      <c r="D525" t="inlineStr">
        <is>
          <t>DALARNAS LÄN</t>
        </is>
      </c>
      <c r="E525" t="inlineStr">
        <is>
          <t>SMEDJEBACKEN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50072-2022</t>
        </is>
      </c>
      <c r="B526" s="1" t="n">
        <v>44865</v>
      </c>
      <c r="C526" s="1" t="n">
        <v>45718</v>
      </c>
      <c r="D526" t="inlineStr">
        <is>
          <t>DALARNAS LÄN</t>
        </is>
      </c>
      <c r="E526" t="inlineStr">
        <is>
          <t>SMEDJEBACKEN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51866-2022</t>
        </is>
      </c>
      <c r="B527" s="1" t="n">
        <v>44872</v>
      </c>
      <c r="C527" s="1" t="n">
        <v>45718</v>
      </c>
      <c r="D527" t="inlineStr">
        <is>
          <t>DALARNAS LÄN</t>
        </is>
      </c>
      <c r="E527" t="inlineStr">
        <is>
          <t>SMEDJEBACKEN</t>
        </is>
      </c>
      <c r="F527" t="inlineStr">
        <is>
          <t>Sveaskog</t>
        </is>
      </c>
      <c r="G527" t="n">
        <v>10.5</v>
      </c>
      <c r="H527" t="n">
        <v>0</v>
      </c>
      <c r="I527" t="n">
        <v>0</v>
      </c>
      <c r="J527" t="n">
        <v>0</v>
      </c>
      <c r="K527" t="n">
        <v>0</v>
      </c>
      <c r="L527" t="n">
        <v>0</v>
      </c>
      <c r="M527" t="n">
        <v>0</v>
      </c>
      <c r="N527" t="n">
        <v>0</v>
      </c>
      <c r="O527" t="n">
        <v>0</v>
      </c>
      <c r="P527" t="n">
        <v>0</v>
      </c>
      <c r="Q527" t="n">
        <v>0</v>
      </c>
      <c r="R527" s="2" t="inlineStr"/>
    </row>
    <row r="528" ht="15" customHeight="1">
      <c r="A528" t="inlineStr">
        <is>
          <t>A 52127-2022</t>
        </is>
      </c>
      <c r="B528" s="1" t="n">
        <v>44873</v>
      </c>
      <c r="C528" s="1" t="n">
        <v>45718</v>
      </c>
      <c r="D528" t="inlineStr">
        <is>
          <t>DALARNAS LÄN</t>
        </is>
      </c>
      <c r="E528" t="inlineStr">
        <is>
          <t>SMEDJEBACKEN</t>
        </is>
      </c>
      <c r="G528" t="n">
        <v>4.3</v>
      </c>
      <c r="H528" t="n">
        <v>0</v>
      </c>
      <c r="I528" t="n">
        <v>0</v>
      </c>
      <c r="J528" t="n">
        <v>0</v>
      </c>
      <c r="K528" t="n">
        <v>0</v>
      </c>
      <c r="L528" t="n">
        <v>0</v>
      </c>
      <c r="M528" t="n">
        <v>0</v>
      </c>
      <c r="N528" t="n">
        <v>0</v>
      </c>
      <c r="O528" t="n">
        <v>0</v>
      </c>
      <c r="P528" t="n">
        <v>0</v>
      </c>
      <c r="Q528" t="n">
        <v>0</v>
      </c>
      <c r="R528" s="2" t="inlineStr"/>
    </row>
    <row r="529" ht="15" customHeight="1">
      <c r="A529" t="inlineStr">
        <is>
          <t>A 53290-2022</t>
        </is>
      </c>
      <c r="B529" s="1" t="n">
        <v>44876</v>
      </c>
      <c r="C529" s="1" t="n">
        <v>45718</v>
      </c>
      <c r="D529" t="inlineStr">
        <is>
          <t>DALARNAS LÄN</t>
        </is>
      </c>
      <c r="E529" t="inlineStr">
        <is>
          <t>SMEDJEBACKEN</t>
        </is>
      </c>
      <c r="G529" t="n">
        <v>1.6</v>
      </c>
      <c r="H529" t="n">
        <v>0</v>
      </c>
      <c r="I529" t="n">
        <v>0</v>
      </c>
      <c r="J529" t="n">
        <v>0</v>
      </c>
      <c r="K529" t="n">
        <v>0</v>
      </c>
      <c r="L529" t="n">
        <v>0</v>
      </c>
      <c r="M529" t="n">
        <v>0</v>
      </c>
      <c r="N529" t="n">
        <v>0</v>
      </c>
      <c r="O529" t="n">
        <v>0</v>
      </c>
      <c r="P529" t="n">
        <v>0</v>
      </c>
      <c r="Q529" t="n">
        <v>0</v>
      </c>
      <c r="R529" s="2" t="inlineStr"/>
    </row>
    <row r="530" ht="15" customHeight="1">
      <c r="A530" t="inlineStr">
        <is>
          <t>A 53210-2022</t>
        </is>
      </c>
      <c r="B530" s="1" t="n">
        <v>44876</v>
      </c>
      <c r="C530" s="1" t="n">
        <v>45718</v>
      </c>
      <c r="D530" t="inlineStr">
        <is>
          <t>DALARNAS LÄN</t>
        </is>
      </c>
      <c r="E530" t="inlineStr">
        <is>
          <t>SMEDJEBACKEN</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53273-2022</t>
        </is>
      </c>
      <c r="B531" s="1" t="n">
        <v>44876</v>
      </c>
      <c r="C531" s="1" t="n">
        <v>45718</v>
      </c>
      <c r="D531" t="inlineStr">
        <is>
          <t>DALARNAS LÄN</t>
        </is>
      </c>
      <c r="E531" t="inlineStr">
        <is>
          <t>SMEDJEBACKEN</t>
        </is>
      </c>
      <c r="G531" t="n">
        <v>1.9</v>
      </c>
      <c r="H531" t="n">
        <v>0</v>
      </c>
      <c r="I531" t="n">
        <v>0</v>
      </c>
      <c r="J531" t="n">
        <v>0</v>
      </c>
      <c r="K531" t="n">
        <v>0</v>
      </c>
      <c r="L531" t="n">
        <v>0</v>
      </c>
      <c r="M531" t="n">
        <v>0</v>
      </c>
      <c r="N531" t="n">
        <v>0</v>
      </c>
      <c r="O531" t="n">
        <v>0</v>
      </c>
      <c r="P531" t="n">
        <v>0</v>
      </c>
      <c r="Q531" t="n">
        <v>0</v>
      </c>
      <c r="R531" s="2" t="inlineStr"/>
    </row>
    <row r="532" ht="15" customHeight="1">
      <c r="A532" t="inlineStr">
        <is>
          <t>A 53702-2022</t>
        </is>
      </c>
      <c r="B532" s="1" t="n">
        <v>44880</v>
      </c>
      <c r="C532" s="1" t="n">
        <v>45718</v>
      </c>
      <c r="D532" t="inlineStr">
        <is>
          <t>DALARNAS LÄN</t>
        </is>
      </c>
      <c r="E532" t="inlineStr">
        <is>
          <t>SMEDJEBACKEN</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53707-2022</t>
        </is>
      </c>
      <c r="B533" s="1" t="n">
        <v>44880</v>
      </c>
      <c r="C533" s="1" t="n">
        <v>45718</v>
      </c>
      <c r="D533" t="inlineStr">
        <is>
          <t>DALARNAS LÄN</t>
        </is>
      </c>
      <c r="E533" t="inlineStr">
        <is>
          <t>SMEDJEBACKEN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53718-2022</t>
        </is>
      </c>
      <c r="B534" s="1" t="n">
        <v>44880</v>
      </c>
      <c r="C534" s="1" t="n">
        <v>45718</v>
      </c>
      <c r="D534" t="inlineStr">
        <is>
          <t>DALARNAS LÄN</t>
        </is>
      </c>
      <c r="E534" t="inlineStr">
        <is>
          <t>SMEDJEBACKEN</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54259-2022</t>
        </is>
      </c>
      <c r="B535" s="1" t="n">
        <v>44882</v>
      </c>
      <c r="C535" s="1" t="n">
        <v>45718</v>
      </c>
      <c r="D535" t="inlineStr">
        <is>
          <t>DALARNAS LÄN</t>
        </is>
      </c>
      <c r="E535" t="inlineStr">
        <is>
          <t>SMEDJEBACKEN</t>
        </is>
      </c>
      <c r="F535" t="inlineStr">
        <is>
          <t>Kyrkan</t>
        </is>
      </c>
      <c r="G535" t="n">
        <v>11.1</v>
      </c>
      <c r="H535" t="n">
        <v>0</v>
      </c>
      <c r="I535" t="n">
        <v>0</v>
      </c>
      <c r="J535" t="n">
        <v>0</v>
      </c>
      <c r="K535" t="n">
        <v>0</v>
      </c>
      <c r="L535" t="n">
        <v>0</v>
      </c>
      <c r="M535" t="n">
        <v>0</v>
      </c>
      <c r="N535" t="n">
        <v>0</v>
      </c>
      <c r="O535" t="n">
        <v>0</v>
      </c>
      <c r="P535" t="n">
        <v>0</v>
      </c>
      <c r="Q535" t="n">
        <v>0</v>
      </c>
      <c r="R535" s="2" t="inlineStr"/>
    </row>
    <row r="536" ht="15" customHeight="1">
      <c r="A536" t="inlineStr">
        <is>
          <t>A 54260-2022</t>
        </is>
      </c>
      <c r="B536" s="1" t="n">
        <v>44882</v>
      </c>
      <c r="C536" s="1" t="n">
        <v>45718</v>
      </c>
      <c r="D536" t="inlineStr">
        <is>
          <t>DALARNAS LÄN</t>
        </is>
      </c>
      <c r="E536" t="inlineStr">
        <is>
          <t>SMEDJEBACKEN</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55680-2022</t>
        </is>
      </c>
      <c r="B537" s="1" t="n">
        <v>44883</v>
      </c>
      <c r="C537" s="1" t="n">
        <v>45718</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54965-2022</t>
        </is>
      </c>
      <c r="B538" s="1" t="n">
        <v>44886</v>
      </c>
      <c r="C538" s="1" t="n">
        <v>45718</v>
      </c>
      <c r="D538" t="inlineStr">
        <is>
          <t>DALARNAS LÄN</t>
        </is>
      </c>
      <c r="E538" t="inlineStr">
        <is>
          <t>SMEDJEBACKEN</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55000-2022</t>
        </is>
      </c>
      <c r="B539" s="1" t="n">
        <v>44886</v>
      </c>
      <c r="C539" s="1" t="n">
        <v>45718</v>
      </c>
      <c r="D539" t="inlineStr">
        <is>
          <t>DALARNAS LÄN</t>
        </is>
      </c>
      <c r="E539" t="inlineStr">
        <is>
          <t>SMEDJEBACKEN</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55267-2022</t>
        </is>
      </c>
      <c r="B540" s="1" t="n">
        <v>44887</v>
      </c>
      <c r="C540" s="1" t="n">
        <v>45718</v>
      </c>
      <c r="D540" t="inlineStr">
        <is>
          <t>DALARNAS LÄN</t>
        </is>
      </c>
      <c r="E540" t="inlineStr">
        <is>
          <t>SMEDJEBACKEN</t>
        </is>
      </c>
      <c r="G540" t="n">
        <v>3.7</v>
      </c>
      <c r="H540" t="n">
        <v>0</v>
      </c>
      <c r="I540" t="n">
        <v>0</v>
      </c>
      <c r="J540" t="n">
        <v>0</v>
      </c>
      <c r="K540" t="n">
        <v>0</v>
      </c>
      <c r="L540" t="n">
        <v>0</v>
      </c>
      <c r="M540" t="n">
        <v>0</v>
      </c>
      <c r="N540" t="n">
        <v>0</v>
      </c>
      <c r="O540" t="n">
        <v>0</v>
      </c>
      <c r="P540" t="n">
        <v>0</v>
      </c>
      <c r="Q540" t="n">
        <v>0</v>
      </c>
      <c r="R540" s="2" t="inlineStr"/>
    </row>
    <row r="541" ht="15" customHeight="1">
      <c r="A541" t="inlineStr">
        <is>
          <t>A 55811-2022</t>
        </is>
      </c>
      <c r="B541" s="1" t="n">
        <v>44888</v>
      </c>
      <c r="C541" s="1" t="n">
        <v>45718</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55717-2022</t>
        </is>
      </c>
      <c r="B542" s="1" t="n">
        <v>44888</v>
      </c>
      <c r="C542" s="1" t="n">
        <v>45718</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56068-2022</t>
        </is>
      </c>
      <c r="B543" s="1" t="n">
        <v>44889</v>
      </c>
      <c r="C543" s="1" t="n">
        <v>45718</v>
      </c>
      <c r="D543" t="inlineStr">
        <is>
          <t>DALARNAS LÄN</t>
        </is>
      </c>
      <c r="E543" t="inlineStr">
        <is>
          <t>SMEDJEBACKEN</t>
        </is>
      </c>
      <c r="G543" t="n">
        <v>1.6</v>
      </c>
      <c r="H543" t="n">
        <v>0</v>
      </c>
      <c r="I543" t="n">
        <v>0</v>
      </c>
      <c r="J543" t="n">
        <v>0</v>
      </c>
      <c r="K543" t="n">
        <v>0</v>
      </c>
      <c r="L543" t="n">
        <v>0</v>
      </c>
      <c r="M543" t="n">
        <v>0</v>
      </c>
      <c r="N543" t="n">
        <v>0</v>
      </c>
      <c r="O543" t="n">
        <v>0</v>
      </c>
      <c r="P543" t="n">
        <v>0</v>
      </c>
      <c r="Q543" t="n">
        <v>0</v>
      </c>
      <c r="R543" s="2" t="inlineStr"/>
    </row>
    <row r="544" ht="15" customHeight="1">
      <c r="A544" t="inlineStr">
        <is>
          <t>A 56315-2022</t>
        </is>
      </c>
      <c r="B544" s="1" t="n">
        <v>44890</v>
      </c>
      <c r="C544" s="1" t="n">
        <v>45718</v>
      </c>
      <c r="D544" t="inlineStr">
        <is>
          <t>DALARNAS LÄN</t>
        </is>
      </c>
      <c r="E544" t="inlineStr">
        <is>
          <t>SMEDJEBACKEN</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56308-2022</t>
        </is>
      </c>
      <c r="B545" s="1" t="n">
        <v>44890</v>
      </c>
      <c r="C545" s="1" t="n">
        <v>45718</v>
      </c>
      <c r="D545" t="inlineStr">
        <is>
          <t>DALARNAS LÄN</t>
        </is>
      </c>
      <c r="E545" t="inlineStr">
        <is>
          <t>SMEDJEBACKEN</t>
        </is>
      </c>
      <c r="F545" t="inlineStr">
        <is>
          <t>Kyrkan</t>
        </is>
      </c>
      <c r="G545" t="n">
        <v>8.5</v>
      </c>
      <c r="H545" t="n">
        <v>0</v>
      </c>
      <c r="I545" t="n">
        <v>0</v>
      </c>
      <c r="J545" t="n">
        <v>0</v>
      </c>
      <c r="K545" t="n">
        <v>0</v>
      </c>
      <c r="L545" t="n">
        <v>0</v>
      </c>
      <c r="M545" t="n">
        <v>0</v>
      </c>
      <c r="N545" t="n">
        <v>0</v>
      </c>
      <c r="O545" t="n">
        <v>0</v>
      </c>
      <c r="P545" t="n">
        <v>0</v>
      </c>
      <c r="Q545" t="n">
        <v>0</v>
      </c>
      <c r="R545" s="2" t="inlineStr"/>
    </row>
    <row r="546" ht="15" customHeight="1">
      <c r="A546" t="inlineStr">
        <is>
          <t>A 56480-2022</t>
        </is>
      </c>
      <c r="B546" s="1" t="n">
        <v>44893</v>
      </c>
      <c r="C546" s="1" t="n">
        <v>45718</v>
      </c>
      <c r="D546" t="inlineStr">
        <is>
          <t>DALARNAS LÄN</t>
        </is>
      </c>
      <c r="E546" t="inlineStr">
        <is>
          <t>SMEDJEBACKEN</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57151-2022</t>
        </is>
      </c>
      <c r="B547" s="1" t="n">
        <v>44895</v>
      </c>
      <c r="C547" s="1" t="n">
        <v>45718</v>
      </c>
      <c r="D547" t="inlineStr">
        <is>
          <t>DALARNAS LÄN</t>
        </is>
      </c>
      <c r="E547" t="inlineStr">
        <is>
          <t>SMEDJEBACKEN</t>
        </is>
      </c>
      <c r="G547" t="n">
        <v>2.3</v>
      </c>
      <c r="H547" t="n">
        <v>0</v>
      </c>
      <c r="I547" t="n">
        <v>0</v>
      </c>
      <c r="J547" t="n">
        <v>0</v>
      </c>
      <c r="K547" t="n">
        <v>0</v>
      </c>
      <c r="L547" t="n">
        <v>0</v>
      </c>
      <c r="M547" t="n">
        <v>0</v>
      </c>
      <c r="N547" t="n">
        <v>0</v>
      </c>
      <c r="O547" t="n">
        <v>0</v>
      </c>
      <c r="P547" t="n">
        <v>0</v>
      </c>
      <c r="Q547" t="n">
        <v>0</v>
      </c>
      <c r="R547" s="2" t="inlineStr"/>
    </row>
    <row r="548" ht="15" customHeight="1">
      <c r="A548" t="inlineStr">
        <is>
          <t>A 57146-2022</t>
        </is>
      </c>
      <c r="B548" s="1" t="n">
        <v>44895</v>
      </c>
      <c r="C548" s="1" t="n">
        <v>45718</v>
      </c>
      <c r="D548" t="inlineStr">
        <is>
          <t>DALARNAS LÄN</t>
        </is>
      </c>
      <c r="E548" t="inlineStr">
        <is>
          <t>SMEDJEBACKEN</t>
        </is>
      </c>
      <c r="G548" t="n">
        <v>1.4</v>
      </c>
      <c r="H548" t="n">
        <v>0</v>
      </c>
      <c r="I548" t="n">
        <v>0</v>
      </c>
      <c r="J548" t="n">
        <v>0</v>
      </c>
      <c r="K548" t="n">
        <v>0</v>
      </c>
      <c r="L548" t="n">
        <v>0</v>
      </c>
      <c r="M548" t="n">
        <v>0</v>
      </c>
      <c r="N548" t="n">
        <v>0</v>
      </c>
      <c r="O548" t="n">
        <v>0</v>
      </c>
      <c r="P548" t="n">
        <v>0</v>
      </c>
      <c r="Q548" t="n">
        <v>0</v>
      </c>
      <c r="R548" s="2" t="inlineStr"/>
    </row>
    <row r="549" ht="15" customHeight="1">
      <c r="A549" t="inlineStr">
        <is>
          <t>A 57390-2022</t>
        </is>
      </c>
      <c r="B549" s="1" t="n">
        <v>44896</v>
      </c>
      <c r="C549" s="1" t="n">
        <v>45718</v>
      </c>
      <c r="D549" t="inlineStr">
        <is>
          <t>DALARNAS LÄN</t>
        </is>
      </c>
      <c r="E549" t="inlineStr">
        <is>
          <t>SMEDJEBACKEN</t>
        </is>
      </c>
      <c r="G549" t="n">
        <v>1.7</v>
      </c>
      <c r="H549" t="n">
        <v>0</v>
      </c>
      <c r="I549" t="n">
        <v>0</v>
      </c>
      <c r="J549" t="n">
        <v>0</v>
      </c>
      <c r="K549" t="n">
        <v>0</v>
      </c>
      <c r="L549" t="n">
        <v>0</v>
      </c>
      <c r="M549" t="n">
        <v>0</v>
      </c>
      <c r="N549" t="n">
        <v>0</v>
      </c>
      <c r="O549" t="n">
        <v>0</v>
      </c>
      <c r="P549" t="n">
        <v>0</v>
      </c>
      <c r="Q549" t="n">
        <v>0</v>
      </c>
      <c r="R549" s="2" t="inlineStr"/>
    </row>
    <row r="550" ht="15" customHeight="1">
      <c r="A550" t="inlineStr">
        <is>
          <t>A 57386-2022</t>
        </is>
      </c>
      <c r="B550" s="1" t="n">
        <v>44896</v>
      </c>
      <c r="C550" s="1" t="n">
        <v>45718</v>
      </c>
      <c r="D550" t="inlineStr">
        <is>
          <t>DALARNAS LÄN</t>
        </is>
      </c>
      <c r="E550" t="inlineStr">
        <is>
          <t>SMEDJEBACKEN</t>
        </is>
      </c>
      <c r="G550" t="n">
        <v>3.5</v>
      </c>
      <c r="H550" t="n">
        <v>0</v>
      </c>
      <c r="I550" t="n">
        <v>0</v>
      </c>
      <c r="J550" t="n">
        <v>0</v>
      </c>
      <c r="K550" t="n">
        <v>0</v>
      </c>
      <c r="L550" t="n">
        <v>0</v>
      </c>
      <c r="M550" t="n">
        <v>0</v>
      </c>
      <c r="N550" t="n">
        <v>0</v>
      </c>
      <c r="O550" t="n">
        <v>0</v>
      </c>
      <c r="P550" t="n">
        <v>0</v>
      </c>
      <c r="Q550" t="n">
        <v>0</v>
      </c>
      <c r="R550" s="2" t="inlineStr"/>
    </row>
    <row r="551" ht="15" customHeight="1">
      <c r="A551" t="inlineStr">
        <is>
          <t>A 57629-2022</t>
        </is>
      </c>
      <c r="B551" s="1" t="n">
        <v>44897</v>
      </c>
      <c r="C551" s="1" t="n">
        <v>45718</v>
      </c>
      <c r="D551" t="inlineStr">
        <is>
          <t>DALARNAS LÄN</t>
        </is>
      </c>
      <c r="E551" t="inlineStr">
        <is>
          <t>SMEDJEBACKEN</t>
        </is>
      </c>
      <c r="F551" t="inlineStr">
        <is>
          <t>Kyrkan</t>
        </is>
      </c>
      <c r="G551" t="n">
        <v>1.6</v>
      </c>
      <c r="H551" t="n">
        <v>0</v>
      </c>
      <c r="I551" t="n">
        <v>0</v>
      </c>
      <c r="J551" t="n">
        <v>0</v>
      </c>
      <c r="K551" t="n">
        <v>0</v>
      </c>
      <c r="L551" t="n">
        <v>0</v>
      </c>
      <c r="M551" t="n">
        <v>0</v>
      </c>
      <c r="N551" t="n">
        <v>0</v>
      </c>
      <c r="O551" t="n">
        <v>0</v>
      </c>
      <c r="P551" t="n">
        <v>0</v>
      </c>
      <c r="Q551" t="n">
        <v>0</v>
      </c>
      <c r="R551" s="2" t="inlineStr"/>
    </row>
    <row r="552" ht="15" customHeight="1">
      <c r="A552" t="inlineStr">
        <is>
          <t>A 58468-2022</t>
        </is>
      </c>
      <c r="B552" s="1" t="n">
        <v>44902</v>
      </c>
      <c r="C552" s="1" t="n">
        <v>45718</v>
      </c>
      <c r="D552" t="inlineStr">
        <is>
          <t>DALARNAS LÄN</t>
        </is>
      </c>
      <c r="E552" t="inlineStr">
        <is>
          <t>SMEDJEBACKEN</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58945-2022</t>
        </is>
      </c>
      <c r="B553" s="1" t="n">
        <v>44903</v>
      </c>
      <c r="C553" s="1" t="n">
        <v>45718</v>
      </c>
      <c r="D553" t="inlineStr">
        <is>
          <t>DALARNAS LÄN</t>
        </is>
      </c>
      <c r="E553" t="inlineStr">
        <is>
          <t>SMEDJEBACKEN</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60049-2022</t>
        </is>
      </c>
      <c r="B554" s="1" t="n">
        <v>44909</v>
      </c>
      <c r="C554" s="1" t="n">
        <v>45718</v>
      </c>
      <c r="D554" t="inlineStr">
        <is>
          <t>DALARNAS LÄN</t>
        </is>
      </c>
      <c r="E554" t="inlineStr">
        <is>
          <t>SMEDJEBACKEN</t>
        </is>
      </c>
      <c r="G554" t="n">
        <v>0.8</v>
      </c>
      <c r="H554" t="n">
        <v>0</v>
      </c>
      <c r="I554" t="n">
        <v>0</v>
      </c>
      <c r="J554" t="n">
        <v>0</v>
      </c>
      <c r="K554" t="n">
        <v>0</v>
      </c>
      <c r="L554" t="n">
        <v>0</v>
      </c>
      <c r="M554" t="n">
        <v>0</v>
      </c>
      <c r="N554" t="n">
        <v>0</v>
      </c>
      <c r="O554" t="n">
        <v>0</v>
      </c>
      <c r="P554" t="n">
        <v>0</v>
      </c>
      <c r="Q554" t="n">
        <v>0</v>
      </c>
      <c r="R554" s="2" t="inlineStr"/>
    </row>
    <row r="555" ht="15" customHeight="1">
      <c r="A555" t="inlineStr">
        <is>
          <t>A 61260-2022</t>
        </is>
      </c>
      <c r="B555" s="1" t="n">
        <v>44909</v>
      </c>
      <c r="C555" s="1" t="n">
        <v>45718</v>
      </c>
      <c r="D555" t="inlineStr">
        <is>
          <t>DALARNAS LÄN</t>
        </is>
      </c>
      <c r="E555" t="inlineStr">
        <is>
          <t>SMEDJEBACKEN</t>
        </is>
      </c>
      <c r="G555" t="n">
        <v>3.2</v>
      </c>
      <c r="H555" t="n">
        <v>0</v>
      </c>
      <c r="I555" t="n">
        <v>0</v>
      </c>
      <c r="J555" t="n">
        <v>0</v>
      </c>
      <c r="K555" t="n">
        <v>0</v>
      </c>
      <c r="L555" t="n">
        <v>0</v>
      </c>
      <c r="M555" t="n">
        <v>0</v>
      </c>
      <c r="N555" t="n">
        <v>0</v>
      </c>
      <c r="O555" t="n">
        <v>0</v>
      </c>
      <c r="P555" t="n">
        <v>0</v>
      </c>
      <c r="Q555" t="n">
        <v>0</v>
      </c>
      <c r="R555" s="2" t="inlineStr"/>
    </row>
    <row r="556" ht="15" customHeight="1">
      <c r="A556" t="inlineStr">
        <is>
          <t>A 60762-2022</t>
        </is>
      </c>
      <c r="B556" s="1" t="n">
        <v>44914</v>
      </c>
      <c r="C556" s="1" t="n">
        <v>45718</v>
      </c>
      <c r="D556" t="inlineStr">
        <is>
          <t>DALARNAS LÄN</t>
        </is>
      </c>
      <c r="E556" t="inlineStr">
        <is>
          <t>SMEDJEBACKEN</t>
        </is>
      </c>
      <c r="G556" t="n">
        <v>1.8</v>
      </c>
      <c r="H556" t="n">
        <v>0</v>
      </c>
      <c r="I556" t="n">
        <v>0</v>
      </c>
      <c r="J556" t="n">
        <v>0</v>
      </c>
      <c r="K556" t="n">
        <v>0</v>
      </c>
      <c r="L556" t="n">
        <v>0</v>
      </c>
      <c r="M556" t="n">
        <v>0</v>
      </c>
      <c r="N556" t="n">
        <v>0</v>
      </c>
      <c r="O556" t="n">
        <v>0</v>
      </c>
      <c r="P556" t="n">
        <v>0</v>
      </c>
      <c r="Q556" t="n">
        <v>0</v>
      </c>
      <c r="R556" s="2" t="inlineStr"/>
    </row>
    <row r="557" ht="15" customHeight="1">
      <c r="A557" t="inlineStr">
        <is>
          <t>A 60814-2022</t>
        </is>
      </c>
      <c r="B557" s="1" t="n">
        <v>44914</v>
      </c>
      <c r="C557" s="1" t="n">
        <v>45718</v>
      </c>
      <c r="D557" t="inlineStr">
        <is>
          <t>DALARNAS LÄN</t>
        </is>
      </c>
      <c r="E557" t="inlineStr">
        <is>
          <t>SMEDJEBACKEN</t>
        </is>
      </c>
      <c r="G557" t="n">
        <v>0.6</v>
      </c>
      <c r="H557" t="n">
        <v>0</v>
      </c>
      <c r="I557" t="n">
        <v>0</v>
      </c>
      <c r="J557" t="n">
        <v>0</v>
      </c>
      <c r="K557" t="n">
        <v>0</v>
      </c>
      <c r="L557" t="n">
        <v>0</v>
      </c>
      <c r="M557" t="n">
        <v>0</v>
      </c>
      <c r="N557" t="n">
        <v>0</v>
      </c>
      <c r="O557" t="n">
        <v>0</v>
      </c>
      <c r="P557" t="n">
        <v>0</v>
      </c>
      <c r="Q557" t="n">
        <v>0</v>
      </c>
      <c r="R557" s="2" t="inlineStr"/>
    </row>
    <row r="558" ht="15" customHeight="1">
      <c r="A558" t="inlineStr">
        <is>
          <t>A 60764-2022</t>
        </is>
      </c>
      <c r="B558" s="1" t="n">
        <v>44914</v>
      </c>
      <c r="C558" s="1" t="n">
        <v>45718</v>
      </c>
      <c r="D558" t="inlineStr">
        <is>
          <t>DALARNAS LÄN</t>
        </is>
      </c>
      <c r="E558" t="inlineStr">
        <is>
          <t>SMEDJEBACKEN</t>
        </is>
      </c>
      <c r="G558" t="n">
        <v>2</v>
      </c>
      <c r="H558" t="n">
        <v>0</v>
      </c>
      <c r="I558" t="n">
        <v>0</v>
      </c>
      <c r="J558" t="n">
        <v>0</v>
      </c>
      <c r="K558" t="n">
        <v>0</v>
      </c>
      <c r="L558" t="n">
        <v>0</v>
      </c>
      <c r="M558" t="n">
        <v>0</v>
      </c>
      <c r="N558" t="n">
        <v>0</v>
      </c>
      <c r="O558" t="n">
        <v>0</v>
      </c>
      <c r="P558" t="n">
        <v>0</v>
      </c>
      <c r="Q558" t="n">
        <v>0</v>
      </c>
      <c r="R558" s="2" t="inlineStr"/>
    </row>
    <row r="559" ht="15" customHeight="1">
      <c r="A559" t="inlineStr">
        <is>
          <t>A 61541-2022</t>
        </is>
      </c>
      <c r="B559" s="1" t="n">
        <v>44916</v>
      </c>
      <c r="C559" s="1" t="n">
        <v>45718</v>
      </c>
      <c r="D559" t="inlineStr">
        <is>
          <t>DALARNAS LÄN</t>
        </is>
      </c>
      <c r="E559" t="inlineStr">
        <is>
          <t>SMEDJEBACKEN</t>
        </is>
      </c>
      <c r="G559" t="n">
        <v>1.3</v>
      </c>
      <c r="H559" t="n">
        <v>0</v>
      </c>
      <c r="I559" t="n">
        <v>0</v>
      </c>
      <c r="J559" t="n">
        <v>0</v>
      </c>
      <c r="K559" t="n">
        <v>0</v>
      </c>
      <c r="L559" t="n">
        <v>0</v>
      </c>
      <c r="M559" t="n">
        <v>0</v>
      </c>
      <c r="N559" t="n">
        <v>0</v>
      </c>
      <c r="O559" t="n">
        <v>0</v>
      </c>
      <c r="P559" t="n">
        <v>0</v>
      </c>
      <c r="Q559" t="n">
        <v>0</v>
      </c>
      <c r="R559" s="2" t="inlineStr"/>
    </row>
    <row r="560" ht="15" customHeight="1">
      <c r="A560" t="inlineStr">
        <is>
          <t>A 61509-2022</t>
        </is>
      </c>
      <c r="B560" s="1" t="n">
        <v>44916</v>
      </c>
      <c r="C560" s="1" t="n">
        <v>45718</v>
      </c>
      <c r="D560" t="inlineStr">
        <is>
          <t>DALARNAS LÄN</t>
        </is>
      </c>
      <c r="E560" t="inlineStr">
        <is>
          <t>SMEDJEBACKEN</t>
        </is>
      </c>
      <c r="G560" t="n">
        <v>5</v>
      </c>
      <c r="H560" t="n">
        <v>0</v>
      </c>
      <c r="I560" t="n">
        <v>0</v>
      </c>
      <c r="J560" t="n">
        <v>0</v>
      </c>
      <c r="K560" t="n">
        <v>0</v>
      </c>
      <c r="L560" t="n">
        <v>0</v>
      </c>
      <c r="M560" t="n">
        <v>0</v>
      </c>
      <c r="N560" t="n">
        <v>0</v>
      </c>
      <c r="O560" t="n">
        <v>0</v>
      </c>
      <c r="P560" t="n">
        <v>0</v>
      </c>
      <c r="Q560" t="n">
        <v>0</v>
      </c>
      <c r="R560" s="2" t="inlineStr"/>
    </row>
    <row r="561" ht="15" customHeight="1">
      <c r="A561" t="inlineStr">
        <is>
          <t>A 117-2023</t>
        </is>
      </c>
      <c r="B561" s="1" t="n">
        <v>44928</v>
      </c>
      <c r="C561" s="1" t="n">
        <v>45718</v>
      </c>
      <c r="D561" t="inlineStr">
        <is>
          <t>DALARNAS LÄN</t>
        </is>
      </c>
      <c r="E561" t="inlineStr">
        <is>
          <t>SMEDJEBACKEN</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1898-2023</t>
        </is>
      </c>
      <c r="B562" s="1" t="n">
        <v>44937</v>
      </c>
      <c r="C562" s="1" t="n">
        <v>45718</v>
      </c>
      <c r="D562" t="inlineStr">
        <is>
          <t>DALARNAS LÄN</t>
        </is>
      </c>
      <c r="E562" t="inlineStr">
        <is>
          <t>SMEDJEBACKEN</t>
        </is>
      </c>
      <c r="G562" t="n">
        <v>3</v>
      </c>
      <c r="H562" t="n">
        <v>0</v>
      </c>
      <c r="I562" t="n">
        <v>0</v>
      </c>
      <c r="J562" t="n">
        <v>0</v>
      </c>
      <c r="K562" t="n">
        <v>0</v>
      </c>
      <c r="L562" t="n">
        <v>0</v>
      </c>
      <c r="M562" t="n">
        <v>0</v>
      </c>
      <c r="N562" t="n">
        <v>0</v>
      </c>
      <c r="O562" t="n">
        <v>0</v>
      </c>
      <c r="P562" t="n">
        <v>0</v>
      </c>
      <c r="Q562" t="n">
        <v>0</v>
      </c>
      <c r="R562" s="2" t="inlineStr"/>
    </row>
    <row r="563" ht="15" customHeight="1">
      <c r="A563" t="inlineStr">
        <is>
          <t>A 1908-2023</t>
        </is>
      </c>
      <c r="B563" s="1" t="n">
        <v>44939</v>
      </c>
      <c r="C563" s="1" t="n">
        <v>45718</v>
      </c>
      <c r="D563" t="inlineStr">
        <is>
          <t>DALARNAS LÄN</t>
        </is>
      </c>
      <c r="E563" t="inlineStr">
        <is>
          <t>SMEDJEBACKEN</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2894-2023</t>
        </is>
      </c>
      <c r="B564" s="1" t="n">
        <v>44945</v>
      </c>
      <c r="C564" s="1" t="n">
        <v>45718</v>
      </c>
      <c r="D564" t="inlineStr">
        <is>
          <t>DALARNAS LÄN</t>
        </is>
      </c>
      <c r="E564" t="inlineStr">
        <is>
          <t>SMEDJEBACKEN</t>
        </is>
      </c>
      <c r="G564" t="n">
        <v>0.7</v>
      </c>
      <c r="H564" t="n">
        <v>0</v>
      </c>
      <c r="I564" t="n">
        <v>0</v>
      </c>
      <c r="J564" t="n">
        <v>0</v>
      </c>
      <c r="K564" t="n">
        <v>0</v>
      </c>
      <c r="L564" t="n">
        <v>0</v>
      </c>
      <c r="M564" t="n">
        <v>0</v>
      </c>
      <c r="N564" t="n">
        <v>0</v>
      </c>
      <c r="O564" t="n">
        <v>0</v>
      </c>
      <c r="P564" t="n">
        <v>0</v>
      </c>
      <c r="Q564" t="n">
        <v>0</v>
      </c>
      <c r="R564" s="2" t="inlineStr"/>
    </row>
    <row r="565" ht="15" customHeight="1">
      <c r="A565" t="inlineStr">
        <is>
          <t>A 4155-2023</t>
        </is>
      </c>
      <c r="B565" s="1" t="n">
        <v>44950</v>
      </c>
      <c r="C565" s="1" t="n">
        <v>45718</v>
      </c>
      <c r="D565" t="inlineStr">
        <is>
          <t>DALARNAS LÄN</t>
        </is>
      </c>
      <c r="E565" t="inlineStr">
        <is>
          <t>SMEDJEBACKEN</t>
        </is>
      </c>
      <c r="G565" t="n">
        <v>1.9</v>
      </c>
      <c r="H565" t="n">
        <v>0</v>
      </c>
      <c r="I565" t="n">
        <v>0</v>
      </c>
      <c r="J565" t="n">
        <v>0</v>
      </c>
      <c r="K565" t="n">
        <v>0</v>
      </c>
      <c r="L565" t="n">
        <v>0</v>
      </c>
      <c r="M565" t="n">
        <v>0</v>
      </c>
      <c r="N565" t="n">
        <v>0</v>
      </c>
      <c r="O565" t="n">
        <v>0</v>
      </c>
      <c r="P565" t="n">
        <v>0</v>
      </c>
      <c r="Q565" t="n">
        <v>0</v>
      </c>
      <c r="R565" s="2" t="inlineStr"/>
    </row>
    <row r="566" ht="15" customHeight="1">
      <c r="A566" t="inlineStr">
        <is>
          <t>A 4052-2023</t>
        </is>
      </c>
      <c r="B566" s="1" t="n">
        <v>44952</v>
      </c>
      <c r="C566" s="1" t="n">
        <v>45718</v>
      </c>
      <c r="D566" t="inlineStr">
        <is>
          <t>DALARNAS LÄN</t>
        </is>
      </c>
      <c r="E566" t="inlineStr">
        <is>
          <t>SMEDJEBACKEN</t>
        </is>
      </c>
      <c r="G566" t="n">
        <v>7.3</v>
      </c>
      <c r="H566" t="n">
        <v>0</v>
      </c>
      <c r="I566" t="n">
        <v>0</v>
      </c>
      <c r="J566" t="n">
        <v>0</v>
      </c>
      <c r="K566" t="n">
        <v>0</v>
      </c>
      <c r="L566" t="n">
        <v>0</v>
      </c>
      <c r="M566" t="n">
        <v>0</v>
      </c>
      <c r="N566" t="n">
        <v>0</v>
      </c>
      <c r="O566" t="n">
        <v>0</v>
      </c>
      <c r="P566" t="n">
        <v>0</v>
      </c>
      <c r="Q566" t="n">
        <v>0</v>
      </c>
      <c r="R566" s="2" t="inlineStr"/>
    </row>
    <row r="567" ht="15" customHeight="1">
      <c r="A567" t="inlineStr">
        <is>
          <t>A 4411-2023</t>
        </is>
      </c>
      <c r="B567" s="1" t="n">
        <v>44956</v>
      </c>
      <c r="C567" s="1" t="n">
        <v>45718</v>
      </c>
      <c r="D567" t="inlineStr">
        <is>
          <t>DALARNAS LÄN</t>
        </is>
      </c>
      <c r="E567" t="inlineStr">
        <is>
          <t>SMEDJEBACKEN</t>
        </is>
      </c>
      <c r="G567" t="n">
        <v>3.3</v>
      </c>
      <c r="H567" t="n">
        <v>0</v>
      </c>
      <c r="I567" t="n">
        <v>0</v>
      </c>
      <c r="J567" t="n">
        <v>0</v>
      </c>
      <c r="K567" t="n">
        <v>0</v>
      </c>
      <c r="L567" t="n">
        <v>0</v>
      </c>
      <c r="M567" t="n">
        <v>0</v>
      </c>
      <c r="N567" t="n">
        <v>0</v>
      </c>
      <c r="O567" t="n">
        <v>0</v>
      </c>
      <c r="P567" t="n">
        <v>0</v>
      </c>
      <c r="Q567" t="n">
        <v>0</v>
      </c>
      <c r="R567" s="2" t="inlineStr"/>
    </row>
    <row r="568" ht="15" customHeight="1">
      <c r="A568" t="inlineStr">
        <is>
          <t>A 6333-2023</t>
        </is>
      </c>
      <c r="B568" s="1" t="n">
        <v>44965</v>
      </c>
      <c r="C568" s="1" t="n">
        <v>45718</v>
      </c>
      <c r="D568" t="inlineStr">
        <is>
          <t>DALARNAS LÄN</t>
        </is>
      </c>
      <c r="E568" t="inlineStr">
        <is>
          <t>SMEDJEBACKEN</t>
        </is>
      </c>
      <c r="G568" t="n">
        <v>4.3</v>
      </c>
      <c r="H568" t="n">
        <v>0</v>
      </c>
      <c r="I568" t="n">
        <v>0</v>
      </c>
      <c r="J568" t="n">
        <v>0</v>
      </c>
      <c r="K568" t="n">
        <v>0</v>
      </c>
      <c r="L568" t="n">
        <v>0</v>
      </c>
      <c r="M568" t="n">
        <v>0</v>
      </c>
      <c r="N568" t="n">
        <v>0</v>
      </c>
      <c r="O568" t="n">
        <v>0</v>
      </c>
      <c r="P568" t="n">
        <v>0</v>
      </c>
      <c r="Q568" t="n">
        <v>0</v>
      </c>
      <c r="R568" s="2" t="inlineStr"/>
    </row>
    <row r="569" ht="15" customHeight="1">
      <c r="A569" t="inlineStr">
        <is>
          <t>A 6334-2023</t>
        </is>
      </c>
      <c r="B569" s="1" t="n">
        <v>44965</v>
      </c>
      <c r="C569" s="1" t="n">
        <v>45718</v>
      </c>
      <c r="D569" t="inlineStr">
        <is>
          <t>DALARNAS LÄN</t>
        </is>
      </c>
      <c r="E569" t="inlineStr">
        <is>
          <t>SMEDJEBACKEN</t>
        </is>
      </c>
      <c r="G569" t="n">
        <v>0.8</v>
      </c>
      <c r="H569" t="n">
        <v>0</v>
      </c>
      <c r="I569" t="n">
        <v>0</v>
      </c>
      <c r="J569" t="n">
        <v>0</v>
      </c>
      <c r="K569" t="n">
        <v>0</v>
      </c>
      <c r="L569" t="n">
        <v>0</v>
      </c>
      <c r="M569" t="n">
        <v>0</v>
      </c>
      <c r="N569" t="n">
        <v>0</v>
      </c>
      <c r="O569" t="n">
        <v>0</v>
      </c>
      <c r="P569" t="n">
        <v>0</v>
      </c>
      <c r="Q569" t="n">
        <v>0</v>
      </c>
      <c r="R569" s="2" t="inlineStr"/>
    </row>
    <row r="570" ht="15" customHeight="1">
      <c r="A570" t="inlineStr">
        <is>
          <t>A 6335-2023</t>
        </is>
      </c>
      <c r="B570" s="1" t="n">
        <v>44965</v>
      </c>
      <c r="C570" s="1" t="n">
        <v>45718</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6712-2023</t>
        </is>
      </c>
      <c r="B571" s="1" t="n">
        <v>44966</v>
      </c>
      <c r="C571" s="1" t="n">
        <v>45718</v>
      </c>
      <c r="D571" t="inlineStr">
        <is>
          <t>DALARNAS LÄN</t>
        </is>
      </c>
      <c r="E571" t="inlineStr">
        <is>
          <t>SMEDJEBACKEN</t>
        </is>
      </c>
      <c r="G571" t="n">
        <v>14.7</v>
      </c>
      <c r="H571" t="n">
        <v>0</v>
      </c>
      <c r="I571" t="n">
        <v>0</v>
      </c>
      <c r="J571" t="n">
        <v>0</v>
      </c>
      <c r="K571" t="n">
        <v>0</v>
      </c>
      <c r="L571" t="n">
        <v>0</v>
      </c>
      <c r="M571" t="n">
        <v>0</v>
      </c>
      <c r="N571" t="n">
        <v>0</v>
      </c>
      <c r="O571" t="n">
        <v>0</v>
      </c>
      <c r="P571" t="n">
        <v>0</v>
      </c>
      <c r="Q571" t="n">
        <v>0</v>
      </c>
      <c r="R571" s="2" t="inlineStr"/>
    </row>
    <row r="572" ht="15" customHeight="1">
      <c r="A572" t="inlineStr">
        <is>
          <t>A 6720-2023</t>
        </is>
      </c>
      <c r="B572" s="1" t="n">
        <v>44966</v>
      </c>
      <c r="C572" s="1" t="n">
        <v>45718</v>
      </c>
      <c r="D572" t="inlineStr">
        <is>
          <t>DALARNAS LÄN</t>
        </is>
      </c>
      <c r="E572" t="inlineStr">
        <is>
          <t>SMEDJEBACKEN</t>
        </is>
      </c>
      <c r="G572" t="n">
        <v>2.4</v>
      </c>
      <c r="H572" t="n">
        <v>0</v>
      </c>
      <c r="I572" t="n">
        <v>0</v>
      </c>
      <c r="J572" t="n">
        <v>0</v>
      </c>
      <c r="K572" t="n">
        <v>0</v>
      </c>
      <c r="L572" t="n">
        <v>0</v>
      </c>
      <c r="M572" t="n">
        <v>0</v>
      </c>
      <c r="N572" t="n">
        <v>0</v>
      </c>
      <c r="O572" t="n">
        <v>0</v>
      </c>
      <c r="P572" t="n">
        <v>0</v>
      </c>
      <c r="Q572" t="n">
        <v>0</v>
      </c>
      <c r="R572" s="2" t="inlineStr"/>
    </row>
    <row r="573" ht="15" customHeight="1">
      <c r="A573" t="inlineStr">
        <is>
          <t>A 6716-2023</t>
        </is>
      </c>
      <c r="B573" s="1" t="n">
        <v>44966</v>
      </c>
      <c r="C573" s="1" t="n">
        <v>45718</v>
      </c>
      <c r="D573" t="inlineStr">
        <is>
          <t>DALARNAS LÄN</t>
        </is>
      </c>
      <c r="E573" t="inlineStr">
        <is>
          <t>SMEDJEBACKEN</t>
        </is>
      </c>
      <c r="G573" t="n">
        <v>0.6</v>
      </c>
      <c r="H573" t="n">
        <v>0</v>
      </c>
      <c r="I573" t="n">
        <v>0</v>
      </c>
      <c r="J573" t="n">
        <v>0</v>
      </c>
      <c r="K573" t="n">
        <v>0</v>
      </c>
      <c r="L573" t="n">
        <v>0</v>
      </c>
      <c r="M573" t="n">
        <v>0</v>
      </c>
      <c r="N573" t="n">
        <v>0</v>
      </c>
      <c r="O573" t="n">
        <v>0</v>
      </c>
      <c r="P573" t="n">
        <v>0</v>
      </c>
      <c r="Q573" t="n">
        <v>0</v>
      </c>
      <c r="R573" s="2" t="inlineStr"/>
    </row>
    <row r="574" ht="15" customHeight="1">
      <c r="A574" t="inlineStr">
        <is>
          <t>A 6722-2023</t>
        </is>
      </c>
      <c r="B574" s="1" t="n">
        <v>44966</v>
      </c>
      <c r="C574" s="1" t="n">
        <v>45718</v>
      </c>
      <c r="D574" t="inlineStr">
        <is>
          <t>DALARNAS LÄN</t>
        </is>
      </c>
      <c r="E574" t="inlineStr">
        <is>
          <t>SMEDJEBACKEN</t>
        </is>
      </c>
      <c r="G574" t="n">
        <v>2.3</v>
      </c>
      <c r="H574" t="n">
        <v>0</v>
      </c>
      <c r="I574" t="n">
        <v>0</v>
      </c>
      <c r="J574" t="n">
        <v>0</v>
      </c>
      <c r="K574" t="n">
        <v>0</v>
      </c>
      <c r="L574" t="n">
        <v>0</v>
      </c>
      <c r="M574" t="n">
        <v>0</v>
      </c>
      <c r="N574" t="n">
        <v>0</v>
      </c>
      <c r="O574" t="n">
        <v>0</v>
      </c>
      <c r="P574" t="n">
        <v>0</v>
      </c>
      <c r="Q574" t="n">
        <v>0</v>
      </c>
      <c r="R574" s="2" t="inlineStr"/>
    </row>
    <row r="575" ht="15" customHeight="1">
      <c r="A575" t="inlineStr">
        <is>
          <t>A 8453-2023</t>
        </is>
      </c>
      <c r="B575" s="1" t="n">
        <v>44977</v>
      </c>
      <c r="C575" s="1" t="n">
        <v>45718</v>
      </c>
      <c r="D575" t="inlineStr">
        <is>
          <t>DALARNAS LÄN</t>
        </is>
      </c>
      <c r="E575" t="inlineStr">
        <is>
          <t>SMEDJEBACKEN</t>
        </is>
      </c>
      <c r="G575" t="n">
        <v>0.9</v>
      </c>
      <c r="H575" t="n">
        <v>0</v>
      </c>
      <c r="I575" t="n">
        <v>0</v>
      </c>
      <c r="J575" t="n">
        <v>0</v>
      </c>
      <c r="K575" t="n">
        <v>0</v>
      </c>
      <c r="L575" t="n">
        <v>0</v>
      </c>
      <c r="M575" t="n">
        <v>0</v>
      </c>
      <c r="N575" t="n">
        <v>0</v>
      </c>
      <c r="O575" t="n">
        <v>0</v>
      </c>
      <c r="P575" t="n">
        <v>0</v>
      </c>
      <c r="Q575" t="n">
        <v>0</v>
      </c>
      <c r="R575" s="2" t="inlineStr"/>
    </row>
    <row r="576" ht="15" customHeight="1">
      <c r="A576" t="inlineStr">
        <is>
          <t>A 9366-2023</t>
        </is>
      </c>
      <c r="B576" s="1" t="n">
        <v>44981</v>
      </c>
      <c r="C576" s="1" t="n">
        <v>45718</v>
      </c>
      <c r="D576" t="inlineStr">
        <is>
          <t>DALARNAS LÄN</t>
        </is>
      </c>
      <c r="E576" t="inlineStr">
        <is>
          <t>SMEDJEBACKEN</t>
        </is>
      </c>
      <c r="G576" t="n">
        <v>5</v>
      </c>
      <c r="H576" t="n">
        <v>0</v>
      </c>
      <c r="I576" t="n">
        <v>0</v>
      </c>
      <c r="J576" t="n">
        <v>0</v>
      </c>
      <c r="K576" t="n">
        <v>0</v>
      </c>
      <c r="L576" t="n">
        <v>0</v>
      </c>
      <c r="M576" t="n">
        <v>0</v>
      </c>
      <c r="N576" t="n">
        <v>0</v>
      </c>
      <c r="O576" t="n">
        <v>0</v>
      </c>
      <c r="P576" t="n">
        <v>0</v>
      </c>
      <c r="Q576" t="n">
        <v>0</v>
      </c>
      <c r="R576" s="2" t="inlineStr"/>
    </row>
    <row r="577" ht="15" customHeight="1">
      <c r="A577" t="inlineStr">
        <is>
          <t>A 10401-2023</t>
        </is>
      </c>
      <c r="B577" s="1" t="n">
        <v>44987</v>
      </c>
      <c r="C577" s="1" t="n">
        <v>45718</v>
      </c>
      <c r="D577" t="inlineStr">
        <is>
          <t>DALARNAS LÄN</t>
        </is>
      </c>
      <c r="E577" t="inlineStr">
        <is>
          <t>SMEDJEBACKEN</t>
        </is>
      </c>
      <c r="F577" t="inlineStr">
        <is>
          <t>Kommuner</t>
        </is>
      </c>
      <c r="G577" t="n">
        <v>2.1</v>
      </c>
      <c r="H577" t="n">
        <v>0</v>
      </c>
      <c r="I577" t="n">
        <v>0</v>
      </c>
      <c r="J577" t="n">
        <v>0</v>
      </c>
      <c r="K577" t="n">
        <v>0</v>
      </c>
      <c r="L577" t="n">
        <v>0</v>
      </c>
      <c r="M577" t="n">
        <v>0</v>
      </c>
      <c r="N577" t="n">
        <v>0</v>
      </c>
      <c r="O577" t="n">
        <v>0</v>
      </c>
      <c r="P577" t="n">
        <v>0</v>
      </c>
      <c r="Q577" t="n">
        <v>0</v>
      </c>
      <c r="R577" s="2" t="inlineStr"/>
    </row>
    <row r="578" ht="15" customHeight="1">
      <c r="A578" t="inlineStr">
        <is>
          <t>A 12027-2023</t>
        </is>
      </c>
      <c r="B578" s="1" t="n">
        <v>44995</v>
      </c>
      <c r="C578" s="1" t="n">
        <v>45718</v>
      </c>
      <c r="D578" t="inlineStr">
        <is>
          <t>DALARNAS LÄN</t>
        </is>
      </c>
      <c r="E578" t="inlineStr">
        <is>
          <t>SMEDJEBACKEN</t>
        </is>
      </c>
      <c r="G578" t="n">
        <v>1</v>
      </c>
      <c r="H578" t="n">
        <v>0</v>
      </c>
      <c r="I578" t="n">
        <v>0</v>
      </c>
      <c r="J578" t="n">
        <v>0</v>
      </c>
      <c r="K578" t="n">
        <v>0</v>
      </c>
      <c r="L578" t="n">
        <v>0</v>
      </c>
      <c r="M578" t="n">
        <v>0</v>
      </c>
      <c r="N578" t="n">
        <v>0</v>
      </c>
      <c r="O578" t="n">
        <v>0</v>
      </c>
      <c r="P578" t="n">
        <v>0</v>
      </c>
      <c r="Q578" t="n">
        <v>0</v>
      </c>
      <c r="R578" s="2" t="inlineStr"/>
    </row>
    <row r="579" ht="15" customHeight="1">
      <c r="A579" t="inlineStr">
        <is>
          <t>A 13269-2023</t>
        </is>
      </c>
      <c r="B579" s="1" t="n">
        <v>45003</v>
      </c>
      <c r="C579" s="1" t="n">
        <v>45718</v>
      </c>
      <c r="D579" t="inlineStr">
        <is>
          <t>DALARNAS LÄN</t>
        </is>
      </c>
      <c r="E579" t="inlineStr">
        <is>
          <t>SMEDJEBACKEN</t>
        </is>
      </c>
      <c r="G579" t="n">
        <v>4.4</v>
      </c>
      <c r="H579" t="n">
        <v>0</v>
      </c>
      <c r="I579" t="n">
        <v>0</v>
      </c>
      <c r="J579" t="n">
        <v>0</v>
      </c>
      <c r="K579" t="n">
        <v>0</v>
      </c>
      <c r="L579" t="n">
        <v>0</v>
      </c>
      <c r="M579" t="n">
        <v>0</v>
      </c>
      <c r="N579" t="n">
        <v>0</v>
      </c>
      <c r="O579" t="n">
        <v>0</v>
      </c>
      <c r="P579" t="n">
        <v>0</v>
      </c>
      <c r="Q579" t="n">
        <v>0</v>
      </c>
      <c r="R579" s="2" t="inlineStr"/>
    </row>
    <row r="580" ht="15" customHeight="1">
      <c r="A580" t="inlineStr">
        <is>
          <t>A 13367-2023</t>
        </is>
      </c>
      <c r="B580" s="1" t="n">
        <v>45005</v>
      </c>
      <c r="C580" s="1" t="n">
        <v>45718</v>
      </c>
      <c r="D580" t="inlineStr">
        <is>
          <t>DALARNAS LÄN</t>
        </is>
      </c>
      <c r="E580" t="inlineStr">
        <is>
          <t>SMEDJEBACKEN</t>
        </is>
      </c>
      <c r="G580" t="n">
        <v>13.5</v>
      </c>
      <c r="H580" t="n">
        <v>0</v>
      </c>
      <c r="I580" t="n">
        <v>0</v>
      </c>
      <c r="J580" t="n">
        <v>0</v>
      </c>
      <c r="K580" t="n">
        <v>0</v>
      </c>
      <c r="L580" t="n">
        <v>0</v>
      </c>
      <c r="M580" t="n">
        <v>0</v>
      </c>
      <c r="N580" t="n">
        <v>0</v>
      </c>
      <c r="O580" t="n">
        <v>0</v>
      </c>
      <c r="P580" t="n">
        <v>0</v>
      </c>
      <c r="Q580" t="n">
        <v>0</v>
      </c>
      <c r="R580" s="2" t="inlineStr"/>
    </row>
    <row r="581" ht="15" customHeight="1">
      <c r="A581" t="inlineStr">
        <is>
          <t>A 13633-2023</t>
        </is>
      </c>
      <c r="B581" s="1" t="n">
        <v>45006</v>
      </c>
      <c r="C581" s="1" t="n">
        <v>45718</v>
      </c>
      <c r="D581" t="inlineStr">
        <is>
          <t>DALARNAS LÄN</t>
        </is>
      </c>
      <c r="E581" t="inlineStr">
        <is>
          <t>SMEDJEBACKEN</t>
        </is>
      </c>
      <c r="G581" t="n">
        <v>1.9</v>
      </c>
      <c r="H581" t="n">
        <v>0</v>
      </c>
      <c r="I581" t="n">
        <v>0</v>
      </c>
      <c r="J581" t="n">
        <v>0</v>
      </c>
      <c r="K581" t="n">
        <v>0</v>
      </c>
      <c r="L581" t="n">
        <v>0</v>
      </c>
      <c r="M581" t="n">
        <v>0</v>
      </c>
      <c r="N581" t="n">
        <v>0</v>
      </c>
      <c r="O581" t="n">
        <v>0</v>
      </c>
      <c r="P581" t="n">
        <v>0</v>
      </c>
      <c r="Q581" t="n">
        <v>0</v>
      </c>
      <c r="R581" s="2" t="inlineStr"/>
    </row>
    <row r="582" ht="15" customHeight="1">
      <c r="A582" t="inlineStr">
        <is>
          <t>A 14119-2023</t>
        </is>
      </c>
      <c r="B582" s="1" t="n">
        <v>45009</v>
      </c>
      <c r="C582" s="1" t="n">
        <v>45718</v>
      </c>
      <c r="D582" t="inlineStr">
        <is>
          <t>DALARNAS LÄN</t>
        </is>
      </c>
      <c r="E582" t="inlineStr">
        <is>
          <t>SMEDJEBACKEN</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14462-2023</t>
        </is>
      </c>
      <c r="B583" s="1" t="n">
        <v>45012</v>
      </c>
      <c r="C583" s="1" t="n">
        <v>45718</v>
      </c>
      <c r="D583" t="inlineStr">
        <is>
          <t>DALARNAS LÄN</t>
        </is>
      </c>
      <c r="E583" t="inlineStr">
        <is>
          <t>SMEDJEBACKEN</t>
        </is>
      </c>
      <c r="G583" t="n">
        <v>1.4</v>
      </c>
      <c r="H583" t="n">
        <v>0</v>
      </c>
      <c r="I583" t="n">
        <v>0</v>
      </c>
      <c r="J583" t="n">
        <v>0</v>
      </c>
      <c r="K583" t="n">
        <v>0</v>
      </c>
      <c r="L583" t="n">
        <v>0</v>
      </c>
      <c r="M583" t="n">
        <v>0</v>
      </c>
      <c r="N583" t="n">
        <v>0</v>
      </c>
      <c r="O583" t="n">
        <v>0</v>
      </c>
      <c r="P583" t="n">
        <v>0</v>
      </c>
      <c r="Q583" t="n">
        <v>0</v>
      </c>
      <c r="R583" s="2" t="inlineStr"/>
    </row>
    <row r="584" ht="15" customHeight="1">
      <c r="A584" t="inlineStr">
        <is>
          <t>A 14453-2023</t>
        </is>
      </c>
      <c r="B584" s="1" t="n">
        <v>45012</v>
      </c>
      <c r="C584" s="1" t="n">
        <v>45718</v>
      </c>
      <c r="D584" t="inlineStr">
        <is>
          <t>DALARNAS LÄN</t>
        </is>
      </c>
      <c r="E584" t="inlineStr">
        <is>
          <t>SMEDJEBACKEN</t>
        </is>
      </c>
      <c r="G584" t="n">
        <v>2</v>
      </c>
      <c r="H584" t="n">
        <v>0</v>
      </c>
      <c r="I584" t="n">
        <v>0</v>
      </c>
      <c r="J584" t="n">
        <v>0</v>
      </c>
      <c r="K584" t="n">
        <v>0</v>
      </c>
      <c r="L584" t="n">
        <v>0</v>
      </c>
      <c r="M584" t="n">
        <v>0</v>
      </c>
      <c r="N584" t="n">
        <v>0</v>
      </c>
      <c r="O584" t="n">
        <v>0</v>
      </c>
      <c r="P584" t="n">
        <v>0</v>
      </c>
      <c r="Q584" t="n">
        <v>0</v>
      </c>
      <c r="R584" s="2" t="inlineStr"/>
    </row>
    <row r="585" ht="15" customHeight="1">
      <c r="A585" t="inlineStr">
        <is>
          <t>A 14843-2023</t>
        </is>
      </c>
      <c r="B585" s="1" t="n">
        <v>45014</v>
      </c>
      <c r="C585" s="1" t="n">
        <v>45718</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15211-2023</t>
        </is>
      </c>
      <c r="B586" s="1" t="n">
        <v>45018</v>
      </c>
      <c r="C586" s="1" t="n">
        <v>45718</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15360-2023</t>
        </is>
      </c>
      <c r="B587" s="1" t="n">
        <v>45019</v>
      </c>
      <c r="C587" s="1" t="n">
        <v>45718</v>
      </c>
      <c r="D587" t="inlineStr">
        <is>
          <t>DALARNAS LÄN</t>
        </is>
      </c>
      <c r="E587" t="inlineStr">
        <is>
          <t>SMEDJEBACKEN</t>
        </is>
      </c>
      <c r="G587" t="n">
        <v>1.3</v>
      </c>
      <c r="H587" t="n">
        <v>0</v>
      </c>
      <c r="I587" t="n">
        <v>0</v>
      </c>
      <c r="J587" t="n">
        <v>0</v>
      </c>
      <c r="K587" t="n">
        <v>0</v>
      </c>
      <c r="L587" t="n">
        <v>0</v>
      </c>
      <c r="M587" t="n">
        <v>0</v>
      </c>
      <c r="N587" t="n">
        <v>0</v>
      </c>
      <c r="O587" t="n">
        <v>0</v>
      </c>
      <c r="P587" t="n">
        <v>0</v>
      </c>
      <c r="Q587" t="n">
        <v>0</v>
      </c>
      <c r="R587" s="2" t="inlineStr"/>
    </row>
    <row r="588" ht="15" customHeight="1">
      <c r="A588" t="inlineStr">
        <is>
          <t>A 15786-2023</t>
        </is>
      </c>
      <c r="B588" s="1" t="n">
        <v>45021</v>
      </c>
      <c r="C588" s="1" t="n">
        <v>45718</v>
      </c>
      <c r="D588" t="inlineStr">
        <is>
          <t>DALARNAS LÄN</t>
        </is>
      </c>
      <c r="E588" t="inlineStr">
        <is>
          <t>SMEDJEBACKEN</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16048-2023</t>
        </is>
      </c>
      <c r="B589" s="1" t="n">
        <v>45027</v>
      </c>
      <c r="C589" s="1" t="n">
        <v>45718</v>
      </c>
      <c r="D589" t="inlineStr">
        <is>
          <t>DALARNAS LÄN</t>
        </is>
      </c>
      <c r="E589" t="inlineStr">
        <is>
          <t>SMEDJEBACKEN</t>
        </is>
      </c>
      <c r="G589" t="n">
        <v>13.1</v>
      </c>
      <c r="H589" t="n">
        <v>0</v>
      </c>
      <c r="I589" t="n">
        <v>0</v>
      </c>
      <c r="J589" t="n">
        <v>0</v>
      </c>
      <c r="K589" t="n">
        <v>0</v>
      </c>
      <c r="L589" t="n">
        <v>0</v>
      </c>
      <c r="M589" t="n">
        <v>0</v>
      </c>
      <c r="N589" t="n">
        <v>0</v>
      </c>
      <c r="O589" t="n">
        <v>0</v>
      </c>
      <c r="P589" t="n">
        <v>0</v>
      </c>
      <c r="Q589" t="n">
        <v>0</v>
      </c>
      <c r="R589" s="2" t="inlineStr"/>
    </row>
    <row r="590" ht="15" customHeight="1">
      <c r="A590" t="inlineStr">
        <is>
          <t>A 16687-2023</t>
        </is>
      </c>
      <c r="B590" s="1" t="n">
        <v>45030</v>
      </c>
      <c r="C590" s="1" t="n">
        <v>45718</v>
      </c>
      <c r="D590" t="inlineStr">
        <is>
          <t>DALARNAS LÄN</t>
        </is>
      </c>
      <c r="E590" t="inlineStr">
        <is>
          <t>SMEDJEBACKEN</t>
        </is>
      </c>
      <c r="G590" t="n">
        <v>17.8</v>
      </c>
      <c r="H590" t="n">
        <v>0</v>
      </c>
      <c r="I590" t="n">
        <v>0</v>
      </c>
      <c r="J590" t="n">
        <v>0</v>
      </c>
      <c r="K590" t="n">
        <v>0</v>
      </c>
      <c r="L590" t="n">
        <v>0</v>
      </c>
      <c r="M590" t="n">
        <v>0</v>
      </c>
      <c r="N590" t="n">
        <v>0</v>
      </c>
      <c r="O590" t="n">
        <v>0</v>
      </c>
      <c r="P590" t="n">
        <v>0</v>
      </c>
      <c r="Q590" t="n">
        <v>0</v>
      </c>
      <c r="R590" s="2" t="inlineStr"/>
    </row>
    <row r="591" ht="15" customHeight="1">
      <c r="A591" t="inlineStr">
        <is>
          <t>A 16713-2023</t>
        </is>
      </c>
      <c r="B591" s="1" t="n">
        <v>45030</v>
      </c>
      <c r="C591" s="1" t="n">
        <v>45718</v>
      </c>
      <c r="D591" t="inlineStr">
        <is>
          <t>DALARNAS LÄN</t>
        </is>
      </c>
      <c r="E591" t="inlineStr">
        <is>
          <t>SMEDJEBACKEN</t>
        </is>
      </c>
      <c r="G591" t="n">
        <v>18.8</v>
      </c>
      <c r="H591" t="n">
        <v>0</v>
      </c>
      <c r="I591" t="n">
        <v>0</v>
      </c>
      <c r="J591" t="n">
        <v>0</v>
      </c>
      <c r="K591" t="n">
        <v>0</v>
      </c>
      <c r="L591" t="n">
        <v>0</v>
      </c>
      <c r="M591" t="n">
        <v>0</v>
      </c>
      <c r="N591" t="n">
        <v>0</v>
      </c>
      <c r="O591" t="n">
        <v>0</v>
      </c>
      <c r="P591" t="n">
        <v>0</v>
      </c>
      <c r="Q591" t="n">
        <v>0</v>
      </c>
      <c r="R591" s="2" t="inlineStr"/>
    </row>
    <row r="592" ht="15" customHeight="1">
      <c r="A592" t="inlineStr">
        <is>
          <t>A 16870-2023</t>
        </is>
      </c>
      <c r="B592" s="1" t="n">
        <v>45033</v>
      </c>
      <c r="C592" s="1" t="n">
        <v>45718</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16886-2023</t>
        </is>
      </c>
      <c r="B593" s="1" t="n">
        <v>45033</v>
      </c>
      <c r="C593" s="1" t="n">
        <v>45718</v>
      </c>
      <c r="D593" t="inlineStr">
        <is>
          <t>DALARNAS LÄN</t>
        </is>
      </c>
      <c r="E593" t="inlineStr">
        <is>
          <t>SMEDJEBACKEN</t>
        </is>
      </c>
      <c r="G593" t="n">
        <v>2.7</v>
      </c>
      <c r="H593" t="n">
        <v>0</v>
      </c>
      <c r="I593" t="n">
        <v>0</v>
      </c>
      <c r="J593" t="n">
        <v>0</v>
      </c>
      <c r="K593" t="n">
        <v>0</v>
      </c>
      <c r="L593" t="n">
        <v>0</v>
      </c>
      <c r="M593" t="n">
        <v>0</v>
      </c>
      <c r="N593" t="n">
        <v>0</v>
      </c>
      <c r="O593" t="n">
        <v>0</v>
      </c>
      <c r="P593" t="n">
        <v>0</v>
      </c>
      <c r="Q593" t="n">
        <v>0</v>
      </c>
      <c r="R593" s="2" t="inlineStr"/>
    </row>
    <row r="594" ht="15" customHeight="1">
      <c r="A594" t="inlineStr">
        <is>
          <t>A 17472-2023</t>
        </is>
      </c>
      <c r="B594" s="1" t="n">
        <v>45034</v>
      </c>
      <c r="C594" s="1" t="n">
        <v>45718</v>
      </c>
      <c r="D594" t="inlineStr">
        <is>
          <t>DALARNAS LÄN</t>
        </is>
      </c>
      <c r="E594" t="inlineStr">
        <is>
          <t>SMEDJEBACKEN</t>
        </is>
      </c>
      <c r="G594" t="n">
        <v>1.1</v>
      </c>
      <c r="H594" t="n">
        <v>0</v>
      </c>
      <c r="I594" t="n">
        <v>0</v>
      </c>
      <c r="J594" t="n">
        <v>0</v>
      </c>
      <c r="K594" t="n">
        <v>0</v>
      </c>
      <c r="L594" t="n">
        <v>0</v>
      </c>
      <c r="M594" t="n">
        <v>0</v>
      </c>
      <c r="N594" t="n">
        <v>0</v>
      </c>
      <c r="O594" t="n">
        <v>0</v>
      </c>
      <c r="P594" t="n">
        <v>0</v>
      </c>
      <c r="Q594" t="n">
        <v>0</v>
      </c>
      <c r="R594" s="2" t="inlineStr"/>
    </row>
    <row r="595" ht="15" customHeight="1">
      <c r="A595" t="inlineStr">
        <is>
          <t>A 17834-2023</t>
        </is>
      </c>
      <c r="B595" s="1" t="n">
        <v>45037</v>
      </c>
      <c r="C595" s="1" t="n">
        <v>45718</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18007-2023</t>
        </is>
      </c>
      <c r="B596" s="1" t="n">
        <v>45040</v>
      </c>
      <c r="C596" s="1" t="n">
        <v>45718</v>
      </c>
      <c r="D596" t="inlineStr">
        <is>
          <t>DALARNAS LÄN</t>
        </is>
      </c>
      <c r="E596" t="inlineStr">
        <is>
          <t>SMEDJEBACKEN</t>
        </is>
      </c>
      <c r="G596" t="n">
        <v>4.4</v>
      </c>
      <c r="H596" t="n">
        <v>0</v>
      </c>
      <c r="I596" t="n">
        <v>0</v>
      </c>
      <c r="J596" t="n">
        <v>0</v>
      </c>
      <c r="K596" t="n">
        <v>0</v>
      </c>
      <c r="L596" t="n">
        <v>0</v>
      </c>
      <c r="M596" t="n">
        <v>0</v>
      </c>
      <c r="N596" t="n">
        <v>0</v>
      </c>
      <c r="O596" t="n">
        <v>0</v>
      </c>
      <c r="P596" t="n">
        <v>0</v>
      </c>
      <c r="Q596" t="n">
        <v>0</v>
      </c>
      <c r="R596" s="2" t="inlineStr"/>
    </row>
    <row r="597" ht="15" customHeight="1">
      <c r="A597" t="inlineStr">
        <is>
          <t>A 18177-2023</t>
        </is>
      </c>
      <c r="B597" s="1" t="n">
        <v>45041</v>
      </c>
      <c r="C597" s="1" t="n">
        <v>45718</v>
      </c>
      <c r="D597" t="inlineStr">
        <is>
          <t>DALARNAS LÄN</t>
        </is>
      </c>
      <c r="E597" t="inlineStr">
        <is>
          <t>SMEDJEBACKEN</t>
        </is>
      </c>
      <c r="G597" t="n">
        <v>24.8</v>
      </c>
      <c r="H597" t="n">
        <v>0</v>
      </c>
      <c r="I597" t="n">
        <v>0</v>
      </c>
      <c r="J597" t="n">
        <v>0</v>
      </c>
      <c r="K597" t="n">
        <v>0</v>
      </c>
      <c r="L597" t="n">
        <v>0</v>
      </c>
      <c r="M597" t="n">
        <v>0</v>
      </c>
      <c r="N597" t="n">
        <v>0</v>
      </c>
      <c r="O597" t="n">
        <v>0</v>
      </c>
      <c r="P597" t="n">
        <v>0</v>
      </c>
      <c r="Q597" t="n">
        <v>0</v>
      </c>
      <c r="R597" s="2" t="inlineStr"/>
    </row>
    <row r="598" ht="15" customHeight="1">
      <c r="A598" t="inlineStr">
        <is>
          <t>A 18294-2023</t>
        </is>
      </c>
      <c r="B598" s="1" t="n">
        <v>45041</v>
      </c>
      <c r="C598" s="1" t="n">
        <v>45718</v>
      </c>
      <c r="D598" t="inlineStr">
        <is>
          <t>DALARNAS LÄN</t>
        </is>
      </c>
      <c r="E598" t="inlineStr">
        <is>
          <t>SMEDJEBACKEN</t>
        </is>
      </c>
      <c r="G598" t="n">
        <v>0.7</v>
      </c>
      <c r="H598" t="n">
        <v>0</v>
      </c>
      <c r="I598" t="n">
        <v>0</v>
      </c>
      <c r="J598" t="n">
        <v>0</v>
      </c>
      <c r="K598" t="n">
        <v>0</v>
      </c>
      <c r="L598" t="n">
        <v>0</v>
      </c>
      <c r="M598" t="n">
        <v>0</v>
      </c>
      <c r="N598" t="n">
        <v>0</v>
      </c>
      <c r="O598" t="n">
        <v>0</v>
      </c>
      <c r="P598" t="n">
        <v>0</v>
      </c>
      <c r="Q598" t="n">
        <v>0</v>
      </c>
      <c r="R598" s="2" t="inlineStr"/>
    </row>
    <row r="599" ht="15" customHeight="1">
      <c r="A599" t="inlineStr">
        <is>
          <t>A 19410-2023</t>
        </is>
      </c>
      <c r="B599" s="1" t="n">
        <v>45049</v>
      </c>
      <c r="C599" s="1" t="n">
        <v>45718</v>
      </c>
      <c r="D599" t="inlineStr">
        <is>
          <t>DALARNAS LÄN</t>
        </is>
      </c>
      <c r="E599" t="inlineStr">
        <is>
          <t>SMEDJEBACKEN</t>
        </is>
      </c>
      <c r="F599" t="inlineStr">
        <is>
          <t>Övriga Aktiebolag</t>
        </is>
      </c>
      <c r="G599" t="n">
        <v>12.2</v>
      </c>
      <c r="H599" t="n">
        <v>0</v>
      </c>
      <c r="I599" t="n">
        <v>0</v>
      </c>
      <c r="J599" t="n">
        <v>0</v>
      </c>
      <c r="K599" t="n">
        <v>0</v>
      </c>
      <c r="L599" t="n">
        <v>0</v>
      </c>
      <c r="M599" t="n">
        <v>0</v>
      </c>
      <c r="N599" t="n">
        <v>0</v>
      </c>
      <c r="O599" t="n">
        <v>0</v>
      </c>
      <c r="P599" t="n">
        <v>0</v>
      </c>
      <c r="Q599" t="n">
        <v>0</v>
      </c>
      <c r="R599" s="2" t="inlineStr"/>
    </row>
    <row r="600" ht="15" customHeight="1">
      <c r="A600" t="inlineStr">
        <is>
          <t>A 19712-2023</t>
        </is>
      </c>
      <c r="B600" s="1" t="n">
        <v>45051</v>
      </c>
      <c r="C600" s="1" t="n">
        <v>45718</v>
      </c>
      <c r="D600" t="inlineStr">
        <is>
          <t>DALARNAS LÄN</t>
        </is>
      </c>
      <c r="E600" t="inlineStr">
        <is>
          <t>SMEDJEBACKEN</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20654-2023</t>
        </is>
      </c>
      <c r="B601" s="1" t="n">
        <v>45058</v>
      </c>
      <c r="C601" s="1" t="n">
        <v>45718</v>
      </c>
      <c r="D601" t="inlineStr">
        <is>
          <t>DALARNAS LÄN</t>
        </is>
      </c>
      <c r="E601" t="inlineStr">
        <is>
          <t>SMEDJEBACKEN</t>
        </is>
      </c>
      <c r="G601" t="n">
        <v>1.3</v>
      </c>
      <c r="H601" t="n">
        <v>0</v>
      </c>
      <c r="I601" t="n">
        <v>0</v>
      </c>
      <c r="J601" t="n">
        <v>0</v>
      </c>
      <c r="K601" t="n">
        <v>0</v>
      </c>
      <c r="L601" t="n">
        <v>0</v>
      </c>
      <c r="M601" t="n">
        <v>0</v>
      </c>
      <c r="N601" t="n">
        <v>0</v>
      </c>
      <c r="O601" t="n">
        <v>0</v>
      </c>
      <c r="P601" t="n">
        <v>0</v>
      </c>
      <c r="Q601" t="n">
        <v>0</v>
      </c>
      <c r="R601" s="2" t="inlineStr"/>
    </row>
    <row r="602" ht="15" customHeight="1">
      <c r="A602" t="inlineStr">
        <is>
          <t>A 21224-2023</t>
        </is>
      </c>
      <c r="B602" s="1" t="n">
        <v>45062</v>
      </c>
      <c r="C602" s="1" t="n">
        <v>45718</v>
      </c>
      <c r="D602" t="inlineStr">
        <is>
          <t>DALARNAS LÄN</t>
        </is>
      </c>
      <c r="E602" t="inlineStr">
        <is>
          <t>SMEDJEBACKEN</t>
        </is>
      </c>
      <c r="G602" t="n">
        <v>14</v>
      </c>
      <c r="H602" t="n">
        <v>0</v>
      </c>
      <c r="I602" t="n">
        <v>0</v>
      </c>
      <c r="J602" t="n">
        <v>0</v>
      </c>
      <c r="K602" t="n">
        <v>0</v>
      </c>
      <c r="L602" t="n">
        <v>0</v>
      </c>
      <c r="M602" t="n">
        <v>0</v>
      </c>
      <c r="N602" t="n">
        <v>0</v>
      </c>
      <c r="O602" t="n">
        <v>0</v>
      </c>
      <c r="P602" t="n">
        <v>0</v>
      </c>
      <c r="Q602" t="n">
        <v>0</v>
      </c>
      <c r="R602" s="2" t="inlineStr"/>
    </row>
    <row r="603" ht="15" customHeight="1">
      <c r="A603" t="inlineStr">
        <is>
          <t>A 21166-2023</t>
        </is>
      </c>
      <c r="B603" s="1" t="n">
        <v>45062</v>
      </c>
      <c r="C603" s="1" t="n">
        <v>45718</v>
      </c>
      <c r="D603" t="inlineStr">
        <is>
          <t>DALARNAS LÄN</t>
        </is>
      </c>
      <c r="E603" t="inlineStr">
        <is>
          <t>SMEDJEBACKEN</t>
        </is>
      </c>
      <c r="G603" t="n">
        <v>3.1</v>
      </c>
      <c r="H603" t="n">
        <v>0</v>
      </c>
      <c r="I603" t="n">
        <v>0</v>
      </c>
      <c r="J603" t="n">
        <v>0</v>
      </c>
      <c r="K603" t="n">
        <v>0</v>
      </c>
      <c r="L603" t="n">
        <v>0</v>
      </c>
      <c r="M603" t="n">
        <v>0</v>
      </c>
      <c r="N603" t="n">
        <v>0</v>
      </c>
      <c r="O603" t="n">
        <v>0</v>
      </c>
      <c r="P603" t="n">
        <v>0</v>
      </c>
      <c r="Q603" t="n">
        <v>0</v>
      </c>
      <c r="R603" s="2" t="inlineStr"/>
    </row>
    <row r="604" ht="15" customHeight="1">
      <c r="A604" t="inlineStr">
        <is>
          <t>A 21263-2023</t>
        </is>
      </c>
      <c r="B604" s="1" t="n">
        <v>45062</v>
      </c>
      <c r="C604" s="1" t="n">
        <v>45718</v>
      </c>
      <c r="D604" t="inlineStr">
        <is>
          <t>DALARNAS LÄN</t>
        </is>
      </c>
      <c r="E604" t="inlineStr">
        <is>
          <t>SMEDJEBACKEN</t>
        </is>
      </c>
      <c r="F604" t="inlineStr">
        <is>
          <t>Bergvik skog väst AB</t>
        </is>
      </c>
      <c r="G604" t="n">
        <v>5</v>
      </c>
      <c r="H604" t="n">
        <v>0</v>
      </c>
      <c r="I604" t="n">
        <v>0</v>
      </c>
      <c r="J604" t="n">
        <v>0</v>
      </c>
      <c r="K604" t="n">
        <v>0</v>
      </c>
      <c r="L604" t="n">
        <v>0</v>
      </c>
      <c r="M604" t="n">
        <v>0</v>
      </c>
      <c r="N604" t="n">
        <v>0</v>
      </c>
      <c r="O604" t="n">
        <v>0</v>
      </c>
      <c r="P604" t="n">
        <v>0</v>
      </c>
      <c r="Q604" t="n">
        <v>0</v>
      </c>
      <c r="R604" s="2" t="inlineStr"/>
    </row>
    <row r="605" ht="15" customHeight="1">
      <c r="A605" t="inlineStr">
        <is>
          <t>A 21443-2023</t>
        </is>
      </c>
      <c r="B605" s="1" t="n">
        <v>45063</v>
      </c>
      <c r="C605" s="1" t="n">
        <v>45718</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21375-2023</t>
        </is>
      </c>
      <c r="B606" s="1" t="n">
        <v>45063</v>
      </c>
      <c r="C606" s="1" t="n">
        <v>45718</v>
      </c>
      <c r="D606" t="inlineStr">
        <is>
          <t>DALARNAS LÄN</t>
        </is>
      </c>
      <c r="E606" t="inlineStr">
        <is>
          <t>SMEDJEBACKEN</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21427-2023</t>
        </is>
      </c>
      <c r="B607" s="1" t="n">
        <v>45063</v>
      </c>
      <c r="C607" s="1" t="n">
        <v>45718</v>
      </c>
      <c r="D607" t="inlineStr">
        <is>
          <t>DALARNAS LÄN</t>
        </is>
      </c>
      <c r="E607" t="inlineStr">
        <is>
          <t>SMEDJEBACKEN</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21400-2023</t>
        </is>
      </c>
      <c r="B608" s="1" t="n">
        <v>45063</v>
      </c>
      <c r="C608" s="1" t="n">
        <v>45718</v>
      </c>
      <c r="D608" t="inlineStr">
        <is>
          <t>DALARNAS LÄN</t>
        </is>
      </c>
      <c r="E608" t="inlineStr">
        <is>
          <t>SMEDJEBACKEN</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21421-2023</t>
        </is>
      </c>
      <c r="B609" s="1" t="n">
        <v>45063</v>
      </c>
      <c r="C609" s="1" t="n">
        <v>45718</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21426-2023</t>
        </is>
      </c>
      <c r="B610" s="1" t="n">
        <v>45063</v>
      </c>
      <c r="C610" s="1" t="n">
        <v>45718</v>
      </c>
      <c r="D610" t="inlineStr">
        <is>
          <t>DALARNAS LÄN</t>
        </is>
      </c>
      <c r="E610" t="inlineStr">
        <is>
          <t>SMEDJEBACKEN</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21504-2023</t>
        </is>
      </c>
      <c r="B611" s="1" t="n">
        <v>45063</v>
      </c>
      <c r="C611" s="1" t="n">
        <v>45718</v>
      </c>
      <c r="D611" t="inlineStr">
        <is>
          <t>DALARNAS LÄN</t>
        </is>
      </c>
      <c r="E611" t="inlineStr">
        <is>
          <t>SMEDJEBACKEN</t>
        </is>
      </c>
      <c r="G611" t="n">
        <v>2.5</v>
      </c>
      <c r="H611" t="n">
        <v>0</v>
      </c>
      <c r="I611" t="n">
        <v>0</v>
      </c>
      <c r="J611" t="n">
        <v>0</v>
      </c>
      <c r="K611" t="n">
        <v>0</v>
      </c>
      <c r="L611" t="n">
        <v>0</v>
      </c>
      <c r="M611" t="n">
        <v>0</v>
      </c>
      <c r="N611" t="n">
        <v>0</v>
      </c>
      <c r="O611" t="n">
        <v>0</v>
      </c>
      <c r="P611" t="n">
        <v>0</v>
      </c>
      <c r="Q611" t="n">
        <v>0</v>
      </c>
      <c r="R611" s="2" t="inlineStr"/>
    </row>
    <row r="612" ht="15" customHeight="1">
      <c r="A612" t="inlineStr">
        <is>
          <t>A 21469-2023</t>
        </is>
      </c>
      <c r="B612" s="1" t="n">
        <v>45063</v>
      </c>
      <c r="C612" s="1" t="n">
        <v>45718</v>
      </c>
      <c r="D612" t="inlineStr">
        <is>
          <t>DALARNAS LÄN</t>
        </is>
      </c>
      <c r="E612" t="inlineStr">
        <is>
          <t>SMEDJEBACKEN</t>
        </is>
      </c>
      <c r="G612" t="n">
        <v>5.9</v>
      </c>
      <c r="H612" t="n">
        <v>0</v>
      </c>
      <c r="I612" t="n">
        <v>0</v>
      </c>
      <c r="J612" t="n">
        <v>0</v>
      </c>
      <c r="K612" t="n">
        <v>0</v>
      </c>
      <c r="L612" t="n">
        <v>0</v>
      </c>
      <c r="M612" t="n">
        <v>0</v>
      </c>
      <c r="N612" t="n">
        <v>0</v>
      </c>
      <c r="O612" t="n">
        <v>0</v>
      </c>
      <c r="P612" t="n">
        <v>0</v>
      </c>
      <c r="Q612" t="n">
        <v>0</v>
      </c>
      <c r="R612" s="2" t="inlineStr"/>
    </row>
    <row r="613" ht="15" customHeight="1">
      <c r="A613" t="inlineStr">
        <is>
          <t>A 21626-2023</t>
        </is>
      </c>
      <c r="B613" s="1" t="n">
        <v>45063</v>
      </c>
      <c r="C613" s="1" t="n">
        <v>45718</v>
      </c>
      <c r="D613" t="inlineStr">
        <is>
          <t>DALARNAS LÄN</t>
        </is>
      </c>
      <c r="E613" t="inlineStr">
        <is>
          <t>SMEDJEBACKEN</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21707-2023</t>
        </is>
      </c>
      <c r="B614" s="1" t="n">
        <v>45064</v>
      </c>
      <c r="C614" s="1" t="n">
        <v>45718</v>
      </c>
      <c r="D614" t="inlineStr">
        <is>
          <t>DALARNAS LÄN</t>
        </is>
      </c>
      <c r="E614" t="inlineStr">
        <is>
          <t>SMEDJEBACKEN</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21703-2023</t>
        </is>
      </c>
      <c r="B615" s="1" t="n">
        <v>45064</v>
      </c>
      <c r="C615" s="1" t="n">
        <v>45718</v>
      </c>
      <c r="D615" t="inlineStr">
        <is>
          <t>DALARNAS LÄN</t>
        </is>
      </c>
      <c r="E615" t="inlineStr">
        <is>
          <t>SMEDJEBACKEN</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21705-2023</t>
        </is>
      </c>
      <c r="B616" s="1" t="n">
        <v>45064</v>
      </c>
      <c r="C616" s="1" t="n">
        <v>45718</v>
      </c>
      <c r="D616" t="inlineStr">
        <is>
          <t>DALARNAS LÄN</t>
        </is>
      </c>
      <c r="E616" t="inlineStr">
        <is>
          <t>SMEDJEBACKEN</t>
        </is>
      </c>
      <c r="F616" t="inlineStr">
        <is>
          <t>Övriga Aktiebolag</t>
        </is>
      </c>
      <c r="G616" t="n">
        <v>11.3</v>
      </c>
      <c r="H616" t="n">
        <v>0</v>
      </c>
      <c r="I616" t="n">
        <v>0</v>
      </c>
      <c r="J616" t="n">
        <v>0</v>
      </c>
      <c r="K616" t="n">
        <v>0</v>
      </c>
      <c r="L616" t="n">
        <v>0</v>
      </c>
      <c r="M616" t="n">
        <v>0</v>
      </c>
      <c r="N616" t="n">
        <v>0</v>
      </c>
      <c r="O616" t="n">
        <v>0</v>
      </c>
      <c r="P616" t="n">
        <v>0</v>
      </c>
      <c r="Q616" t="n">
        <v>0</v>
      </c>
      <c r="R616" s="2" t="inlineStr"/>
    </row>
    <row r="617" ht="15" customHeight="1">
      <c r="A617" t="inlineStr">
        <is>
          <t>A 21755-2023</t>
        </is>
      </c>
      <c r="B617" s="1" t="n">
        <v>45065</v>
      </c>
      <c r="C617" s="1" t="n">
        <v>45718</v>
      </c>
      <c r="D617" t="inlineStr">
        <is>
          <t>DALARNAS LÄN</t>
        </is>
      </c>
      <c r="E617" t="inlineStr">
        <is>
          <t>SMEDJEBACKEN</t>
        </is>
      </c>
      <c r="F617" t="inlineStr">
        <is>
          <t>Kyrkan</t>
        </is>
      </c>
      <c r="G617" t="n">
        <v>3.1</v>
      </c>
      <c r="H617" t="n">
        <v>0</v>
      </c>
      <c r="I617" t="n">
        <v>0</v>
      </c>
      <c r="J617" t="n">
        <v>0</v>
      </c>
      <c r="K617" t="n">
        <v>0</v>
      </c>
      <c r="L617" t="n">
        <v>0</v>
      </c>
      <c r="M617" t="n">
        <v>0</v>
      </c>
      <c r="N617" t="n">
        <v>0</v>
      </c>
      <c r="O617" t="n">
        <v>0</v>
      </c>
      <c r="P617" t="n">
        <v>0</v>
      </c>
      <c r="Q617" t="n">
        <v>0</v>
      </c>
      <c r="R617" s="2" t="inlineStr"/>
    </row>
    <row r="618" ht="15" customHeight="1">
      <c r="A618" t="inlineStr">
        <is>
          <t>A 22235-2023</t>
        </is>
      </c>
      <c r="B618" s="1" t="n">
        <v>45070</v>
      </c>
      <c r="C618" s="1" t="n">
        <v>45718</v>
      </c>
      <c r="D618" t="inlineStr">
        <is>
          <t>DALARNAS LÄN</t>
        </is>
      </c>
      <c r="E618" t="inlineStr">
        <is>
          <t>SMEDJEBACKEN</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22582-2023</t>
        </is>
      </c>
      <c r="B619" s="1" t="n">
        <v>45071</v>
      </c>
      <c r="C619" s="1" t="n">
        <v>45718</v>
      </c>
      <c r="D619" t="inlineStr">
        <is>
          <t>DALARNAS LÄN</t>
        </is>
      </c>
      <c r="E619" t="inlineStr">
        <is>
          <t>SMEDJEBACKEN</t>
        </is>
      </c>
      <c r="G619" t="n">
        <v>3.8</v>
      </c>
      <c r="H619" t="n">
        <v>0</v>
      </c>
      <c r="I619" t="n">
        <v>0</v>
      </c>
      <c r="J619" t="n">
        <v>0</v>
      </c>
      <c r="K619" t="n">
        <v>0</v>
      </c>
      <c r="L619" t="n">
        <v>0</v>
      </c>
      <c r="M619" t="n">
        <v>0</v>
      </c>
      <c r="N619" t="n">
        <v>0</v>
      </c>
      <c r="O619" t="n">
        <v>0</v>
      </c>
      <c r="P619" t="n">
        <v>0</v>
      </c>
      <c r="Q619" t="n">
        <v>0</v>
      </c>
      <c r="R619" s="2" t="inlineStr"/>
    </row>
    <row r="620" ht="15" customHeight="1">
      <c r="A620" t="inlineStr">
        <is>
          <t>A 22872-2023</t>
        </is>
      </c>
      <c r="B620" s="1" t="n">
        <v>45072</v>
      </c>
      <c r="C620" s="1" t="n">
        <v>45718</v>
      </c>
      <c r="D620" t="inlineStr">
        <is>
          <t>DALARNAS LÄN</t>
        </is>
      </c>
      <c r="E620" t="inlineStr">
        <is>
          <t>SMEDJEBACKEN</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22849-2023</t>
        </is>
      </c>
      <c r="B621" s="1" t="n">
        <v>45072</v>
      </c>
      <c r="C621" s="1" t="n">
        <v>45718</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22859-2023</t>
        </is>
      </c>
      <c r="B622" s="1" t="n">
        <v>45072</v>
      </c>
      <c r="C622" s="1" t="n">
        <v>45718</v>
      </c>
      <c r="D622" t="inlineStr">
        <is>
          <t>DALARNAS LÄN</t>
        </is>
      </c>
      <c r="E622" t="inlineStr">
        <is>
          <t>SMEDJEBACKEN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22865-2023</t>
        </is>
      </c>
      <c r="B623" s="1" t="n">
        <v>45072</v>
      </c>
      <c r="C623" s="1" t="n">
        <v>45718</v>
      </c>
      <c r="D623" t="inlineStr">
        <is>
          <t>DALARNAS LÄN</t>
        </is>
      </c>
      <c r="E623" t="inlineStr">
        <is>
          <t>SMEDJEBACKEN</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22869-2023</t>
        </is>
      </c>
      <c r="B624" s="1" t="n">
        <v>45072</v>
      </c>
      <c r="C624" s="1" t="n">
        <v>45718</v>
      </c>
      <c r="D624" t="inlineStr">
        <is>
          <t>DALARNAS LÄN</t>
        </is>
      </c>
      <c r="E624" t="inlineStr">
        <is>
          <t>SMEDJEBACKEN</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23419-2023</t>
        </is>
      </c>
      <c r="B625" s="1" t="n">
        <v>45076</v>
      </c>
      <c r="C625" s="1" t="n">
        <v>45718</v>
      </c>
      <c r="D625" t="inlineStr">
        <is>
          <t>DALARNAS LÄN</t>
        </is>
      </c>
      <c r="E625" t="inlineStr">
        <is>
          <t>SMEDJEBACKEN</t>
        </is>
      </c>
      <c r="G625" t="n">
        <v>2.4</v>
      </c>
      <c r="H625" t="n">
        <v>0</v>
      </c>
      <c r="I625" t="n">
        <v>0</v>
      </c>
      <c r="J625" t="n">
        <v>0</v>
      </c>
      <c r="K625" t="n">
        <v>0</v>
      </c>
      <c r="L625" t="n">
        <v>0</v>
      </c>
      <c r="M625" t="n">
        <v>0</v>
      </c>
      <c r="N625" t="n">
        <v>0</v>
      </c>
      <c r="O625" t="n">
        <v>0</v>
      </c>
      <c r="P625" t="n">
        <v>0</v>
      </c>
      <c r="Q625" t="n">
        <v>0</v>
      </c>
      <c r="R625" s="2" t="inlineStr"/>
    </row>
    <row r="626" ht="15" customHeight="1">
      <c r="A626" t="inlineStr">
        <is>
          <t>A 23687-2023</t>
        </is>
      </c>
      <c r="B626" s="1" t="n">
        <v>45077</v>
      </c>
      <c r="C626" s="1" t="n">
        <v>45718</v>
      </c>
      <c r="D626" t="inlineStr">
        <is>
          <t>DALARNAS LÄN</t>
        </is>
      </c>
      <c r="E626" t="inlineStr">
        <is>
          <t>SMEDJEBACKEN</t>
        </is>
      </c>
      <c r="G626" t="n">
        <v>0.7</v>
      </c>
      <c r="H626" t="n">
        <v>0</v>
      </c>
      <c r="I626" t="n">
        <v>0</v>
      </c>
      <c r="J626" t="n">
        <v>0</v>
      </c>
      <c r="K626" t="n">
        <v>0</v>
      </c>
      <c r="L626" t="n">
        <v>0</v>
      </c>
      <c r="M626" t="n">
        <v>0</v>
      </c>
      <c r="N626" t="n">
        <v>0</v>
      </c>
      <c r="O626" t="n">
        <v>0</v>
      </c>
      <c r="P626" t="n">
        <v>0</v>
      </c>
      <c r="Q626" t="n">
        <v>0</v>
      </c>
      <c r="R626" s="2" t="inlineStr"/>
    </row>
    <row r="627" ht="15" customHeight="1">
      <c r="A627" t="inlineStr">
        <is>
          <t>A 24261-2023</t>
        </is>
      </c>
      <c r="B627" s="1" t="n">
        <v>45079</v>
      </c>
      <c r="C627" s="1" t="n">
        <v>45718</v>
      </c>
      <c r="D627" t="inlineStr">
        <is>
          <t>DALARNAS LÄN</t>
        </is>
      </c>
      <c r="E627" t="inlineStr">
        <is>
          <t>SMEDJEBACKEN</t>
        </is>
      </c>
      <c r="G627" t="n">
        <v>1.6</v>
      </c>
      <c r="H627" t="n">
        <v>0</v>
      </c>
      <c r="I627" t="n">
        <v>0</v>
      </c>
      <c r="J627" t="n">
        <v>0</v>
      </c>
      <c r="K627" t="n">
        <v>0</v>
      </c>
      <c r="L627" t="n">
        <v>0</v>
      </c>
      <c r="M627" t="n">
        <v>0</v>
      </c>
      <c r="N627" t="n">
        <v>0</v>
      </c>
      <c r="O627" t="n">
        <v>0</v>
      </c>
      <c r="P627" t="n">
        <v>0</v>
      </c>
      <c r="Q627" t="n">
        <v>0</v>
      </c>
      <c r="R627" s="2" t="inlineStr"/>
    </row>
    <row r="628" ht="15" customHeight="1">
      <c r="A628" t="inlineStr">
        <is>
          <t>A 24426-2023</t>
        </is>
      </c>
      <c r="B628" s="1" t="n">
        <v>45082</v>
      </c>
      <c r="C628" s="1" t="n">
        <v>45718</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25360-2023</t>
        </is>
      </c>
      <c r="B629" s="1" t="n">
        <v>45088</v>
      </c>
      <c r="C629" s="1" t="n">
        <v>45718</v>
      </c>
      <c r="D629" t="inlineStr">
        <is>
          <t>DALARNAS LÄN</t>
        </is>
      </c>
      <c r="E629" t="inlineStr">
        <is>
          <t>SMEDJEBACKEN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25361-2023</t>
        </is>
      </c>
      <c r="B630" s="1" t="n">
        <v>45088</v>
      </c>
      <c r="C630" s="1" t="n">
        <v>45718</v>
      </c>
      <c r="D630" t="inlineStr">
        <is>
          <t>DALARNAS LÄN</t>
        </is>
      </c>
      <c r="E630" t="inlineStr">
        <is>
          <t>SMEDJEBACKEN</t>
        </is>
      </c>
      <c r="F630" t="inlineStr">
        <is>
          <t>Sveaskog</t>
        </is>
      </c>
      <c r="G630" t="n">
        <v>6</v>
      </c>
      <c r="H630" t="n">
        <v>0</v>
      </c>
      <c r="I630" t="n">
        <v>0</v>
      </c>
      <c r="J630" t="n">
        <v>0</v>
      </c>
      <c r="K630" t="n">
        <v>0</v>
      </c>
      <c r="L630" t="n">
        <v>0</v>
      </c>
      <c r="M630" t="n">
        <v>0</v>
      </c>
      <c r="N630" t="n">
        <v>0</v>
      </c>
      <c r="O630" t="n">
        <v>0</v>
      </c>
      <c r="P630" t="n">
        <v>0</v>
      </c>
      <c r="Q630" t="n">
        <v>0</v>
      </c>
      <c r="R630" s="2" t="inlineStr"/>
    </row>
    <row r="631" ht="15" customHeight="1">
      <c r="A631" t="inlineStr">
        <is>
          <t>A 25573-2023</t>
        </is>
      </c>
      <c r="B631" s="1" t="n">
        <v>45089</v>
      </c>
      <c r="C631" s="1" t="n">
        <v>45718</v>
      </c>
      <c r="D631" t="inlineStr">
        <is>
          <t>DALARNAS LÄN</t>
        </is>
      </c>
      <c r="E631" t="inlineStr">
        <is>
          <t>SMEDJEBACKEN</t>
        </is>
      </c>
      <c r="G631" t="n">
        <v>10.5</v>
      </c>
      <c r="H631" t="n">
        <v>0</v>
      </c>
      <c r="I631" t="n">
        <v>0</v>
      </c>
      <c r="J631" t="n">
        <v>0</v>
      </c>
      <c r="K631" t="n">
        <v>0</v>
      </c>
      <c r="L631" t="n">
        <v>0</v>
      </c>
      <c r="M631" t="n">
        <v>0</v>
      </c>
      <c r="N631" t="n">
        <v>0</v>
      </c>
      <c r="O631" t="n">
        <v>0</v>
      </c>
      <c r="P631" t="n">
        <v>0</v>
      </c>
      <c r="Q631" t="n">
        <v>0</v>
      </c>
      <c r="R631" s="2" t="inlineStr"/>
    </row>
    <row r="632" ht="15" customHeight="1">
      <c r="A632" t="inlineStr">
        <is>
          <t>A 25575-2023</t>
        </is>
      </c>
      <c r="B632" s="1" t="n">
        <v>45089</v>
      </c>
      <c r="C632" s="1" t="n">
        <v>45718</v>
      </c>
      <c r="D632" t="inlineStr">
        <is>
          <t>DALARNAS LÄN</t>
        </is>
      </c>
      <c r="E632" t="inlineStr">
        <is>
          <t>SMEDJEBACKEN</t>
        </is>
      </c>
      <c r="G632" t="n">
        <v>4.2</v>
      </c>
      <c r="H632" t="n">
        <v>0</v>
      </c>
      <c r="I632" t="n">
        <v>0</v>
      </c>
      <c r="J632" t="n">
        <v>0</v>
      </c>
      <c r="K632" t="n">
        <v>0</v>
      </c>
      <c r="L632" t="n">
        <v>0</v>
      </c>
      <c r="M632" t="n">
        <v>0</v>
      </c>
      <c r="N632" t="n">
        <v>0</v>
      </c>
      <c r="O632" t="n">
        <v>0</v>
      </c>
      <c r="P632" t="n">
        <v>0</v>
      </c>
      <c r="Q632" t="n">
        <v>0</v>
      </c>
      <c r="R632" s="2" t="inlineStr"/>
    </row>
    <row r="633" ht="15" customHeight="1">
      <c r="A633" t="inlineStr">
        <is>
          <t>A 26480-2023</t>
        </is>
      </c>
      <c r="B633" s="1" t="n">
        <v>45092</v>
      </c>
      <c r="C633" s="1" t="n">
        <v>45718</v>
      </c>
      <c r="D633" t="inlineStr">
        <is>
          <t>DALARNAS LÄN</t>
        </is>
      </c>
      <c r="E633" t="inlineStr">
        <is>
          <t>SMEDJEBACKEN</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27403-2023</t>
        </is>
      </c>
      <c r="B634" s="1" t="n">
        <v>45097</v>
      </c>
      <c r="C634" s="1" t="n">
        <v>45718</v>
      </c>
      <c r="D634" t="inlineStr">
        <is>
          <t>DALARNAS LÄN</t>
        </is>
      </c>
      <c r="E634" t="inlineStr">
        <is>
          <t>SMEDJEBACKEN</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27405-2023</t>
        </is>
      </c>
      <c r="B635" s="1" t="n">
        <v>45097</v>
      </c>
      <c r="C635" s="1" t="n">
        <v>45718</v>
      </c>
      <c r="D635" t="inlineStr">
        <is>
          <t>DALARNAS LÄN</t>
        </is>
      </c>
      <c r="E635" t="inlineStr">
        <is>
          <t>SMEDJEBACKEN</t>
        </is>
      </c>
      <c r="F635" t="inlineStr">
        <is>
          <t>Sveaskog</t>
        </is>
      </c>
      <c r="G635" t="n">
        <v>6.9</v>
      </c>
      <c r="H635" t="n">
        <v>0</v>
      </c>
      <c r="I635" t="n">
        <v>0</v>
      </c>
      <c r="J635" t="n">
        <v>0</v>
      </c>
      <c r="K635" t="n">
        <v>0</v>
      </c>
      <c r="L635" t="n">
        <v>0</v>
      </c>
      <c r="M635" t="n">
        <v>0</v>
      </c>
      <c r="N635" t="n">
        <v>0</v>
      </c>
      <c r="O635" t="n">
        <v>0</v>
      </c>
      <c r="P635" t="n">
        <v>0</v>
      </c>
      <c r="Q635" t="n">
        <v>0</v>
      </c>
      <c r="R635" s="2" t="inlineStr"/>
    </row>
    <row r="636" ht="15" customHeight="1">
      <c r="A636" t="inlineStr">
        <is>
          <t>A 27402-2023</t>
        </is>
      </c>
      <c r="B636" s="1" t="n">
        <v>45097</v>
      </c>
      <c r="C636" s="1" t="n">
        <v>45718</v>
      </c>
      <c r="D636" t="inlineStr">
        <is>
          <t>DALARNAS LÄN</t>
        </is>
      </c>
      <c r="E636" t="inlineStr">
        <is>
          <t>SMEDJEBACKEN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28438-2023</t>
        </is>
      </c>
      <c r="B637" s="1" t="n">
        <v>45102</v>
      </c>
      <c r="C637" s="1" t="n">
        <v>45718</v>
      </c>
      <c r="D637" t="inlineStr">
        <is>
          <t>DALARNAS LÄN</t>
        </is>
      </c>
      <c r="E637" t="inlineStr">
        <is>
          <t>SMEDJEBACKEN</t>
        </is>
      </c>
      <c r="G637" t="n">
        <v>2.7</v>
      </c>
      <c r="H637" t="n">
        <v>0</v>
      </c>
      <c r="I637" t="n">
        <v>0</v>
      </c>
      <c r="J637" t="n">
        <v>0</v>
      </c>
      <c r="K637" t="n">
        <v>0</v>
      </c>
      <c r="L637" t="n">
        <v>0</v>
      </c>
      <c r="M637" t="n">
        <v>0</v>
      </c>
      <c r="N637" t="n">
        <v>0</v>
      </c>
      <c r="O637" t="n">
        <v>0</v>
      </c>
      <c r="P637" t="n">
        <v>0</v>
      </c>
      <c r="Q637" t="n">
        <v>0</v>
      </c>
      <c r="R637" s="2" t="inlineStr"/>
    </row>
    <row r="638" ht="15" customHeight="1">
      <c r="A638" t="inlineStr">
        <is>
          <t>A 28711-2023</t>
        </is>
      </c>
      <c r="B638" s="1" t="n">
        <v>45103</v>
      </c>
      <c r="C638" s="1" t="n">
        <v>45718</v>
      </c>
      <c r="D638" t="inlineStr">
        <is>
          <t>DALARNAS LÄN</t>
        </is>
      </c>
      <c r="E638" t="inlineStr">
        <is>
          <t>SMEDJEBACKEN</t>
        </is>
      </c>
      <c r="G638" t="n">
        <v>3.6</v>
      </c>
      <c r="H638" t="n">
        <v>0</v>
      </c>
      <c r="I638" t="n">
        <v>0</v>
      </c>
      <c r="J638" t="n">
        <v>0</v>
      </c>
      <c r="K638" t="n">
        <v>0</v>
      </c>
      <c r="L638" t="n">
        <v>0</v>
      </c>
      <c r="M638" t="n">
        <v>0</v>
      </c>
      <c r="N638" t="n">
        <v>0</v>
      </c>
      <c r="O638" t="n">
        <v>0</v>
      </c>
      <c r="P638" t="n">
        <v>0</v>
      </c>
      <c r="Q638" t="n">
        <v>0</v>
      </c>
      <c r="R638" s="2" t="inlineStr"/>
    </row>
    <row r="639" ht="15" customHeight="1">
      <c r="A639" t="inlineStr">
        <is>
          <t>A 31151-2023</t>
        </is>
      </c>
      <c r="B639" s="1" t="n">
        <v>45103</v>
      </c>
      <c r="C639" s="1" t="n">
        <v>45718</v>
      </c>
      <c r="D639" t="inlineStr">
        <is>
          <t>DALARNAS LÄN</t>
        </is>
      </c>
      <c r="E639" t="inlineStr">
        <is>
          <t>SMEDJEBACKEN</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29123-2023</t>
        </is>
      </c>
      <c r="B640" s="1" t="n">
        <v>45105</v>
      </c>
      <c r="C640" s="1" t="n">
        <v>45718</v>
      </c>
      <c r="D640" t="inlineStr">
        <is>
          <t>DALARNAS LÄN</t>
        </is>
      </c>
      <c r="E640" t="inlineStr">
        <is>
          <t>SMEDJEBACKEN</t>
        </is>
      </c>
      <c r="G640" t="n">
        <v>1.3</v>
      </c>
      <c r="H640" t="n">
        <v>0</v>
      </c>
      <c r="I640" t="n">
        <v>0</v>
      </c>
      <c r="J640" t="n">
        <v>0</v>
      </c>
      <c r="K640" t="n">
        <v>0</v>
      </c>
      <c r="L640" t="n">
        <v>0</v>
      </c>
      <c r="M640" t="n">
        <v>0</v>
      </c>
      <c r="N640" t="n">
        <v>0</v>
      </c>
      <c r="O640" t="n">
        <v>0</v>
      </c>
      <c r="P640" t="n">
        <v>0</v>
      </c>
      <c r="Q640" t="n">
        <v>0</v>
      </c>
      <c r="R640" s="2" t="inlineStr"/>
    </row>
    <row r="641" ht="15" customHeight="1">
      <c r="A641" t="inlineStr">
        <is>
          <t>A 29420-2023</t>
        </is>
      </c>
      <c r="B641" s="1" t="n">
        <v>45106</v>
      </c>
      <c r="C641" s="1" t="n">
        <v>45718</v>
      </c>
      <c r="D641" t="inlineStr">
        <is>
          <t>DALARNAS LÄN</t>
        </is>
      </c>
      <c r="E641" t="inlineStr">
        <is>
          <t>SMEDJEBACKEN</t>
        </is>
      </c>
      <c r="G641" t="n">
        <v>1.6</v>
      </c>
      <c r="H641" t="n">
        <v>0</v>
      </c>
      <c r="I641" t="n">
        <v>0</v>
      </c>
      <c r="J641" t="n">
        <v>0</v>
      </c>
      <c r="K641" t="n">
        <v>0</v>
      </c>
      <c r="L641" t="n">
        <v>0</v>
      </c>
      <c r="M641" t="n">
        <v>0</v>
      </c>
      <c r="N641" t="n">
        <v>0</v>
      </c>
      <c r="O641" t="n">
        <v>0</v>
      </c>
      <c r="P641" t="n">
        <v>0</v>
      </c>
      <c r="Q641" t="n">
        <v>0</v>
      </c>
      <c r="R641" s="2" t="inlineStr"/>
    </row>
    <row r="642" ht="15" customHeight="1">
      <c r="A642" t="inlineStr">
        <is>
          <t>A 29450-2023</t>
        </is>
      </c>
      <c r="B642" s="1" t="n">
        <v>45106</v>
      </c>
      <c r="C642" s="1" t="n">
        <v>45718</v>
      </c>
      <c r="D642" t="inlineStr">
        <is>
          <t>DALARNAS LÄN</t>
        </is>
      </c>
      <c r="E642" t="inlineStr">
        <is>
          <t>SMEDJEBACKEN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29449-2023</t>
        </is>
      </c>
      <c r="B643" s="1" t="n">
        <v>45106</v>
      </c>
      <c r="C643" s="1" t="n">
        <v>45718</v>
      </c>
      <c r="D643" t="inlineStr">
        <is>
          <t>DALARNAS LÄN</t>
        </is>
      </c>
      <c r="E643" t="inlineStr">
        <is>
          <t>SMEDJEBACKEN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29472-2023</t>
        </is>
      </c>
      <c r="B644" s="1" t="n">
        <v>45106</v>
      </c>
      <c r="C644" s="1" t="n">
        <v>45718</v>
      </c>
      <c r="D644" t="inlineStr">
        <is>
          <t>DALARNAS LÄN</t>
        </is>
      </c>
      <c r="E644" t="inlineStr">
        <is>
          <t>SMEDJEBACKEN</t>
        </is>
      </c>
      <c r="G644" t="n">
        <v>1.2</v>
      </c>
      <c r="H644" t="n">
        <v>0</v>
      </c>
      <c r="I644" t="n">
        <v>0</v>
      </c>
      <c r="J644" t="n">
        <v>0</v>
      </c>
      <c r="K644" t="n">
        <v>0</v>
      </c>
      <c r="L644" t="n">
        <v>0</v>
      </c>
      <c r="M644" t="n">
        <v>0</v>
      </c>
      <c r="N644" t="n">
        <v>0</v>
      </c>
      <c r="O644" t="n">
        <v>0</v>
      </c>
      <c r="P644" t="n">
        <v>0</v>
      </c>
      <c r="Q644" t="n">
        <v>0</v>
      </c>
      <c r="R644" s="2" t="inlineStr"/>
    </row>
    <row r="645" ht="15" customHeight="1">
      <c r="A645" t="inlineStr">
        <is>
          <t>A 29435-2023</t>
        </is>
      </c>
      <c r="B645" s="1" t="n">
        <v>45106</v>
      </c>
      <c r="C645" s="1" t="n">
        <v>45718</v>
      </c>
      <c r="D645" t="inlineStr">
        <is>
          <t>DALARNAS LÄN</t>
        </is>
      </c>
      <c r="E645" t="inlineStr">
        <is>
          <t>SMEDJEBACKEN</t>
        </is>
      </c>
      <c r="F645" t="inlineStr">
        <is>
          <t>Sveaskog</t>
        </is>
      </c>
      <c r="G645" t="n">
        <v>5.5</v>
      </c>
      <c r="H645" t="n">
        <v>0</v>
      </c>
      <c r="I645" t="n">
        <v>0</v>
      </c>
      <c r="J645" t="n">
        <v>0</v>
      </c>
      <c r="K645" t="n">
        <v>0</v>
      </c>
      <c r="L645" t="n">
        <v>0</v>
      </c>
      <c r="M645" t="n">
        <v>0</v>
      </c>
      <c r="N645" t="n">
        <v>0</v>
      </c>
      <c r="O645" t="n">
        <v>0</v>
      </c>
      <c r="P645" t="n">
        <v>0</v>
      </c>
      <c r="Q645" t="n">
        <v>0</v>
      </c>
      <c r="R645" s="2" t="inlineStr"/>
    </row>
    <row r="646" ht="15" customHeight="1">
      <c r="A646" t="inlineStr">
        <is>
          <t>A 29452-2023</t>
        </is>
      </c>
      <c r="B646" s="1" t="n">
        <v>45106</v>
      </c>
      <c r="C646" s="1" t="n">
        <v>45718</v>
      </c>
      <c r="D646" t="inlineStr">
        <is>
          <t>DALARNAS LÄN</t>
        </is>
      </c>
      <c r="E646" t="inlineStr">
        <is>
          <t>SMEDJEBACKEN</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29438-2023</t>
        </is>
      </c>
      <c r="B647" s="1" t="n">
        <v>45106</v>
      </c>
      <c r="C647" s="1" t="n">
        <v>45718</v>
      </c>
      <c r="D647" t="inlineStr">
        <is>
          <t>DALARNAS LÄN</t>
        </is>
      </c>
      <c r="E647" t="inlineStr">
        <is>
          <t>SMEDJEBACKEN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29442-2023</t>
        </is>
      </c>
      <c r="B648" s="1" t="n">
        <v>45106</v>
      </c>
      <c r="C648" s="1" t="n">
        <v>45718</v>
      </c>
      <c r="D648" t="inlineStr">
        <is>
          <t>DALARNAS LÄN</t>
        </is>
      </c>
      <c r="E648" t="inlineStr">
        <is>
          <t>SMEDJEBACKEN</t>
        </is>
      </c>
      <c r="F648" t="inlineStr">
        <is>
          <t>Sveaskog</t>
        </is>
      </c>
      <c r="G648" t="n">
        <v>5.4</v>
      </c>
      <c r="H648" t="n">
        <v>0</v>
      </c>
      <c r="I648" t="n">
        <v>0</v>
      </c>
      <c r="J648" t="n">
        <v>0</v>
      </c>
      <c r="K648" t="n">
        <v>0</v>
      </c>
      <c r="L648" t="n">
        <v>0</v>
      </c>
      <c r="M648" t="n">
        <v>0</v>
      </c>
      <c r="N648" t="n">
        <v>0</v>
      </c>
      <c r="O648" t="n">
        <v>0</v>
      </c>
      <c r="P648" t="n">
        <v>0</v>
      </c>
      <c r="Q648" t="n">
        <v>0</v>
      </c>
      <c r="R648" s="2" t="inlineStr"/>
    </row>
    <row r="649" ht="15" customHeight="1">
      <c r="A649" t="inlineStr">
        <is>
          <t>A 29817-2023</t>
        </is>
      </c>
      <c r="B649" s="1" t="n">
        <v>45107</v>
      </c>
      <c r="C649" s="1" t="n">
        <v>45718</v>
      </c>
      <c r="D649" t="inlineStr">
        <is>
          <t>DALARNAS LÄN</t>
        </is>
      </c>
      <c r="E649" t="inlineStr">
        <is>
          <t>SMEDJEBACKEN</t>
        </is>
      </c>
      <c r="G649" t="n">
        <v>7.2</v>
      </c>
      <c r="H649" t="n">
        <v>0</v>
      </c>
      <c r="I649" t="n">
        <v>0</v>
      </c>
      <c r="J649" t="n">
        <v>0</v>
      </c>
      <c r="K649" t="n">
        <v>0</v>
      </c>
      <c r="L649" t="n">
        <v>0</v>
      </c>
      <c r="M649" t="n">
        <v>0</v>
      </c>
      <c r="N649" t="n">
        <v>0</v>
      </c>
      <c r="O649" t="n">
        <v>0</v>
      </c>
      <c r="P649" t="n">
        <v>0</v>
      </c>
      <c r="Q649" t="n">
        <v>0</v>
      </c>
      <c r="R649" s="2" t="inlineStr"/>
    </row>
    <row r="650" ht="15" customHeight="1">
      <c r="A650" t="inlineStr">
        <is>
          <t>A 29823-2023</t>
        </is>
      </c>
      <c r="B650" s="1" t="n">
        <v>45107</v>
      </c>
      <c r="C650" s="1" t="n">
        <v>45718</v>
      </c>
      <c r="D650" t="inlineStr">
        <is>
          <t>DALARNAS LÄN</t>
        </is>
      </c>
      <c r="E650" t="inlineStr">
        <is>
          <t>SMEDJEBACKEN</t>
        </is>
      </c>
      <c r="G650" t="n">
        <v>2.2</v>
      </c>
      <c r="H650" t="n">
        <v>0</v>
      </c>
      <c r="I650" t="n">
        <v>0</v>
      </c>
      <c r="J650" t="n">
        <v>0</v>
      </c>
      <c r="K650" t="n">
        <v>0</v>
      </c>
      <c r="L650" t="n">
        <v>0</v>
      </c>
      <c r="M650" t="n">
        <v>0</v>
      </c>
      <c r="N650" t="n">
        <v>0</v>
      </c>
      <c r="O650" t="n">
        <v>0</v>
      </c>
      <c r="P650" t="n">
        <v>0</v>
      </c>
      <c r="Q650" t="n">
        <v>0</v>
      </c>
      <c r="R650" s="2" t="inlineStr"/>
    </row>
    <row r="651" ht="15" customHeight="1">
      <c r="A651" t="inlineStr">
        <is>
          <t>A 29743-2023</t>
        </is>
      </c>
      <c r="B651" s="1" t="n">
        <v>45107</v>
      </c>
      <c r="C651" s="1" t="n">
        <v>45718</v>
      </c>
      <c r="D651" t="inlineStr">
        <is>
          <t>DALARNAS LÄN</t>
        </is>
      </c>
      <c r="E651" t="inlineStr">
        <is>
          <t>SMEDJEBACKEN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29860-2023</t>
        </is>
      </c>
      <c r="B652" s="1" t="n">
        <v>45107</v>
      </c>
      <c r="C652" s="1" t="n">
        <v>45718</v>
      </c>
      <c r="D652" t="inlineStr">
        <is>
          <t>DALARNAS LÄN</t>
        </is>
      </c>
      <c r="E652" t="inlineStr">
        <is>
          <t>SMEDJEBACKEN</t>
        </is>
      </c>
      <c r="F652" t="inlineStr">
        <is>
          <t>Övriga Aktiebolag</t>
        </is>
      </c>
      <c r="G652" t="n">
        <v>10.7</v>
      </c>
      <c r="H652" t="n">
        <v>0</v>
      </c>
      <c r="I652" t="n">
        <v>0</v>
      </c>
      <c r="J652" t="n">
        <v>0</v>
      </c>
      <c r="K652" t="n">
        <v>0</v>
      </c>
      <c r="L652" t="n">
        <v>0</v>
      </c>
      <c r="M652" t="n">
        <v>0</v>
      </c>
      <c r="N652" t="n">
        <v>0</v>
      </c>
      <c r="O652" t="n">
        <v>0</v>
      </c>
      <c r="P652" t="n">
        <v>0</v>
      </c>
      <c r="Q652" t="n">
        <v>0</v>
      </c>
      <c r="R652" s="2" t="inlineStr"/>
    </row>
    <row r="653" ht="15" customHeight="1">
      <c r="A653" t="inlineStr">
        <is>
          <t>A 29820-2023</t>
        </is>
      </c>
      <c r="B653" s="1" t="n">
        <v>45107</v>
      </c>
      <c r="C653" s="1" t="n">
        <v>45718</v>
      </c>
      <c r="D653" t="inlineStr">
        <is>
          <t>DALARNAS LÄN</t>
        </is>
      </c>
      <c r="E653" t="inlineStr">
        <is>
          <t>SMEDJEBACKEN</t>
        </is>
      </c>
      <c r="G653" t="n">
        <v>0.8</v>
      </c>
      <c r="H653" t="n">
        <v>0</v>
      </c>
      <c r="I653" t="n">
        <v>0</v>
      </c>
      <c r="J653" t="n">
        <v>0</v>
      </c>
      <c r="K653" t="n">
        <v>0</v>
      </c>
      <c r="L653" t="n">
        <v>0</v>
      </c>
      <c r="M653" t="n">
        <v>0</v>
      </c>
      <c r="N653" t="n">
        <v>0</v>
      </c>
      <c r="O653" t="n">
        <v>0</v>
      </c>
      <c r="P653" t="n">
        <v>0</v>
      </c>
      <c r="Q653" t="n">
        <v>0</v>
      </c>
      <c r="R653" s="2" t="inlineStr"/>
    </row>
    <row r="654" ht="15" customHeight="1">
      <c r="A654" t="inlineStr">
        <is>
          <t>A 30005-2023</t>
        </is>
      </c>
      <c r="B654" s="1" t="n">
        <v>45109</v>
      </c>
      <c r="C654" s="1" t="n">
        <v>45718</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29991-2023</t>
        </is>
      </c>
      <c r="B655" s="1" t="n">
        <v>45109</v>
      </c>
      <c r="C655" s="1" t="n">
        <v>45718</v>
      </c>
      <c r="D655" t="inlineStr">
        <is>
          <t>DALARNAS LÄN</t>
        </is>
      </c>
      <c r="E655" t="inlineStr">
        <is>
          <t>SMEDJEBACKEN</t>
        </is>
      </c>
      <c r="G655" t="n">
        <v>3.3</v>
      </c>
      <c r="H655" t="n">
        <v>0</v>
      </c>
      <c r="I655" t="n">
        <v>0</v>
      </c>
      <c r="J655" t="n">
        <v>0</v>
      </c>
      <c r="K655" t="n">
        <v>0</v>
      </c>
      <c r="L655" t="n">
        <v>0</v>
      </c>
      <c r="M655" t="n">
        <v>0</v>
      </c>
      <c r="N655" t="n">
        <v>0</v>
      </c>
      <c r="O655" t="n">
        <v>0</v>
      </c>
      <c r="P655" t="n">
        <v>0</v>
      </c>
      <c r="Q655" t="n">
        <v>0</v>
      </c>
      <c r="R655" s="2" t="inlineStr"/>
    </row>
    <row r="656" ht="15" customHeight="1">
      <c r="A656" t="inlineStr">
        <is>
          <t>A 30003-2023</t>
        </is>
      </c>
      <c r="B656" s="1" t="n">
        <v>45109</v>
      </c>
      <c r="C656" s="1" t="n">
        <v>45718</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30130-2023</t>
        </is>
      </c>
      <c r="B657" s="1" t="n">
        <v>45110</v>
      </c>
      <c r="C657" s="1" t="n">
        <v>45718</v>
      </c>
      <c r="D657" t="inlineStr">
        <is>
          <t>DALARNAS LÄN</t>
        </is>
      </c>
      <c r="E657" t="inlineStr">
        <is>
          <t>SMEDJEBACKEN</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30136-2023</t>
        </is>
      </c>
      <c r="B658" s="1" t="n">
        <v>45110</v>
      </c>
      <c r="C658" s="1" t="n">
        <v>45718</v>
      </c>
      <c r="D658" t="inlineStr">
        <is>
          <t>DALARNAS LÄN</t>
        </is>
      </c>
      <c r="E658" t="inlineStr">
        <is>
          <t>SMEDJEBACKEN</t>
        </is>
      </c>
      <c r="F658" t="inlineStr">
        <is>
          <t>Bergvik skog väst AB</t>
        </is>
      </c>
      <c r="G658" t="n">
        <v>4.5</v>
      </c>
      <c r="H658" t="n">
        <v>0</v>
      </c>
      <c r="I658" t="n">
        <v>0</v>
      </c>
      <c r="J658" t="n">
        <v>0</v>
      </c>
      <c r="K658" t="n">
        <v>0</v>
      </c>
      <c r="L658" t="n">
        <v>0</v>
      </c>
      <c r="M658" t="n">
        <v>0</v>
      </c>
      <c r="N658" t="n">
        <v>0</v>
      </c>
      <c r="O658" t="n">
        <v>0</v>
      </c>
      <c r="P658" t="n">
        <v>0</v>
      </c>
      <c r="Q658" t="n">
        <v>0</v>
      </c>
      <c r="R658" s="2" t="inlineStr"/>
    </row>
    <row r="659" ht="15" customHeight="1">
      <c r="A659" t="inlineStr">
        <is>
          <t>A 30239-2023</t>
        </is>
      </c>
      <c r="B659" s="1" t="n">
        <v>45110</v>
      </c>
      <c r="C659" s="1" t="n">
        <v>45718</v>
      </c>
      <c r="D659" t="inlineStr">
        <is>
          <t>DALARNAS LÄN</t>
        </is>
      </c>
      <c r="E659" t="inlineStr">
        <is>
          <t>SMEDJEBACKEN</t>
        </is>
      </c>
      <c r="F659" t="inlineStr">
        <is>
          <t>Sveaskog</t>
        </is>
      </c>
      <c r="G659" t="n">
        <v>4.5</v>
      </c>
      <c r="H659" t="n">
        <v>0</v>
      </c>
      <c r="I659" t="n">
        <v>0</v>
      </c>
      <c r="J659" t="n">
        <v>0</v>
      </c>
      <c r="K659" t="n">
        <v>0</v>
      </c>
      <c r="L659" t="n">
        <v>0</v>
      </c>
      <c r="M659" t="n">
        <v>0</v>
      </c>
      <c r="N659" t="n">
        <v>0</v>
      </c>
      <c r="O659" t="n">
        <v>0</v>
      </c>
      <c r="P659" t="n">
        <v>0</v>
      </c>
      <c r="Q659" t="n">
        <v>0</v>
      </c>
      <c r="R659" s="2" t="inlineStr"/>
    </row>
    <row r="660" ht="15" customHeight="1">
      <c r="A660" t="inlineStr">
        <is>
          <t>A 30231-2023</t>
        </is>
      </c>
      <c r="B660" s="1" t="n">
        <v>45110</v>
      </c>
      <c r="C660" s="1" t="n">
        <v>45718</v>
      </c>
      <c r="D660" t="inlineStr">
        <is>
          <t>DALARNAS LÄN</t>
        </is>
      </c>
      <c r="E660" t="inlineStr">
        <is>
          <t>SMEDJEBACKEN</t>
        </is>
      </c>
      <c r="F660" t="inlineStr">
        <is>
          <t>Sveaskog</t>
        </is>
      </c>
      <c r="G660" t="n">
        <v>7.2</v>
      </c>
      <c r="H660" t="n">
        <v>0</v>
      </c>
      <c r="I660" t="n">
        <v>0</v>
      </c>
      <c r="J660" t="n">
        <v>0</v>
      </c>
      <c r="K660" t="n">
        <v>0</v>
      </c>
      <c r="L660" t="n">
        <v>0</v>
      </c>
      <c r="M660" t="n">
        <v>0</v>
      </c>
      <c r="N660" t="n">
        <v>0</v>
      </c>
      <c r="O660" t="n">
        <v>0</v>
      </c>
      <c r="P660" t="n">
        <v>0</v>
      </c>
      <c r="Q660" t="n">
        <v>0</v>
      </c>
      <c r="R660" s="2" t="inlineStr"/>
    </row>
    <row r="661" ht="15" customHeight="1">
      <c r="A661" t="inlineStr">
        <is>
          <t>A 30235-2023</t>
        </is>
      </c>
      <c r="B661" s="1" t="n">
        <v>45110</v>
      </c>
      <c r="C661" s="1" t="n">
        <v>45718</v>
      </c>
      <c r="D661" t="inlineStr">
        <is>
          <t>DALARNAS LÄN</t>
        </is>
      </c>
      <c r="E661" t="inlineStr">
        <is>
          <t>SMEDJEBACKEN</t>
        </is>
      </c>
      <c r="F661" t="inlineStr">
        <is>
          <t>Sveaskog</t>
        </is>
      </c>
      <c r="G661" t="n">
        <v>11.8</v>
      </c>
      <c r="H661" t="n">
        <v>0</v>
      </c>
      <c r="I661" t="n">
        <v>0</v>
      </c>
      <c r="J661" t="n">
        <v>0</v>
      </c>
      <c r="K661" t="n">
        <v>0</v>
      </c>
      <c r="L661" t="n">
        <v>0</v>
      </c>
      <c r="M661" t="n">
        <v>0</v>
      </c>
      <c r="N661" t="n">
        <v>0</v>
      </c>
      <c r="O661" t="n">
        <v>0</v>
      </c>
      <c r="P661" t="n">
        <v>0</v>
      </c>
      <c r="Q661" t="n">
        <v>0</v>
      </c>
      <c r="R661" s="2" t="inlineStr"/>
    </row>
    <row r="662" ht="15" customHeight="1">
      <c r="A662" t="inlineStr">
        <is>
          <t>A 30420-2023</t>
        </is>
      </c>
      <c r="B662" s="1" t="n">
        <v>45111</v>
      </c>
      <c r="C662" s="1" t="n">
        <v>45718</v>
      </c>
      <c r="D662" t="inlineStr">
        <is>
          <t>DALARNAS LÄN</t>
        </is>
      </c>
      <c r="E662" t="inlineStr">
        <is>
          <t>SMEDJEBACKEN</t>
        </is>
      </c>
      <c r="G662" t="n">
        <v>2.3</v>
      </c>
      <c r="H662" t="n">
        <v>0</v>
      </c>
      <c r="I662" t="n">
        <v>0</v>
      </c>
      <c r="J662" t="n">
        <v>0</v>
      </c>
      <c r="K662" t="n">
        <v>0</v>
      </c>
      <c r="L662" t="n">
        <v>0</v>
      </c>
      <c r="M662" t="n">
        <v>0</v>
      </c>
      <c r="N662" t="n">
        <v>0</v>
      </c>
      <c r="O662" t="n">
        <v>0</v>
      </c>
      <c r="P662" t="n">
        <v>0</v>
      </c>
      <c r="Q662" t="n">
        <v>0</v>
      </c>
      <c r="R662" s="2" t="inlineStr"/>
    </row>
    <row r="663" ht="15" customHeight="1">
      <c r="A663" t="inlineStr">
        <is>
          <t>A 30938-2023</t>
        </is>
      </c>
      <c r="B663" s="1" t="n">
        <v>45113</v>
      </c>
      <c r="C663" s="1" t="n">
        <v>45718</v>
      </c>
      <c r="D663" t="inlineStr">
        <is>
          <t>DALARNAS LÄN</t>
        </is>
      </c>
      <c r="E663" t="inlineStr">
        <is>
          <t>SMEDJEBACKEN</t>
        </is>
      </c>
      <c r="G663" t="n">
        <v>5.8</v>
      </c>
      <c r="H663" t="n">
        <v>0</v>
      </c>
      <c r="I663" t="n">
        <v>0</v>
      </c>
      <c r="J663" t="n">
        <v>0</v>
      </c>
      <c r="K663" t="n">
        <v>0</v>
      </c>
      <c r="L663" t="n">
        <v>0</v>
      </c>
      <c r="M663" t="n">
        <v>0</v>
      </c>
      <c r="N663" t="n">
        <v>0</v>
      </c>
      <c r="O663" t="n">
        <v>0</v>
      </c>
      <c r="P663" t="n">
        <v>0</v>
      </c>
      <c r="Q663" t="n">
        <v>0</v>
      </c>
      <c r="R663" s="2" t="inlineStr"/>
    </row>
    <row r="664" ht="15" customHeight="1">
      <c r="A664" t="inlineStr">
        <is>
          <t>A 31030-2023</t>
        </is>
      </c>
      <c r="B664" s="1" t="n">
        <v>45113</v>
      </c>
      <c r="C664" s="1" t="n">
        <v>45718</v>
      </c>
      <c r="D664" t="inlineStr">
        <is>
          <t>DALARNAS LÄN</t>
        </is>
      </c>
      <c r="E664" t="inlineStr">
        <is>
          <t>SMEDJEBACKEN</t>
        </is>
      </c>
      <c r="G664" t="n">
        <v>3.6</v>
      </c>
      <c r="H664" t="n">
        <v>0</v>
      </c>
      <c r="I664" t="n">
        <v>0</v>
      </c>
      <c r="J664" t="n">
        <v>0</v>
      </c>
      <c r="K664" t="n">
        <v>0</v>
      </c>
      <c r="L664" t="n">
        <v>0</v>
      </c>
      <c r="M664" t="n">
        <v>0</v>
      </c>
      <c r="N664" t="n">
        <v>0</v>
      </c>
      <c r="O664" t="n">
        <v>0</v>
      </c>
      <c r="P664" t="n">
        <v>0</v>
      </c>
      <c r="Q664" t="n">
        <v>0</v>
      </c>
      <c r="R664" s="2" t="inlineStr"/>
    </row>
    <row r="665" ht="15" customHeight="1">
      <c r="A665" t="inlineStr">
        <is>
          <t>A 31271-2023</t>
        </is>
      </c>
      <c r="B665" s="1" t="n">
        <v>45114</v>
      </c>
      <c r="C665" s="1" t="n">
        <v>45718</v>
      </c>
      <c r="D665" t="inlineStr">
        <is>
          <t>DALARNAS LÄN</t>
        </is>
      </c>
      <c r="E665" t="inlineStr">
        <is>
          <t>SMEDJEBACKEN</t>
        </is>
      </c>
      <c r="G665" t="n">
        <v>1.6</v>
      </c>
      <c r="H665" t="n">
        <v>0</v>
      </c>
      <c r="I665" t="n">
        <v>0</v>
      </c>
      <c r="J665" t="n">
        <v>0</v>
      </c>
      <c r="K665" t="n">
        <v>0</v>
      </c>
      <c r="L665" t="n">
        <v>0</v>
      </c>
      <c r="M665" t="n">
        <v>0</v>
      </c>
      <c r="N665" t="n">
        <v>0</v>
      </c>
      <c r="O665" t="n">
        <v>0</v>
      </c>
      <c r="P665" t="n">
        <v>0</v>
      </c>
      <c r="Q665" t="n">
        <v>0</v>
      </c>
      <c r="R665" s="2" t="inlineStr"/>
    </row>
    <row r="666" ht="15" customHeight="1">
      <c r="A666" t="inlineStr">
        <is>
          <t>A 31283-2023</t>
        </is>
      </c>
      <c r="B666" s="1" t="n">
        <v>45114</v>
      </c>
      <c r="C666" s="1" t="n">
        <v>45718</v>
      </c>
      <c r="D666" t="inlineStr">
        <is>
          <t>DALARNAS LÄN</t>
        </is>
      </c>
      <c r="E666" t="inlineStr">
        <is>
          <t>SMEDJEBACKEN</t>
        </is>
      </c>
      <c r="F666" t="inlineStr">
        <is>
          <t>Sveaskog</t>
        </is>
      </c>
      <c r="G666" t="n">
        <v>5.1</v>
      </c>
      <c r="H666" t="n">
        <v>0</v>
      </c>
      <c r="I666" t="n">
        <v>0</v>
      </c>
      <c r="J666" t="n">
        <v>0</v>
      </c>
      <c r="K666" t="n">
        <v>0</v>
      </c>
      <c r="L666" t="n">
        <v>0</v>
      </c>
      <c r="M666" t="n">
        <v>0</v>
      </c>
      <c r="N666" t="n">
        <v>0</v>
      </c>
      <c r="O666" t="n">
        <v>0</v>
      </c>
      <c r="P666" t="n">
        <v>0</v>
      </c>
      <c r="Q666" t="n">
        <v>0</v>
      </c>
      <c r="R666" s="2" t="inlineStr"/>
    </row>
    <row r="667" ht="15" customHeight="1">
      <c r="A667" t="inlineStr">
        <is>
          <t>A 31277-2023</t>
        </is>
      </c>
      <c r="B667" s="1" t="n">
        <v>45114</v>
      </c>
      <c r="C667" s="1" t="n">
        <v>45718</v>
      </c>
      <c r="D667" t="inlineStr">
        <is>
          <t>DALARNAS LÄN</t>
        </is>
      </c>
      <c r="E667" t="inlineStr">
        <is>
          <t>SMEDJEBACKEN</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31280-2023</t>
        </is>
      </c>
      <c r="B668" s="1" t="n">
        <v>45114</v>
      </c>
      <c r="C668" s="1" t="n">
        <v>45718</v>
      </c>
      <c r="D668" t="inlineStr">
        <is>
          <t>DALARNAS LÄN</t>
        </is>
      </c>
      <c r="E668" t="inlineStr">
        <is>
          <t>SMEDJEBACKEN</t>
        </is>
      </c>
      <c r="F668" t="inlineStr">
        <is>
          <t>Sveaskog</t>
        </is>
      </c>
      <c r="G668" t="n">
        <v>6.2</v>
      </c>
      <c r="H668" t="n">
        <v>0</v>
      </c>
      <c r="I668" t="n">
        <v>0</v>
      </c>
      <c r="J668" t="n">
        <v>0</v>
      </c>
      <c r="K668" t="n">
        <v>0</v>
      </c>
      <c r="L668" t="n">
        <v>0</v>
      </c>
      <c r="M668" t="n">
        <v>0</v>
      </c>
      <c r="N668" t="n">
        <v>0</v>
      </c>
      <c r="O668" t="n">
        <v>0</v>
      </c>
      <c r="P668" t="n">
        <v>0</v>
      </c>
      <c r="Q668" t="n">
        <v>0</v>
      </c>
      <c r="R668" s="2" t="inlineStr"/>
    </row>
    <row r="669" ht="15" customHeight="1">
      <c r="A669" t="inlineStr">
        <is>
          <t>A 31284-2023</t>
        </is>
      </c>
      <c r="B669" s="1" t="n">
        <v>45114</v>
      </c>
      <c r="C669" s="1" t="n">
        <v>45718</v>
      </c>
      <c r="D669" t="inlineStr">
        <is>
          <t>DALARNAS LÄN</t>
        </is>
      </c>
      <c r="E669" t="inlineStr">
        <is>
          <t>SMEDJEBACKEN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32600-2023</t>
        </is>
      </c>
      <c r="B670" s="1" t="n">
        <v>45121</v>
      </c>
      <c r="C670" s="1" t="n">
        <v>45718</v>
      </c>
      <c r="D670" t="inlineStr">
        <is>
          <t>DALARNAS LÄN</t>
        </is>
      </c>
      <c r="E670" t="inlineStr">
        <is>
          <t>SMEDJEBACKEN</t>
        </is>
      </c>
      <c r="F670" t="inlineStr">
        <is>
          <t>Bergvik skog väst AB</t>
        </is>
      </c>
      <c r="G670" t="n">
        <v>1.9</v>
      </c>
      <c r="H670" t="n">
        <v>0</v>
      </c>
      <c r="I670" t="n">
        <v>0</v>
      </c>
      <c r="J670" t="n">
        <v>0</v>
      </c>
      <c r="K670" t="n">
        <v>0</v>
      </c>
      <c r="L670" t="n">
        <v>0</v>
      </c>
      <c r="M670" t="n">
        <v>0</v>
      </c>
      <c r="N670" t="n">
        <v>0</v>
      </c>
      <c r="O670" t="n">
        <v>0</v>
      </c>
      <c r="P670" t="n">
        <v>0</v>
      </c>
      <c r="Q670" t="n">
        <v>0</v>
      </c>
      <c r="R670" s="2" t="inlineStr"/>
    </row>
    <row r="671" ht="15" customHeight="1">
      <c r="A671" t="inlineStr">
        <is>
          <t>A 33913-2023</t>
        </is>
      </c>
      <c r="B671" s="1" t="n">
        <v>45123</v>
      </c>
      <c r="C671" s="1" t="n">
        <v>45718</v>
      </c>
      <c r="D671" t="inlineStr">
        <is>
          <t>DALARNAS LÄN</t>
        </is>
      </c>
      <c r="E671" t="inlineStr">
        <is>
          <t>SMEDJEBACKEN</t>
        </is>
      </c>
      <c r="G671" t="n">
        <v>1.8</v>
      </c>
      <c r="H671" t="n">
        <v>0</v>
      </c>
      <c r="I671" t="n">
        <v>0</v>
      </c>
      <c r="J671" t="n">
        <v>0</v>
      </c>
      <c r="K671" t="n">
        <v>0</v>
      </c>
      <c r="L671" t="n">
        <v>0</v>
      </c>
      <c r="M671" t="n">
        <v>0</v>
      </c>
      <c r="N671" t="n">
        <v>0</v>
      </c>
      <c r="O671" t="n">
        <v>0</v>
      </c>
      <c r="P671" t="n">
        <v>0</v>
      </c>
      <c r="Q671" t="n">
        <v>0</v>
      </c>
      <c r="R671" s="2" t="inlineStr"/>
    </row>
    <row r="672" ht="15" customHeight="1">
      <c r="A672" t="inlineStr">
        <is>
          <t>A 33960-2023</t>
        </is>
      </c>
      <c r="B672" s="1" t="n">
        <v>45124</v>
      </c>
      <c r="C672" s="1" t="n">
        <v>45718</v>
      </c>
      <c r="D672" t="inlineStr">
        <is>
          <t>DALARNAS LÄN</t>
        </is>
      </c>
      <c r="E672" t="inlineStr">
        <is>
          <t>SMEDJEBACKEN</t>
        </is>
      </c>
      <c r="G672" t="n">
        <v>2.6</v>
      </c>
      <c r="H672" t="n">
        <v>0</v>
      </c>
      <c r="I672" t="n">
        <v>0</v>
      </c>
      <c r="J672" t="n">
        <v>0</v>
      </c>
      <c r="K672" t="n">
        <v>0</v>
      </c>
      <c r="L672" t="n">
        <v>0</v>
      </c>
      <c r="M672" t="n">
        <v>0</v>
      </c>
      <c r="N672" t="n">
        <v>0</v>
      </c>
      <c r="O672" t="n">
        <v>0</v>
      </c>
      <c r="P672" t="n">
        <v>0</v>
      </c>
      <c r="Q672" t="n">
        <v>0</v>
      </c>
      <c r="R672" s="2" t="inlineStr"/>
    </row>
    <row r="673" ht="15" customHeight="1">
      <c r="A673" t="inlineStr">
        <is>
          <t>A 32926-2023</t>
        </is>
      </c>
      <c r="B673" s="1" t="n">
        <v>45125</v>
      </c>
      <c r="C673" s="1" t="n">
        <v>45718</v>
      </c>
      <c r="D673" t="inlineStr">
        <is>
          <t>DALARNAS LÄN</t>
        </is>
      </c>
      <c r="E673" t="inlineStr">
        <is>
          <t>SMEDJEBACKEN</t>
        </is>
      </c>
      <c r="F673" t="inlineStr">
        <is>
          <t>Övriga Aktiebolag</t>
        </is>
      </c>
      <c r="G673" t="n">
        <v>16.1</v>
      </c>
      <c r="H673" t="n">
        <v>0</v>
      </c>
      <c r="I673" t="n">
        <v>0</v>
      </c>
      <c r="J673" t="n">
        <v>0</v>
      </c>
      <c r="K673" t="n">
        <v>0</v>
      </c>
      <c r="L673" t="n">
        <v>0</v>
      </c>
      <c r="M673" t="n">
        <v>0</v>
      </c>
      <c r="N673" t="n">
        <v>0</v>
      </c>
      <c r="O673" t="n">
        <v>0</v>
      </c>
      <c r="P673" t="n">
        <v>0</v>
      </c>
      <c r="Q673" t="n">
        <v>0</v>
      </c>
      <c r="R673" s="2" t="inlineStr"/>
    </row>
    <row r="674" ht="15" customHeight="1">
      <c r="A674" t="inlineStr">
        <is>
          <t>A 34039-2023</t>
        </is>
      </c>
      <c r="B674" s="1" t="n">
        <v>45125</v>
      </c>
      <c r="C674" s="1" t="n">
        <v>45718</v>
      </c>
      <c r="D674" t="inlineStr">
        <is>
          <t>DALARNAS LÄN</t>
        </is>
      </c>
      <c r="E674" t="inlineStr">
        <is>
          <t>SMEDJEBACKEN</t>
        </is>
      </c>
      <c r="G674" t="n">
        <v>2</v>
      </c>
      <c r="H674" t="n">
        <v>0</v>
      </c>
      <c r="I674" t="n">
        <v>0</v>
      </c>
      <c r="J674" t="n">
        <v>0</v>
      </c>
      <c r="K674" t="n">
        <v>0</v>
      </c>
      <c r="L674" t="n">
        <v>0</v>
      </c>
      <c r="M674" t="n">
        <v>0</v>
      </c>
      <c r="N674" t="n">
        <v>0</v>
      </c>
      <c r="O674" t="n">
        <v>0</v>
      </c>
      <c r="P674" t="n">
        <v>0</v>
      </c>
      <c r="Q674" t="n">
        <v>0</v>
      </c>
      <c r="R674" s="2" t="inlineStr"/>
    </row>
    <row r="675" ht="15" customHeight="1">
      <c r="A675" t="inlineStr">
        <is>
          <t>A 33487-2023</t>
        </is>
      </c>
      <c r="B675" s="1" t="n">
        <v>45131</v>
      </c>
      <c r="C675" s="1" t="n">
        <v>45718</v>
      </c>
      <c r="D675" t="inlineStr">
        <is>
          <t>DALARNAS LÄN</t>
        </is>
      </c>
      <c r="E675" t="inlineStr">
        <is>
          <t>SMEDJEBACKEN</t>
        </is>
      </c>
      <c r="G675" t="n">
        <v>1.3</v>
      </c>
      <c r="H675" t="n">
        <v>0</v>
      </c>
      <c r="I675" t="n">
        <v>0</v>
      </c>
      <c r="J675" t="n">
        <v>0</v>
      </c>
      <c r="K675" t="n">
        <v>0</v>
      </c>
      <c r="L675" t="n">
        <v>0</v>
      </c>
      <c r="M675" t="n">
        <v>0</v>
      </c>
      <c r="N675" t="n">
        <v>0</v>
      </c>
      <c r="O675" t="n">
        <v>0</v>
      </c>
      <c r="P675" t="n">
        <v>0</v>
      </c>
      <c r="Q675" t="n">
        <v>0</v>
      </c>
      <c r="R675" s="2" t="inlineStr"/>
    </row>
    <row r="676" ht="15" customHeight="1">
      <c r="A676" t="inlineStr">
        <is>
          <t>A 33486-2023</t>
        </is>
      </c>
      <c r="B676" s="1" t="n">
        <v>45131</v>
      </c>
      <c r="C676" s="1" t="n">
        <v>45718</v>
      </c>
      <c r="D676" t="inlineStr">
        <is>
          <t>DALARNAS LÄN</t>
        </is>
      </c>
      <c r="E676" t="inlineStr">
        <is>
          <t>SMEDJEBACKEN</t>
        </is>
      </c>
      <c r="G676" t="n">
        <v>0.8</v>
      </c>
      <c r="H676" t="n">
        <v>0</v>
      </c>
      <c r="I676" t="n">
        <v>0</v>
      </c>
      <c r="J676" t="n">
        <v>0</v>
      </c>
      <c r="K676" t="n">
        <v>0</v>
      </c>
      <c r="L676" t="n">
        <v>0</v>
      </c>
      <c r="M676" t="n">
        <v>0</v>
      </c>
      <c r="N676" t="n">
        <v>0</v>
      </c>
      <c r="O676" t="n">
        <v>0</v>
      </c>
      <c r="P676" t="n">
        <v>0</v>
      </c>
      <c r="Q676" t="n">
        <v>0</v>
      </c>
      <c r="R676" s="2" t="inlineStr"/>
    </row>
    <row r="677" ht="15" customHeight="1">
      <c r="A677" t="inlineStr">
        <is>
          <t>A 34568-2023</t>
        </is>
      </c>
      <c r="B677" s="1" t="n">
        <v>45140</v>
      </c>
      <c r="C677" s="1" t="n">
        <v>45718</v>
      </c>
      <c r="D677" t="inlineStr">
        <is>
          <t>DALARNAS LÄN</t>
        </is>
      </c>
      <c r="E677" t="inlineStr">
        <is>
          <t>SMEDJEBACKEN</t>
        </is>
      </c>
      <c r="G677" t="n">
        <v>10.6</v>
      </c>
      <c r="H677" t="n">
        <v>0</v>
      </c>
      <c r="I677" t="n">
        <v>0</v>
      </c>
      <c r="J677" t="n">
        <v>0</v>
      </c>
      <c r="K677" t="n">
        <v>0</v>
      </c>
      <c r="L677" t="n">
        <v>0</v>
      </c>
      <c r="M677" t="n">
        <v>0</v>
      </c>
      <c r="N677" t="n">
        <v>0</v>
      </c>
      <c r="O677" t="n">
        <v>0</v>
      </c>
      <c r="P677" t="n">
        <v>0</v>
      </c>
      <c r="Q677" t="n">
        <v>0</v>
      </c>
      <c r="R677" s="2" t="inlineStr"/>
    </row>
    <row r="678" ht="15" customHeight="1">
      <c r="A678" t="inlineStr">
        <is>
          <t>A 34673-2023</t>
        </is>
      </c>
      <c r="B678" s="1" t="n">
        <v>45140</v>
      </c>
      <c r="C678" s="1" t="n">
        <v>45718</v>
      </c>
      <c r="D678" t="inlineStr">
        <is>
          <t>DALARNAS LÄN</t>
        </is>
      </c>
      <c r="E678" t="inlineStr">
        <is>
          <t>SMEDJEBACKEN</t>
        </is>
      </c>
      <c r="G678" t="n">
        <v>10</v>
      </c>
      <c r="H678" t="n">
        <v>0</v>
      </c>
      <c r="I678" t="n">
        <v>0</v>
      </c>
      <c r="J678" t="n">
        <v>0</v>
      </c>
      <c r="K678" t="n">
        <v>0</v>
      </c>
      <c r="L678" t="n">
        <v>0</v>
      </c>
      <c r="M678" t="n">
        <v>0</v>
      </c>
      <c r="N678" t="n">
        <v>0</v>
      </c>
      <c r="O678" t="n">
        <v>0</v>
      </c>
      <c r="P678" t="n">
        <v>0</v>
      </c>
      <c r="Q678" t="n">
        <v>0</v>
      </c>
      <c r="R678" s="2" t="inlineStr"/>
    </row>
    <row r="679" ht="15" customHeight="1">
      <c r="A679" t="inlineStr">
        <is>
          <t>A 35247-2023</t>
        </is>
      </c>
      <c r="B679" s="1" t="n">
        <v>45145</v>
      </c>
      <c r="C679" s="1" t="n">
        <v>45718</v>
      </c>
      <c r="D679" t="inlineStr">
        <is>
          <t>DALARNAS LÄN</t>
        </is>
      </c>
      <c r="E679" t="inlineStr">
        <is>
          <t>SMEDJEBACKEN</t>
        </is>
      </c>
      <c r="G679" t="n">
        <v>2.4</v>
      </c>
      <c r="H679" t="n">
        <v>0</v>
      </c>
      <c r="I679" t="n">
        <v>0</v>
      </c>
      <c r="J679" t="n">
        <v>0</v>
      </c>
      <c r="K679" t="n">
        <v>0</v>
      </c>
      <c r="L679" t="n">
        <v>0</v>
      </c>
      <c r="M679" t="n">
        <v>0</v>
      </c>
      <c r="N679" t="n">
        <v>0</v>
      </c>
      <c r="O679" t="n">
        <v>0</v>
      </c>
      <c r="P679" t="n">
        <v>0</v>
      </c>
      <c r="Q679" t="n">
        <v>0</v>
      </c>
      <c r="R679" s="2" t="inlineStr"/>
    </row>
    <row r="680" ht="15" customHeight="1">
      <c r="A680" t="inlineStr">
        <is>
          <t>A 35720-2023</t>
        </is>
      </c>
      <c r="B680" s="1" t="n">
        <v>45147</v>
      </c>
      <c r="C680" s="1" t="n">
        <v>45718</v>
      </c>
      <c r="D680" t="inlineStr">
        <is>
          <t>DALARNAS LÄN</t>
        </is>
      </c>
      <c r="E680" t="inlineStr">
        <is>
          <t>SMEDJEBACKEN</t>
        </is>
      </c>
      <c r="G680" t="n">
        <v>2.1</v>
      </c>
      <c r="H680" t="n">
        <v>0</v>
      </c>
      <c r="I680" t="n">
        <v>0</v>
      </c>
      <c r="J680" t="n">
        <v>0</v>
      </c>
      <c r="K680" t="n">
        <v>0</v>
      </c>
      <c r="L680" t="n">
        <v>0</v>
      </c>
      <c r="M680" t="n">
        <v>0</v>
      </c>
      <c r="N680" t="n">
        <v>0</v>
      </c>
      <c r="O680" t="n">
        <v>0</v>
      </c>
      <c r="P680" t="n">
        <v>0</v>
      </c>
      <c r="Q680" t="n">
        <v>0</v>
      </c>
      <c r="R680" s="2" t="inlineStr"/>
    </row>
    <row r="681" ht="15" customHeight="1">
      <c r="A681" t="inlineStr">
        <is>
          <t>A 36063-2023</t>
        </is>
      </c>
      <c r="B681" s="1" t="n">
        <v>45149</v>
      </c>
      <c r="C681" s="1" t="n">
        <v>45718</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36661-2023</t>
        </is>
      </c>
      <c r="B682" s="1" t="n">
        <v>45153</v>
      </c>
      <c r="C682" s="1" t="n">
        <v>45718</v>
      </c>
      <c r="D682" t="inlineStr">
        <is>
          <t>DALARNAS LÄN</t>
        </is>
      </c>
      <c r="E682" t="inlineStr">
        <is>
          <t>SMEDJEBACKEN</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36614-2023</t>
        </is>
      </c>
      <c r="B683" s="1" t="n">
        <v>45153</v>
      </c>
      <c r="C683" s="1" t="n">
        <v>45718</v>
      </c>
      <c r="D683" t="inlineStr">
        <is>
          <t>DALARNAS LÄN</t>
        </is>
      </c>
      <c r="E683" t="inlineStr">
        <is>
          <t>SMEDJEBACKEN</t>
        </is>
      </c>
      <c r="G683" t="n">
        <v>8</v>
      </c>
      <c r="H683" t="n">
        <v>0</v>
      </c>
      <c r="I683" t="n">
        <v>0</v>
      </c>
      <c r="J683" t="n">
        <v>0</v>
      </c>
      <c r="K683" t="n">
        <v>0</v>
      </c>
      <c r="L683" t="n">
        <v>0</v>
      </c>
      <c r="M683" t="n">
        <v>0</v>
      </c>
      <c r="N683" t="n">
        <v>0</v>
      </c>
      <c r="O683" t="n">
        <v>0</v>
      </c>
      <c r="P683" t="n">
        <v>0</v>
      </c>
      <c r="Q683" t="n">
        <v>0</v>
      </c>
      <c r="R683" s="2" t="inlineStr"/>
    </row>
    <row r="684" ht="15" customHeight="1">
      <c r="A684" t="inlineStr">
        <is>
          <t>A 36667-2023</t>
        </is>
      </c>
      <c r="B684" s="1" t="n">
        <v>45153</v>
      </c>
      <c r="C684" s="1" t="n">
        <v>45718</v>
      </c>
      <c r="D684" t="inlineStr">
        <is>
          <t>DALARNAS LÄN</t>
        </is>
      </c>
      <c r="E684" t="inlineStr">
        <is>
          <t>SMEDJEBACKEN</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37046-2023</t>
        </is>
      </c>
      <c r="B685" s="1" t="n">
        <v>45154</v>
      </c>
      <c r="C685" s="1" t="n">
        <v>45718</v>
      </c>
      <c r="D685" t="inlineStr">
        <is>
          <t>DALARNAS LÄN</t>
        </is>
      </c>
      <c r="E685" t="inlineStr">
        <is>
          <t>SMEDJEBACKEN</t>
        </is>
      </c>
      <c r="G685" t="n">
        <v>21.9</v>
      </c>
      <c r="H685" t="n">
        <v>0</v>
      </c>
      <c r="I685" t="n">
        <v>0</v>
      </c>
      <c r="J685" t="n">
        <v>0</v>
      </c>
      <c r="K685" t="n">
        <v>0</v>
      </c>
      <c r="L685" t="n">
        <v>0</v>
      </c>
      <c r="M685" t="n">
        <v>0</v>
      </c>
      <c r="N685" t="n">
        <v>0</v>
      </c>
      <c r="O685" t="n">
        <v>0</v>
      </c>
      <c r="P685" t="n">
        <v>0</v>
      </c>
      <c r="Q685" t="n">
        <v>0</v>
      </c>
      <c r="R685" s="2" t="inlineStr"/>
    </row>
    <row r="686" ht="15" customHeight="1">
      <c r="A686" t="inlineStr">
        <is>
          <t>A 37024-2023</t>
        </is>
      </c>
      <c r="B686" s="1" t="n">
        <v>45154</v>
      </c>
      <c r="C686" s="1" t="n">
        <v>45718</v>
      </c>
      <c r="D686" t="inlineStr">
        <is>
          <t>DALARNAS LÄN</t>
        </is>
      </c>
      <c r="E686" t="inlineStr">
        <is>
          <t>SMEDJEBACKEN</t>
        </is>
      </c>
      <c r="G686" t="n">
        <v>3.2</v>
      </c>
      <c r="H686" t="n">
        <v>0</v>
      </c>
      <c r="I686" t="n">
        <v>0</v>
      </c>
      <c r="J686" t="n">
        <v>0</v>
      </c>
      <c r="K686" t="n">
        <v>0</v>
      </c>
      <c r="L686" t="n">
        <v>0</v>
      </c>
      <c r="M686" t="n">
        <v>0</v>
      </c>
      <c r="N686" t="n">
        <v>0</v>
      </c>
      <c r="O686" t="n">
        <v>0</v>
      </c>
      <c r="P686" t="n">
        <v>0</v>
      </c>
      <c r="Q686" t="n">
        <v>0</v>
      </c>
      <c r="R686" s="2" t="inlineStr"/>
    </row>
    <row r="687" ht="15" customHeight="1">
      <c r="A687" t="inlineStr">
        <is>
          <t>A 37560-2023</t>
        </is>
      </c>
      <c r="B687" s="1" t="n">
        <v>45159</v>
      </c>
      <c r="C687" s="1" t="n">
        <v>45718</v>
      </c>
      <c r="D687" t="inlineStr">
        <is>
          <t>DALARNAS LÄN</t>
        </is>
      </c>
      <c r="E687" t="inlineStr">
        <is>
          <t>SMEDJEBACKEN</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37561-2023</t>
        </is>
      </c>
      <c r="B688" s="1" t="n">
        <v>45159</v>
      </c>
      <c r="C688" s="1" t="n">
        <v>45718</v>
      </c>
      <c r="D688" t="inlineStr">
        <is>
          <t>DALARNAS LÄN</t>
        </is>
      </c>
      <c r="E688" t="inlineStr">
        <is>
          <t>SMEDJEBACKEN</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38440-2023</t>
        </is>
      </c>
      <c r="B689" s="1" t="n">
        <v>45162</v>
      </c>
      <c r="C689" s="1" t="n">
        <v>45718</v>
      </c>
      <c r="D689" t="inlineStr">
        <is>
          <t>DALARNAS LÄN</t>
        </is>
      </c>
      <c r="E689" t="inlineStr">
        <is>
          <t>SMEDJEBACKEN</t>
        </is>
      </c>
      <c r="G689" t="n">
        <v>7.3</v>
      </c>
      <c r="H689" t="n">
        <v>0</v>
      </c>
      <c r="I689" t="n">
        <v>0</v>
      </c>
      <c r="J689" t="n">
        <v>0</v>
      </c>
      <c r="K689" t="n">
        <v>0</v>
      </c>
      <c r="L689" t="n">
        <v>0</v>
      </c>
      <c r="M689" t="n">
        <v>0</v>
      </c>
      <c r="N689" t="n">
        <v>0</v>
      </c>
      <c r="O689" t="n">
        <v>0</v>
      </c>
      <c r="P689" t="n">
        <v>0</v>
      </c>
      <c r="Q689" t="n">
        <v>0</v>
      </c>
      <c r="R689" s="2" t="inlineStr"/>
    </row>
    <row r="690" ht="15" customHeight="1">
      <c r="A690" t="inlineStr">
        <is>
          <t>A 38752-2023</t>
        </is>
      </c>
      <c r="B690" s="1" t="n">
        <v>45163</v>
      </c>
      <c r="C690" s="1" t="n">
        <v>45718</v>
      </c>
      <c r="D690" t="inlineStr">
        <is>
          <t>DALARNAS LÄN</t>
        </is>
      </c>
      <c r="E690" t="inlineStr">
        <is>
          <t>SMEDJEBACKEN</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38747-2023</t>
        </is>
      </c>
      <c r="B691" s="1" t="n">
        <v>45163</v>
      </c>
      <c r="C691" s="1" t="n">
        <v>45718</v>
      </c>
      <c r="D691" t="inlineStr">
        <is>
          <t>DALARNAS LÄN</t>
        </is>
      </c>
      <c r="E691" t="inlineStr">
        <is>
          <t>SMEDJEBACKEN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38751-2023</t>
        </is>
      </c>
      <c r="B692" s="1" t="n">
        <v>45163</v>
      </c>
      <c r="C692" s="1" t="n">
        <v>45718</v>
      </c>
      <c r="D692" t="inlineStr">
        <is>
          <t>DALARNAS LÄN</t>
        </is>
      </c>
      <c r="E692" t="inlineStr">
        <is>
          <t>SMEDJEBACKEN</t>
        </is>
      </c>
      <c r="F692" t="inlineStr">
        <is>
          <t>Sveaskog</t>
        </is>
      </c>
      <c r="G692" t="n">
        <v>13.9</v>
      </c>
      <c r="H692" t="n">
        <v>0</v>
      </c>
      <c r="I692" t="n">
        <v>0</v>
      </c>
      <c r="J692" t="n">
        <v>0</v>
      </c>
      <c r="K692" t="n">
        <v>0</v>
      </c>
      <c r="L692" t="n">
        <v>0</v>
      </c>
      <c r="M692" t="n">
        <v>0</v>
      </c>
      <c r="N692" t="n">
        <v>0</v>
      </c>
      <c r="O692" t="n">
        <v>0</v>
      </c>
      <c r="P692" t="n">
        <v>0</v>
      </c>
      <c r="Q692" t="n">
        <v>0</v>
      </c>
      <c r="R692" s="2" t="inlineStr"/>
    </row>
    <row r="693" ht="15" customHeight="1">
      <c r="A693" t="inlineStr">
        <is>
          <t>A 38746-2023</t>
        </is>
      </c>
      <c r="B693" s="1" t="n">
        <v>45163</v>
      </c>
      <c r="C693" s="1" t="n">
        <v>45718</v>
      </c>
      <c r="D693" t="inlineStr">
        <is>
          <t>DALARNAS LÄN</t>
        </is>
      </c>
      <c r="E693" t="inlineStr">
        <is>
          <t>SMEDJEBACKEN</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38766-2023</t>
        </is>
      </c>
      <c r="B694" s="1" t="n">
        <v>45163</v>
      </c>
      <c r="C694" s="1" t="n">
        <v>45718</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38770-2023</t>
        </is>
      </c>
      <c r="B695" s="1" t="n">
        <v>45163</v>
      </c>
      <c r="C695" s="1" t="n">
        <v>45718</v>
      </c>
      <c r="D695" t="inlineStr">
        <is>
          <t>DALARNAS LÄN</t>
        </is>
      </c>
      <c r="E695" t="inlineStr">
        <is>
          <t>SMEDJEBACKEN</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38767-2023</t>
        </is>
      </c>
      <c r="B696" s="1" t="n">
        <v>45163</v>
      </c>
      <c r="C696" s="1" t="n">
        <v>45718</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38771-2023</t>
        </is>
      </c>
      <c r="B697" s="1" t="n">
        <v>45163</v>
      </c>
      <c r="C697" s="1" t="n">
        <v>45718</v>
      </c>
      <c r="D697" t="inlineStr">
        <is>
          <t>DALARNAS LÄN</t>
        </is>
      </c>
      <c r="E697" t="inlineStr">
        <is>
          <t>SMEDJEBACKEN</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38765-2023</t>
        </is>
      </c>
      <c r="B698" s="1" t="n">
        <v>45163</v>
      </c>
      <c r="C698" s="1" t="n">
        <v>45718</v>
      </c>
      <c r="D698" t="inlineStr">
        <is>
          <t>DALARNAS LÄN</t>
        </is>
      </c>
      <c r="E698" t="inlineStr">
        <is>
          <t>SMEDJEBACKEN</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39758-2023</t>
        </is>
      </c>
      <c r="B699" s="1" t="n">
        <v>45167</v>
      </c>
      <c r="C699" s="1" t="n">
        <v>45718</v>
      </c>
      <c r="D699" t="inlineStr">
        <is>
          <t>DALARNAS LÄN</t>
        </is>
      </c>
      <c r="E699" t="inlineStr">
        <is>
          <t>SMEDJEBACKEN</t>
        </is>
      </c>
      <c r="F699" t="inlineStr">
        <is>
          <t>Övriga Aktiebolag</t>
        </is>
      </c>
      <c r="G699" t="n">
        <v>6.6</v>
      </c>
      <c r="H699" t="n">
        <v>0</v>
      </c>
      <c r="I699" t="n">
        <v>0</v>
      </c>
      <c r="J699" t="n">
        <v>0</v>
      </c>
      <c r="K699" t="n">
        <v>0</v>
      </c>
      <c r="L699" t="n">
        <v>0</v>
      </c>
      <c r="M699" t="n">
        <v>0</v>
      </c>
      <c r="N699" t="n">
        <v>0</v>
      </c>
      <c r="O699" t="n">
        <v>0</v>
      </c>
      <c r="P699" t="n">
        <v>0</v>
      </c>
      <c r="Q699" t="n">
        <v>0</v>
      </c>
      <c r="R699" s="2" t="inlineStr"/>
    </row>
    <row r="700" ht="15" customHeight="1">
      <c r="A700" t="inlineStr">
        <is>
          <t>A 40576-2023</t>
        </is>
      </c>
      <c r="B700" s="1" t="n">
        <v>45170</v>
      </c>
      <c r="C700" s="1" t="n">
        <v>45718</v>
      </c>
      <c r="D700" t="inlineStr">
        <is>
          <t>DALARNAS LÄN</t>
        </is>
      </c>
      <c r="E700" t="inlineStr">
        <is>
          <t>SMEDJEBACKEN</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40591-2023</t>
        </is>
      </c>
      <c r="B701" s="1" t="n">
        <v>45170</v>
      </c>
      <c r="C701" s="1" t="n">
        <v>45718</v>
      </c>
      <c r="D701" t="inlineStr">
        <is>
          <t>DALARNAS LÄN</t>
        </is>
      </c>
      <c r="E701" t="inlineStr">
        <is>
          <t>SMEDJEBACKEN</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40571-2023</t>
        </is>
      </c>
      <c r="B702" s="1" t="n">
        <v>45170</v>
      </c>
      <c r="C702" s="1" t="n">
        <v>45718</v>
      </c>
      <c r="D702" t="inlineStr">
        <is>
          <t>DALARNAS LÄN</t>
        </is>
      </c>
      <c r="E702" t="inlineStr">
        <is>
          <t>SMEDJEBACKEN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40587-2023</t>
        </is>
      </c>
      <c r="B703" s="1" t="n">
        <v>45170</v>
      </c>
      <c r="C703" s="1" t="n">
        <v>45718</v>
      </c>
      <c r="D703" t="inlineStr">
        <is>
          <t>DALARNAS LÄN</t>
        </is>
      </c>
      <c r="E703" t="inlineStr">
        <is>
          <t>SMEDJEBACKEN</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41504-2023</t>
        </is>
      </c>
      <c r="B704" s="1" t="n">
        <v>45172</v>
      </c>
      <c r="C704" s="1" t="n">
        <v>45718</v>
      </c>
      <c r="D704" t="inlineStr">
        <is>
          <t>DALARNAS LÄN</t>
        </is>
      </c>
      <c r="E704" t="inlineStr">
        <is>
          <t>SMEDJEBACKEN</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41517-2023</t>
        </is>
      </c>
      <c r="B705" s="1" t="n">
        <v>45172</v>
      </c>
      <c r="C705" s="1" t="n">
        <v>45718</v>
      </c>
      <c r="D705" t="inlineStr">
        <is>
          <t>DALARNAS LÄN</t>
        </is>
      </c>
      <c r="E705" t="inlineStr">
        <is>
          <t>SMEDJEBACKEN</t>
        </is>
      </c>
      <c r="F705" t="inlineStr">
        <is>
          <t>Bergvik skog väst AB</t>
        </is>
      </c>
      <c r="G705" t="n">
        <v>7.3</v>
      </c>
      <c r="H705" t="n">
        <v>0</v>
      </c>
      <c r="I705" t="n">
        <v>0</v>
      </c>
      <c r="J705" t="n">
        <v>0</v>
      </c>
      <c r="K705" t="n">
        <v>0</v>
      </c>
      <c r="L705" t="n">
        <v>0</v>
      </c>
      <c r="M705" t="n">
        <v>0</v>
      </c>
      <c r="N705" t="n">
        <v>0</v>
      </c>
      <c r="O705" t="n">
        <v>0</v>
      </c>
      <c r="P705" t="n">
        <v>0</v>
      </c>
      <c r="Q705" t="n">
        <v>0</v>
      </c>
      <c r="R705" s="2" t="inlineStr"/>
    </row>
    <row r="706" ht="15" customHeight="1">
      <c r="A706" t="inlineStr">
        <is>
          <t>A 41480-2023</t>
        </is>
      </c>
      <c r="B706" s="1" t="n">
        <v>45172</v>
      </c>
      <c r="C706" s="1" t="n">
        <v>45718</v>
      </c>
      <c r="D706" t="inlineStr">
        <is>
          <t>DALARNAS LÄN</t>
        </is>
      </c>
      <c r="E706" t="inlineStr">
        <is>
          <t>SMEDJEBACKEN</t>
        </is>
      </c>
      <c r="F706" t="inlineStr">
        <is>
          <t>Bergvik skog väst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41500-2023</t>
        </is>
      </c>
      <c r="B707" s="1" t="n">
        <v>45172</v>
      </c>
      <c r="C707" s="1" t="n">
        <v>45718</v>
      </c>
      <c r="D707" t="inlineStr">
        <is>
          <t>DALARNAS LÄN</t>
        </is>
      </c>
      <c r="E707" t="inlineStr">
        <is>
          <t>SMEDJEBACKEN</t>
        </is>
      </c>
      <c r="F707" t="inlineStr">
        <is>
          <t>Bergvik skog väst AB</t>
        </is>
      </c>
      <c r="G707" t="n">
        <v>9.6</v>
      </c>
      <c r="H707" t="n">
        <v>0</v>
      </c>
      <c r="I707" t="n">
        <v>0</v>
      </c>
      <c r="J707" t="n">
        <v>0</v>
      </c>
      <c r="K707" t="n">
        <v>0</v>
      </c>
      <c r="L707" t="n">
        <v>0</v>
      </c>
      <c r="M707" t="n">
        <v>0</v>
      </c>
      <c r="N707" t="n">
        <v>0</v>
      </c>
      <c r="O707" t="n">
        <v>0</v>
      </c>
      <c r="P707" t="n">
        <v>0</v>
      </c>
      <c r="Q707" t="n">
        <v>0</v>
      </c>
      <c r="R707" s="2" t="inlineStr"/>
    </row>
    <row r="708" ht="15" customHeight="1">
      <c r="A708" t="inlineStr">
        <is>
          <t>A 41509-2023</t>
        </is>
      </c>
      <c r="B708" s="1" t="n">
        <v>45172</v>
      </c>
      <c r="C708" s="1" t="n">
        <v>45718</v>
      </c>
      <c r="D708" t="inlineStr">
        <is>
          <t>DALARNAS LÄN</t>
        </is>
      </c>
      <c r="E708" t="inlineStr">
        <is>
          <t>SMEDJEBACKEN</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40870-2023</t>
        </is>
      </c>
      <c r="B709" s="1" t="n">
        <v>45173</v>
      </c>
      <c r="C709" s="1" t="n">
        <v>45718</v>
      </c>
      <c r="D709" t="inlineStr">
        <is>
          <t>DALARNAS LÄN</t>
        </is>
      </c>
      <c r="E709" t="inlineStr">
        <is>
          <t>SMEDJEBACKEN</t>
        </is>
      </c>
      <c r="G709" t="n">
        <v>1.5</v>
      </c>
      <c r="H709" t="n">
        <v>0</v>
      </c>
      <c r="I709" t="n">
        <v>0</v>
      </c>
      <c r="J709" t="n">
        <v>0</v>
      </c>
      <c r="K709" t="n">
        <v>0</v>
      </c>
      <c r="L709" t="n">
        <v>0</v>
      </c>
      <c r="M709" t="n">
        <v>0</v>
      </c>
      <c r="N709" t="n">
        <v>0</v>
      </c>
      <c r="O709" t="n">
        <v>0</v>
      </c>
      <c r="P709" t="n">
        <v>0</v>
      </c>
      <c r="Q709" t="n">
        <v>0</v>
      </c>
      <c r="R709" s="2" t="inlineStr"/>
    </row>
    <row r="710" ht="15" customHeight="1">
      <c r="A710" t="inlineStr">
        <is>
          <t>A 40861-2023</t>
        </is>
      </c>
      <c r="B710" s="1" t="n">
        <v>45173</v>
      </c>
      <c r="C710" s="1" t="n">
        <v>45718</v>
      </c>
      <c r="D710" t="inlineStr">
        <is>
          <t>DALARNAS LÄN</t>
        </is>
      </c>
      <c r="E710" t="inlineStr">
        <is>
          <t>SMEDJEBACKEN</t>
        </is>
      </c>
      <c r="G710" t="n">
        <v>1.8</v>
      </c>
      <c r="H710" t="n">
        <v>0</v>
      </c>
      <c r="I710" t="n">
        <v>0</v>
      </c>
      <c r="J710" t="n">
        <v>0</v>
      </c>
      <c r="K710" t="n">
        <v>0</v>
      </c>
      <c r="L710" t="n">
        <v>0</v>
      </c>
      <c r="M710" t="n">
        <v>0</v>
      </c>
      <c r="N710" t="n">
        <v>0</v>
      </c>
      <c r="O710" t="n">
        <v>0</v>
      </c>
      <c r="P710" t="n">
        <v>0</v>
      </c>
      <c r="Q710" t="n">
        <v>0</v>
      </c>
      <c r="R710" s="2" t="inlineStr"/>
    </row>
    <row r="711" ht="15" customHeight="1">
      <c r="A711" t="inlineStr">
        <is>
          <t>A 41569-2023</t>
        </is>
      </c>
      <c r="B711" s="1" t="n">
        <v>45175</v>
      </c>
      <c r="C711" s="1" t="n">
        <v>45718</v>
      </c>
      <c r="D711" t="inlineStr">
        <is>
          <t>DALARNAS LÄN</t>
        </is>
      </c>
      <c r="E711" t="inlineStr">
        <is>
          <t>SMEDJEBACKEN</t>
        </is>
      </c>
      <c r="G711" t="n">
        <v>2.5</v>
      </c>
      <c r="H711" t="n">
        <v>0</v>
      </c>
      <c r="I711" t="n">
        <v>0</v>
      </c>
      <c r="J711" t="n">
        <v>0</v>
      </c>
      <c r="K711" t="n">
        <v>0</v>
      </c>
      <c r="L711" t="n">
        <v>0</v>
      </c>
      <c r="M711" t="n">
        <v>0</v>
      </c>
      <c r="N711" t="n">
        <v>0</v>
      </c>
      <c r="O711" t="n">
        <v>0</v>
      </c>
      <c r="P711" t="n">
        <v>0</v>
      </c>
      <c r="Q711" t="n">
        <v>0</v>
      </c>
      <c r="R711" s="2" t="inlineStr"/>
    </row>
    <row r="712" ht="15" customHeight="1">
      <c r="A712" t="inlineStr">
        <is>
          <t>A 42121-2023</t>
        </is>
      </c>
      <c r="B712" s="1" t="n">
        <v>45177</v>
      </c>
      <c r="C712" s="1" t="n">
        <v>45718</v>
      </c>
      <c r="D712" t="inlineStr">
        <is>
          <t>DALARNAS LÄN</t>
        </is>
      </c>
      <c r="E712" t="inlineStr">
        <is>
          <t>SMEDJEBACKEN</t>
        </is>
      </c>
      <c r="F712" t="inlineStr">
        <is>
          <t>Övriga Aktiebolag</t>
        </is>
      </c>
      <c r="G712" t="n">
        <v>9</v>
      </c>
      <c r="H712" t="n">
        <v>0</v>
      </c>
      <c r="I712" t="n">
        <v>0</v>
      </c>
      <c r="J712" t="n">
        <v>0</v>
      </c>
      <c r="K712" t="n">
        <v>0</v>
      </c>
      <c r="L712" t="n">
        <v>0</v>
      </c>
      <c r="M712" t="n">
        <v>0</v>
      </c>
      <c r="N712" t="n">
        <v>0</v>
      </c>
      <c r="O712" t="n">
        <v>0</v>
      </c>
      <c r="P712" t="n">
        <v>0</v>
      </c>
      <c r="Q712" t="n">
        <v>0</v>
      </c>
      <c r="R712" s="2" t="inlineStr"/>
    </row>
    <row r="713" ht="15" customHeight="1">
      <c r="A713" t="inlineStr">
        <is>
          <t>A 42746-2023</t>
        </is>
      </c>
      <c r="B713" s="1" t="n">
        <v>45177</v>
      </c>
      <c r="C713" s="1" t="n">
        <v>45718</v>
      </c>
      <c r="D713" t="inlineStr">
        <is>
          <t>DALARNAS LÄN</t>
        </is>
      </c>
      <c r="E713" t="inlineStr">
        <is>
          <t>SMEDJEBACKEN</t>
        </is>
      </c>
      <c r="G713" t="n">
        <v>0.9</v>
      </c>
      <c r="H713" t="n">
        <v>0</v>
      </c>
      <c r="I713" t="n">
        <v>0</v>
      </c>
      <c r="J713" t="n">
        <v>0</v>
      </c>
      <c r="K713" t="n">
        <v>0</v>
      </c>
      <c r="L713" t="n">
        <v>0</v>
      </c>
      <c r="M713" t="n">
        <v>0</v>
      </c>
      <c r="N713" t="n">
        <v>0</v>
      </c>
      <c r="O713" t="n">
        <v>0</v>
      </c>
      <c r="P713" t="n">
        <v>0</v>
      </c>
      <c r="Q713" t="n">
        <v>0</v>
      </c>
      <c r="R713" s="2" t="inlineStr"/>
    </row>
    <row r="714" ht="15" customHeight="1">
      <c r="A714" t="inlineStr">
        <is>
          <t>A 42225-2023</t>
        </is>
      </c>
      <c r="B714" s="1" t="n">
        <v>45180</v>
      </c>
      <c r="C714" s="1" t="n">
        <v>45718</v>
      </c>
      <c r="D714" t="inlineStr">
        <is>
          <t>DALARNAS LÄN</t>
        </is>
      </c>
      <c r="E714" t="inlineStr">
        <is>
          <t>SMEDJEBACKEN</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42226-2023</t>
        </is>
      </c>
      <c r="B715" s="1" t="n">
        <v>45180</v>
      </c>
      <c r="C715" s="1" t="n">
        <v>45718</v>
      </c>
      <c r="D715" t="inlineStr">
        <is>
          <t>DALARNAS LÄN</t>
        </is>
      </c>
      <c r="E715" t="inlineStr">
        <is>
          <t>SMEDJEBACKEN</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42223-2023</t>
        </is>
      </c>
      <c r="B716" s="1" t="n">
        <v>45180</v>
      </c>
      <c r="C716" s="1" t="n">
        <v>45718</v>
      </c>
      <c r="D716" t="inlineStr">
        <is>
          <t>DALARNAS LÄN</t>
        </is>
      </c>
      <c r="E716" t="inlineStr">
        <is>
          <t>SMEDJEBACKEN</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42224-2023</t>
        </is>
      </c>
      <c r="B717" s="1" t="n">
        <v>45180</v>
      </c>
      <c r="C717" s="1" t="n">
        <v>45718</v>
      </c>
      <c r="D717" t="inlineStr">
        <is>
          <t>DALARNAS LÄN</t>
        </is>
      </c>
      <c r="E717" t="inlineStr">
        <is>
          <t>SMEDJEBACKEN</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42906-2023</t>
        </is>
      </c>
      <c r="B718" s="1" t="n">
        <v>45182</v>
      </c>
      <c r="C718" s="1" t="n">
        <v>45718</v>
      </c>
      <c r="D718" t="inlineStr">
        <is>
          <t>DALARNAS LÄN</t>
        </is>
      </c>
      <c r="E718" t="inlineStr">
        <is>
          <t>SMEDJEBACKEN</t>
        </is>
      </c>
      <c r="F718" t="inlineStr">
        <is>
          <t>Bergvik skog väst AB</t>
        </is>
      </c>
      <c r="G718" t="n">
        <v>11.6</v>
      </c>
      <c r="H718" t="n">
        <v>0</v>
      </c>
      <c r="I718" t="n">
        <v>0</v>
      </c>
      <c r="J718" t="n">
        <v>0</v>
      </c>
      <c r="K718" t="n">
        <v>0</v>
      </c>
      <c r="L718" t="n">
        <v>0</v>
      </c>
      <c r="M718" t="n">
        <v>0</v>
      </c>
      <c r="N718" t="n">
        <v>0</v>
      </c>
      <c r="O718" t="n">
        <v>0</v>
      </c>
      <c r="P718" t="n">
        <v>0</v>
      </c>
      <c r="Q718" t="n">
        <v>0</v>
      </c>
      <c r="R718" s="2" t="inlineStr"/>
    </row>
    <row r="719" ht="15" customHeight="1">
      <c r="A719" t="inlineStr">
        <is>
          <t>A 43462-2023</t>
        </is>
      </c>
      <c r="B719" s="1" t="n">
        <v>45184</v>
      </c>
      <c r="C719" s="1" t="n">
        <v>45718</v>
      </c>
      <c r="D719" t="inlineStr">
        <is>
          <t>DALARNAS LÄN</t>
        </is>
      </c>
      <c r="E719" t="inlineStr">
        <is>
          <t>SMEDJEBACKEN</t>
        </is>
      </c>
      <c r="F719" t="inlineStr">
        <is>
          <t>Sveaskog</t>
        </is>
      </c>
      <c r="G719" t="n">
        <v>4</v>
      </c>
      <c r="H719" t="n">
        <v>0</v>
      </c>
      <c r="I719" t="n">
        <v>0</v>
      </c>
      <c r="J719" t="n">
        <v>0</v>
      </c>
      <c r="K719" t="n">
        <v>0</v>
      </c>
      <c r="L719" t="n">
        <v>0</v>
      </c>
      <c r="M719" t="n">
        <v>0</v>
      </c>
      <c r="N719" t="n">
        <v>0</v>
      </c>
      <c r="O719" t="n">
        <v>0</v>
      </c>
      <c r="P719" t="n">
        <v>0</v>
      </c>
      <c r="Q719" t="n">
        <v>0</v>
      </c>
      <c r="R719" s="2" t="inlineStr"/>
    </row>
    <row r="720" ht="15" customHeight="1">
      <c r="A720" t="inlineStr">
        <is>
          <t>A 43466-2023</t>
        </is>
      </c>
      <c r="B720" s="1" t="n">
        <v>45184</v>
      </c>
      <c r="C720" s="1" t="n">
        <v>45718</v>
      </c>
      <c r="D720" t="inlineStr">
        <is>
          <t>DALARNAS LÄN</t>
        </is>
      </c>
      <c r="E720" t="inlineStr">
        <is>
          <t>SMEDJEBACKEN</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43463-2023</t>
        </is>
      </c>
      <c r="B721" s="1" t="n">
        <v>45184</v>
      </c>
      <c r="C721" s="1" t="n">
        <v>45718</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43467-2023</t>
        </is>
      </c>
      <c r="B722" s="1" t="n">
        <v>45184</v>
      </c>
      <c r="C722" s="1" t="n">
        <v>45718</v>
      </c>
      <c r="D722" t="inlineStr">
        <is>
          <t>DALARNAS LÄN</t>
        </is>
      </c>
      <c r="E722" t="inlineStr">
        <is>
          <t>SMEDJEBACKEN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43464-2023</t>
        </is>
      </c>
      <c r="B723" s="1" t="n">
        <v>45184</v>
      </c>
      <c r="C723" s="1" t="n">
        <v>45718</v>
      </c>
      <c r="D723" t="inlineStr">
        <is>
          <t>DALARNAS LÄN</t>
        </is>
      </c>
      <c r="E723" t="inlineStr">
        <is>
          <t>SMEDJEBACKEN</t>
        </is>
      </c>
      <c r="F723" t="inlineStr">
        <is>
          <t>Sveaskog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44018-2023</t>
        </is>
      </c>
      <c r="B724" s="1" t="n">
        <v>45188</v>
      </c>
      <c r="C724" s="1" t="n">
        <v>45718</v>
      </c>
      <c r="D724" t="inlineStr">
        <is>
          <t>DALARNAS LÄN</t>
        </is>
      </c>
      <c r="E724" t="inlineStr">
        <is>
          <t>SMEDJEBACKEN</t>
        </is>
      </c>
      <c r="F724" t="inlineStr">
        <is>
          <t>Bergvik skog väst AB</t>
        </is>
      </c>
      <c r="G724" t="n">
        <v>3.5</v>
      </c>
      <c r="H724" t="n">
        <v>0</v>
      </c>
      <c r="I724" t="n">
        <v>0</v>
      </c>
      <c r="J724" t="n">
        <v>0</v>
      </c>
      <c r="K724" t="n">
        <v>0</v>
      </c>
      <c r="L724" t="n">
        <v>0</v>
      </c>
      <c r="M724" t="n">
        <v>0</v>
      </c>
      <c r="N724" t="n">
        <v>0</v>
      </c>
      <c r="O724" t="n">
        <v>0</v>
      </c>
      <c r="P724" t="n">
        <v>0</v>
      </c>
      <c r="Q724" t="n">
        <v>0</v>
      </c>
      <c r="R724" s="2" t="inlineStr"/>
    </row>
    <row r="725" ht="15" customHeight="1">
      <c r="A725" t="inlineStr">
        <is>
          <t>A 44034-2023</t>
        </is>
      </c>
      <c r="B725" s="1" t="n">
        <v>45188</v>
      </c>
      <c r="C725" s="1" t="n">
        <v>45718</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44116-2023</t>
        </is>
      </c>
      <c r="B726" s="1" t="n">
        <v>45188</v>
      </c>
      <c r="C726" s="1" t="n">
        <v>45718</v>
      </c>
      <c r="D726" t="inlineStr">
        <is>
          <t>DALARNAS LÄN</t>
        </is>
      </c>
      <c r="E726" t="inlineStr">
        <is>
          <t>SMEDJEBACKEN</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45114-2023</t>
        </is>
      </c>
      <c r="B727" s="1" t="n">
        <v>45191</v>
      </c>
      <c r="C727" s="1" t="n">
        <v>45718</v>
      </c>
      <c r="D727" t="inlineStr">
        <is>
          <t>DALARNAS LÄN</t>
        </is>
      </c>
      <c r="E727" t="inlineStr">
        <is>
          <t>SMEDJEBACKEN</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45310-2023</t>
        </is>
      </c>
      <c r="B728" s="1" t="n">
        <v>45191</v>
      </c>
      <c r="C728" s="1" t="n">
        <v>45718</v>
      </c>
      <c r="D728" t="inlineStr">
        <is>
          <t>DALARNAS LÄN</t>
        </is>
      </c>
      <c r="E728" t="inlineStr">
        <is>
          <t>SMEDJEBACKEN</t>
        </is>
      </c>
      <c r="F728" t="inlineStr">
        <is>
          <t>Bergvik skog väst AB</t>
        </is>
      </c>
      <c r="G728" t="n">
        <v>9.1</v>
      </c>
      <c r="H728" t="n">
        <v>0</v>
      </c>
      <c r="I728" t="n">
        <v>0</v>
      </c>
      <c r="J728" t="n">
        <v>0</v>
      </c>
      <c r="K728" t="n">
        <v>0</v>
      </c>
      <c r="L728" t="n">
        <v>0</v>
      </c>
      <c r="M728" t="n">
        <v>0</v>
      </c>
      <c r="N728" t="n">
        <v>0</v>
      </c>
      <c r="O728" t="n">
        <v>0</v>
      </c>
      <c r="P728" t="n">
        <v>0</v>
      </c>
      <c r="Q728" t="n">
        <v>0</v>
      </c>
      <c r="R728" s="2" t="inlineStr"/>
    </row>
    <row r="729" ht="15" customHeight="1">
      <c r="A729" t="inlineStr">
        <is>
          <t>A 45372-2023</t>
        </is>
      </c>
      <c r="B729" s="1" t="n">
        <v>45193</v>
      </c>
      <c r="C729" s="1" t="n">
        <v>45718</v>
      </c>
      <c r="D729" t="inlineStr">
        <is>
          <t>DALARNAS LÄN</t>
        </is>
      </c>
      <c r="E729" t="inlineStr">
        <is>
          <t>SMEDJEBACKEN</t>
        </is>
      </c>
      <c r="F729" t="inlineStr">
        <is>
          <t>Sveaskog</t>
        </is>
      </c>
      <c r="G729" t="n">
        <v>4.9</v>
      </c>
      <c r="H729" t="n">
        <v>0</v>
      </c>
      <c r="I729" t="n">
        <v>0</v>
      </c>
      <c r="J729" t="n">
        <v>0</v>
      </c>
      <c r="K729" t="n">
        <v>0</v>
      </c>
      <c r="L729" t="n">
        <v>0</v>
      </c>
      <c r="M729" t="n">
        <v>0</v>
      </c>
      <c r="N729" t="n">
        <v>0</v>
      </c>
      <c r="O729" t="n">
        <v>0</v>
      </c>
      <c r="P729" t="n">
        <v>0</v>
      </c>
      <c r="Q729" t="n">
        <v>0</v>
      </c>
      <c r="R729" s="2" t="inlineStr"/>
    </row>
    <row r="730" ht="15" customHeight="1">
      <c r="A730" t="inlineStr">
        <is>
          <t>A 45371-2023</t>
        </is>
      </c>
      <c r="B730" s="1" t="n">
        <v>45193</v>
      </c>
      <c r="C730" s="1" t="n">
        <v>45718</v>
      </c>
      <c r="D730" t="inlineStr">
        <is>
          <t>DALARNAS LÄN</t>
        </is>
      </c>
      <c r="E730" t="inlineStr">
        <is>
          <t>SMEDJEBACKEN</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45373-2023</t>
        </is>
      </c>
      <c r="B731" s="1" t="n">
        <v>45193</v>
      </c>
      <c r="C731" s="1" t="n">
        <v>45718</v>
      </c>
      <c r="D731" t="inlineStr">
        <is>
          <t>DALARNAS LÄN</t>
        </is>
      </c>
      <c r="E731" t="inlineStr">
        <is>
          <t>SMEDJEBACKEN</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46750-2023</t>
        </is>
      </c>
      <c r="B732" s="1" t="n">
        <v>45198</v>
      </c>
      <c r="C732" s="1" t="n">
        <v>45718</v>
      </c>
      <c r="D732" t="inlineStr">
        <is>
          <t>DALARNAS LÄN</t>
        </is>
      </c>
      <c r="E732" t="inlineStr">
        <is>
          <t>SMEDJEBACKEN</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46754-2023</t>
        </is>
      </c>
      <c r="B733" s="1" t="n">
        <v>45198</v>
      </c>
      <c r="C733" s="1" t="n">
        <v>45718</v>
      </c>
      <c r="D733" t="inlineStr">
        <is>
          <t>DALARNAS LÄN</t>
        </is>
      </c>
      <c r="E733" t="inlineStr">
        <is>
          <t>SMEDJEBACKEN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46771-2023</t>
        </is>
      </c>
      <c r="B734" s="1" t="n">
        <v>45198</v>
      </c>
      <c r="C734" s="1" t="n">
        <v>45718</v>
      </c>
      <c r="D734" t="inlineStr">
        <is>
          <t>DALARNAS LÄN</t>
        </is>
      </c>
      <c r="E734" t="inlineStr">
        <is>
          <t>SMEDJEBACKEN</t>
        </is>
      </c>
      <c r="F734" t="inlineStr">
        <is>
          <t>Bergvik skog väst AB</t>
        </is>
      </c>
      <c r="G734" t="n">
        <v>2.2</v>
      </c>
      <c r="H734" t="n">
        <v>0</v>
      </c>
      <c r="I734" t="n">
        <v>0</v>
      </c>
      <c r="J734" t="n">
        <v>0</v>
      </c>
      <c r="K734" t="n">
        <v>0</v>
      </c>
      <c r="L734" t="n">
        <v>0</v>
      </c>
      <c r="M734" t="n">
        <v>0</v>
      </c>
      <c r="N734" t="n">
        <v>0</v>
      </c>
      <c r="O734" t="n">
        <v>0</v>
      </c>
      <c r="P734" t="n">
        <v>0</v>
      </c>
      <c r="Q734" t="n">
        <v>0</v>
      </c>
      <c r="R734" s="2" t="inlineStr"/>
    </row>
    <row r="735" ht="15" customHeight="1">
      <c r="A735" t="inlineStr">
        <is>
          <t>A 46768-2023</t>
        </is>
      </c>
      <c r="B735" s="1" t="n">
        <v>45198</v>
      </c>
      <c r="C735" s="1" t="n">
        <v>45718</v>
      </c>
      <c r="D735" t="inlineStr">
        <is>
          <t>DALARNAS LÄN</t>
        </is>
      </c>
      <c r="E735" t="inlineStr">
        <is>
          <t>SMEDJEBACKEN</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46769-2023</t>
        </is>
      </c>
      <c r="B736" s="1" t="n">
        <v>45198</v>
      </c>
      <c r="C736" s="1" t="n">
        <v>45718</v>
      </c>
      <c r="D736" t="inlineStr">
        <is>
          <t>DALARNAS LÄN</t>
        </is>
      </c>
      <c r="E736" t="inlineStr">
        <is>
          <t>SMEDJEBACKEN</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46786-2023</t>
        </is>
      </c>
      <c r="B737" s="1" t="n">
        <v>45198</v>
      </c>
      <c r="C737" s="1" t="n">
        <v>45718</v>
      </c>
      <c r="D737" t="inlineStr">
        <is>
          <t>DALARNAS LÄN</t>
        </is>
      </c>
      <c r="E737" t="inlineStr">
        <is>
          <t>SMEDJEBACKEN</t>
        </is>
      </c>
      <c r="F737" t="inlineStr">
        <is>
          <t>Bergvik skog väst AB</t>
        </is>
      </c>
      <c r="G737" t="n">
        <v>2.6</v>
      </c>
      <c r="H737" t="n">
        <v>0</v>
      </c>
      <c r="I737" t="n">
        <v>0</v>
      </c>
      <c r="J737" t="n">
        <v>0</v>
      </c>
      <c r="K737" t="n">
        <v>0</v>
      </c>
      <c r="L737" t="n">
        <v>0</v>
      </c>
      <c r="M737" t="n">
        <v>0</v>
      </c>
      <c r="N737" t="n">
        <v>0</v>
      </c>
      <c r="O737" t="n">
        <v>0</v>
      </c>
      <c r="P737" t="n">
        <v>0</v>
      </c>
      <c r="Q737" t="n">
        <v>0</v>
      </c>
      <c r="R737" s="2" t="inlineStr"/>
    </row>
    <row r="738" ht="15" customHeight="1">
      <c r="A738" t="inlineStr">
        <is>
          <t>A 46756-2023</t>
        </is>
      </c>
      <c r="B738" s="1" t="n">
        <v>45198</v>
      </c>
      <c r="C738" s="1" t="n">
        <v>45718</v>
      </c>
      <c r="D738" t="inlineStr">
        <is>
          <t>DALARNAS LÄN</t>
        </is>
      </c>
      <c r="E738" t="inlineStr">
        <is>
          <t>SMEDJEBACKEN</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46894-2023</t>
        </is>
      </c>
      <c r="B739" s="1" t="n">
        <v>45201</v>
      </c>
      <c r="C739" s="1" t="n">
        <v>45718</v>
      </c>
      <c r="D739" t="inlineStr">
        <is>
          <t>DALARNAS LÄN</t>
        </is>
      </c>
      <c r="E739" t="inlineStr">
        <is>
          <t>SMEDJEBACKEN</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46898-2023</t>
        </is>
      </c>
      <c r="B740" s="1" t="n">
        <v>45201</v>
      </c>
      <c r="C740" s="1" t="n">
        <v>45718</v>
      </c>
      <c r="D740" t="inlineStr">
        <is>
          <t>DALARNAS LÄN</t>
        </is>
      </c>
      <c r="E740" t="inlineStr">
        <is>
          <t>SMEDJEBACKEN</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47686-2023</t>
        </is>
      </c>
      <c r="B741" s="1" t="n">
        <v>45203</v>
      </c>
      <c r="C741" s="1" t="n">
        <v>45718</v>
      </c>
      <c r="D741" t="inlineStr">
        <is>
          <t>DALARNAS LÄN</t>
        </is>
      </c>
      <c r="E741" t="inlineStr">
        <is>
          <t>SMEDJEBACKEN</t>
        </is>
      </c>
      <c r="F741" t="inlineStr">
        <is>
          <t>Övriga Aktiebolag</t>
        </is>
      </c>
      <c r="G741" t="n">
        <v>17.9</v>
      </c>
      <c r="H741" t="n">
        <v>0</v>
      </c>
      <c r="I741" t="n">
        <v>0</v>
      </c>
      <c r="J741" t="n">
        <v>0</v>
      </c>
      <c r="K741" t="n">
        <v>0</v>
      </c>
      <c r="L741" t="n">
        <v>0</v>
      </c>
      <c r="M741" t="n">
        <v>0</v>
      </c>
      <c r="N741" t="n">
        <v>0</v>
      </c>
      <c r="O741" t="n">
        <v>0</v>
      </c>
      <c r="P741" t="n">
        <v>0</v>
      </c>
      <c r="Q741" t="n">
        <v>0</v>
      </c>
      <c r="R741" s="2" t="inlineStr"/>
    </row>
    <row r="742" ht="15" customHeight="1">
      <c r="A742" t="inlineStr">
        <is>
          <t>A 48733-2023</t>
        </is>
      </c>
      <c r="B742" s="1" t="n">
        <v>45203</v>
      </c>
      <c r="C742" s="1" t="n">
        <v>45718</v>
      </c>
      <c r="D742" t="inlineStr">
        <is>
          <t>DALARNAS LÄN</t>
        </is>
      </c>
      <c r="E742" t="inlineStr">
        <is>
          <t>SMEDJEBACKEN</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48208-2023</t>
        </is>
      </c>
      <c r="B743" s="1" t="n">
        <v>45205</v>
      </c>
      <c r="C743" s="1" t="n">
        <v>45718</v>
      </c>
      <c r="D743" t="inlineStr">
        <is>
          <t>DALARNAS LÄN</t>
        </is>
      </c>
      <c r="E743" t="inlineStr">
        <is>
          <t>SMEDJEBACKEN</t>
        </is>
      </c>
      <c r="G743" t="n">
        <v>4.5</v>
      </c>
      <c r="H743" t="n">
        <v>0</v>
      </c>
      <c r="I743" t="n">
        <v>0</v>
      </c>
      <c r="J743" t="n">
        <v>0</v>
      </c>
      <c r="K743" t="n">
        <v>0</v>
      </c>
      <c r="L743" t="n">
        <v>0</v>
      </c>
      <c r="M743" t="n">
        <v>0</v>
      </c>
      <c r="N743" t="n">
        <v>0</v>
      </c>
      <c r="O743" t="n">
        <v>0</v>
      </c>
      <c r="P743" t="n">
        <v>0</v>
      </c>
      <c r="Q743" t="n">
        <v>0</v>
      </c>
      <c r="R743" s="2" t="inlineStr"/>
    </row>
    <row r="744" ht="15" customHeight="1">
      <c r="A744" t="inlineStr">
        <is>
          <t>A 48214-2023</t>
        </is>
      </c>
      <c r="B744" s="1" t="n">
        <v>45205</v>
      </c>
      <c r="C744" s="1" t="n">
        <v>45718</v>
      </c>
      <c r="D744" t="inlineStr">
        <is>
          <t>DALARNAS LÄN</t>
        </is>
      </c>
      <c r="E744" t="inlineStr">
        <is>
          <t>SMEDJEBACKEN</t>
        </is>
      </c>
      <c r="G744" t="n">
        <v>1.5</v>
      </c>
      <c r="H744" t="n">
        <v>0</v>
      </c>
      <c r="I744" t="n">
        <v>0</v>
      </c>
      <c r="J744" t="n">
        <v>0</v>
      </c>
      <c r="K744" t="n">
        <v>0</v>
      </c>
      <c r="L744" t="n">
        <v>0</v>
      </c>
      <c r="M744" t="n">
        <v>0</v>
      </c>
      <c r="N744" t="n">
        <v>0</v>
      </c>
      <c r="O744" t="n">
        <v>0</v>
      </c>
      <c r="P744" t="n">
        <v>0</v>
      </c>
      <c r="Q744" t="n">
        <v>0</v>
      </c>
      <c r="R744" s="2" t="inlineStr"/>
    </row>
    <row r="745" ht="15" customHeight="1">
      <c r="A745" t="inlineStr">
        <is>
          <t>A 48459-2023</t>
        </is>
      </c>
      <c r="B745" s="1" t="n">
        <v>45206</v>
      </c>
      <c r="C745" s="1" t="n">
        <v>45718</v>
      </c>
      <c r="D745" t="inlineStr">
        <is>
          <t>DALARNAS LÄN</t>
        </is>
      </c>
      <c r="E745" t="inlineStr">
        <is>
          <t>SMEDJEBACKEN</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48458-2023</t>
        </is>
      </c>
      <c r="B746" s="1" t="n">
        <v>45206</v>
      </c>
      <c r="C746" s="1" t="n">
        <v>45718</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48527-2023</t>
        </is>
      </c>
      <c r="B747" s="1" t="n">
        <v>45208</v>
      </c>
      <c r="C747" s="1" t="n">
        <v>45718</v>
      </c>
      <c r="D747" t="inlineStr">
        <is>
          <t>DALARNAS LÄN</t>
        </is>
      </c>
      <c r="E747" t="inlineStr">
        <is>
          <t>SMEDJEBACKEN</t>
        </is>
      </c>
      <c r="G747" t="n">
        <v>1.9</v>
      </c>
      <c r="H747" t="n">
        <v>0</v>
      </c>
      <c r="I747" t="n">
        <v>0</v>
      </c>
      <c r="J747" t="n">
        <v>0</v>
      </c>
      <c r="K747" t="n">
        <v>0</v>
      </c>
      <c r="L747" t="n">
        <v>0</v>
      </c>
      <c r="M747" t="n">
        <v>0</v>
      </c>
      <c r="N747" t="n">
        <v>0</v>
      </c>
      <c r="O747" t="n">
        <v>0</v>
      </c>
      <c r="P747" t="n">
        <v>0</v>
      </c>
      <c r="Q747" t="n">
        <v>0</v>
      </c>
      <c r="R747" s="2" t="inlineStr"/>
    </row>
    <row r="748" ht="15" customHeight="1">
      <c r="A748" t="inlineStr">
        <is>
          <t>A 48530-2023</t>
        </is>
      </c>
      <c r="B748" s="1" t="n">
        <v>45208</v>
      </c>
      <c r="C748" s="1" t="n">
        <v>45718</v>
      </c>
      <c r="D748" t="inlineStr">
        <is>
          <t>DALARNAS LÄN</t>
        </is>
      </c>
      <c r="E748" t="inlineStr">
        <is>
          <t>SMEDJEBACKEN</t>
        </is>
      </c>
      <c r="G748" t="n">
        <v>2.2</v>
      </c>
      <c r="H748" t="n">
        <v>0</v>
      </c>
      <c r="I748" t="n">
        <v>0</v>
      </c>
      <c r="J748" t="n">
        <v>0</v>
      </c>
      <c r="K748" t="n">
        <v>0</v>
      </c>
      <c r="L748" t="n">
        <v>0</v>
      </c>
      <c r="M748" t="n">
        <v>0</v>
      </c>
      <c r="N748" t="n">
        <v>0</v>
      </c>
      <c r="O748" t="n">
        <v>0</v>
      </c>
      <c r="P748" t="n">
        <v>0</v>
      </c>
      <c r="Q748" t="n">
        <v>0</v>
      </c>
      <c r="R748" s="2" t="inlineStr"/>
    </row>
    <row r="749" ht="15" customHeight="1">
      <c r="A749" t="inlineStr">
        <is>
          <t>A 49692-2023</t>
        </is>
      </c>
      <c r="B749" s="1" t="n">
        <v>45212</v>
      </c>
      <c r="C749" s="1" t="n">
        <v>45718</v>
      </c>
      <c r="D749" t="inlineStr">
        <is>
          <t>DALARNAS LÄN</t>
        </is>
      </c>
      <c r="E749" t="inlineStr">
        <is>
          <t>SMEDJEBACKEN</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51164-2023</t>
        </is>
      </c>
      <c r="B750" s="1" t="n">
        <v>45219</v>
      </c>
      <c r="C750" s="1" t="n">
        <v>45718</v>
      </c>
      <c r="D750" t="inlineStr">
        <is>
          <t>DALARNAS LÄN</t>
        </is>
      </c>
      <c r="E750" t="inlineStr">
        <is>
          <t>SMEDJEBACKEN</t>
        </is>
      </c>
      <c r="G750" t="n">
        <v>1.5</v>
      </c>
      <c r="H750" t="n">
        <v>0</v>
      </c>
      <c r="I750" t="n">
        <v>0</v>
      </c>
      <c r="J750" t="n">
        <v>0</v>
      </c>
      <c r="K750" t="n">
        <v>0</v>
      </c>
      <c r="L750" t="n">
        <v>0</v>
      </c>
      <c r="M750" t="n">
        <v>0</v>
      </c>
      <c r="N750" t="n">
        <v>0</v>
      </c>
      <c r="O750" t="n">
        <v>0</v>
      </c>
      <c r="P750" t="n">
        <v>0</v>
      </c>
      <c r="Q750" t="n">
        <v>0</v>
      </c>
      <c r="R750" s="2" t="inlineStr"/>
    </row>
    <row r="751" ht="15" customHeight="1">
      <c r="A751" t="inlineStr">
        <is>
          <t>A 52099-2023</t>
        </is>
      </c>
      <c r="B751" s="1" t="n">
        <v>45223</v>
      </c>
      <c r="C751" s="1" t="n">
        <v>45718</v>
      </c>
      <c r="D751" t="inlineStr">
        <is>
          <t>DALARNAS LÄN</t>
        </is>
      </c>
      <c r="E751" t="inlineStr">
        <is>
          <t>SMEDJEBACKEN</t>
        </is>
      </c>
      <c r="G751" t="n">
        <v>0.7</v>
      </c>
      <c r="H751" t="n">
        <v>0</v>
      </c>
      <c r="I751" t="n">
        <v>0</v>
      </c>
      <c r="J751" t="n">
        <v>0</v>
      </c>
      <c r="K751" t="n">
        <v>0</v>
      </c>
      <c r="L751" t="n">
        <v>0</v>
      </c>
      <c r="M751" t="n">
        <v>0</v>
      </c>
      <c r="N751" t="n">
        <v>0</v>
      </c>
      <c r="O751" t="n">
        <v>0</v>
      </c>
      <c r="P751" t="n">
        <v>0</v>
      </c>
      <c r="Q751" t="n">
        <v>0</v>
      </c>
      <c r="R751" s="2" t="inlineStr"/>
    </row>
    <row r="752" ht="15" customHeight="1">
      <c r="A752" t="inlineStr">
        <is>
          <t>A 52342-2023</t>
        </is>
      </c>
      <c r="B752" s="1" t="n">
        <v>45224</v>
      </c>
      <c r="C752" s="1" t="n">
        <v>45718</v>
      </c>
      <c r="D752" t="inlineStr">
        <is>
          <t>DALARNAS LÄN</t>
        </is>
      </c>
      <c r="E752" t="inlineStr">
        <is>
          <t>SMEDJEBACKEN</t>
        </is>
      </c>
      <c r="G752" t="n">
        <v>0.5</v>
      </c>
      <c r="H752" t="n">
        <v>0</v>
      </c>
      <c r="I752" t="n">
        <v>0</v>
      </c>
      <c r="J752" t="n">
        <v>0</v>
      </c>
      <c r="K752" t="n">
        <v>0</v>
      </c>
      <c r="L752" t="n">
        <v>0</v>
      </c>
      <c r="M752" t="n">
        <v>0</v>
      </c>
      <c r="N752" t="n">
        <v>0</v>
      </c>
      <c r="O752" t="n">
        <v>0</v>
      </c>
      <c r="P752" t="n">
        <v>0</v>
      </c>
      <c r="Q752" t="n">
        <v>0</v>
      </c>
      <c r="R752" s="2" t="inlineStr"/>
    </row>
    <row r="753" ht="15" customHeight="1">
      <c r="A753" t="inlineStr">
        <is>
          <t>A 52354-2023</t>
        </is>
      </c>
      <c r="B753" s="1" t="n">
        <v>45224</v>
      </c>
      <c r="C753" s="1" t="n">
        <v>45718</v>
      </c>
      <c r="D753" t="inlineStr">
        <is>
          <t>DALARNAS LÄN</t>
        </is>
      </c>
      <c r="E753" t="inlineStr">
        <is>
          <t>SMEDJEBACKEN</t>
        </is>
      </c>
      <c r="G753" t="n">
        <v>14.9</v>
      </c>
      <c r="H753" t="n">
        <v>0</v>
      </c>
      <c r="I753" t="n">
        <v>0</v>
      </c>
      <c r="J753" t="n">
        <v>0</v>
      </c>
      <c r="K753" t="n">
        <v>0</v>
      </c>
      <c r="L753" t="n">
        <v>0</v>
      </c>
      <c r="M753" t="n">
        <v>0</v>
      </c>
      <c r="N753" t="n">
        <v>0</v>
      </c>
      <c r="O753" t="n">
        <v>0</v>
      </c>
      <c r="P753" t="n">
        <v>0</v>
      </c>
      <c r="Q753" t="n">
        <v>0</v>
      </c>
      <c r="R753" s="2" t="inlineStr"/>
    </row>
    <row r="754" ht="15" customHeight="1">
      <c r="A754" t="inlineStr">
        <is>
          <t>A 53859-2023</t>
        </is>
      </c>
      <c r="B754" s="1" t="n">
        <v>45224</v>
      </c>
      <c r="C754" s="1" t="n">
        <v>45718</v>
      </c>
      <c r="D754" t="inlineStr">
        <is>
          <t>DALARNAS LÄN</t>
        </is>
      </c>
      <c r="E754" t="inlineStr">
        <is>
          <t>SMEDJEBACKEN</t>
        </is>
      </c>
      <c r="F754" t="inlineStr">
        <is>
          <t>Bergvik skog väst AB</t>
        </is>
      </c>
      <c r="G754" t="n">
        <v>10.5</v>
      </c>
      <c r="H754" t="n">
        <v>0</v>
      </c>
      <c r="I754" t="n">
        <v>0</v>
      </c>
      <c r="J754" t="n">
        <v>0</v>
      </c>
      <c r="K754" t="n">
        <v>0</v>
      </c>
      <c r="L754" t="n">
        <v>0</v>
      </c>
      <c r="M754" t="n">
        <v>0</v>
      </c>
      <c r="N754" t="n">
        <v>0</v>
      </c>
      <c r="O754" t="n">
        <v>0</v>
      </c>
      <c r="P754" t="n">
        <v>0</v>
      </c>
      <c r="Q754" t="n">
        <v>0</v>
      </c>
      <c r="R754" s="2" t="inlineStr"/>
    </row>
    <row r="755" ht="15" customHeight="1">
      <c r="A755" t="inlineStr">
        <is>
          <t>A 54143-2023</t>
        </is>
      </c>
      <c r="B755" s="1" t="n">
        <v>45225</v>
      </c>
      <c r="C755" s="1" t="n">
        <v>45718</v>
      </c>
      <c r="D755" t="inlineStr">
        <is>
          <t>DALARNAS LÄN</t>
        </is>
      </c>
      <c r="E755" t="inlineStr">
        <is>
          <t>SMEDJEBACKEN</t>
        </is>
      </c>
      <c r="F755" t="inlineStr">
        <is>
          <t>Bergvik skog väst AB</t>
        </is>
      </c>
      <c r="G755" t="n">
        <v>8.9</v>
      </c>
      <c r="H755" t="n">
        <v>0</v>
      </c>
      <c r="I755" t="n">
        <v>0</v>
      </c>
      <c r="J755" t="n">
        <v>0</v>
      </c>
      <c r="K755" t="n">
        <v>0</v>
      </c>
      <c r="L755" t="n">
        <v>0</v>
      </c>
      <c r="M755" t="n">
        <v>0</v>
      </c>
      <c r="N755" t="n">
        <v>0</v>
      </c>
      <c r="O755" t="n">
        <v>0</v>
      </c>
      <c r="P755" t="n">
        <v>0</v>
      </c>
      <c r="Q755" t="n">
        <v>0</v>
      </c>
      <c r="R755" s="2" t="inlineStr"/>
    </row>
    <row r="756" ht="15" customHeight="1">
      <c r="A756" t="inlineStr">
        <is>
          <t>A 53977-2023</t>
        </is>
      </c>
      <c r="B756" s="1" t="n">
        <v>45225</v>
      </c>
      <c r="C756" s="1" t="n">
        <v>45718</v>
      </c>
      <c r="D756" t="inlineStr">
        <is>
          <t>DALARNAS LÄN</t>
        </is>
      </c>
      <c r="E756" t="inlineStr">
        <is>
          <t>SMEDJEBACKEN</t>
        </is>
      </c>
      <c r="F756" t="inlineStr">
        <is>
          <t>Bergvik skog väst AB</t>
        </is>
      </c>
      <c r="G756" t="n">
        <v>7.1</v>
      </c>
      <c r="H756" t="n">
        <v>0</v>
      </c>
      <c r="I756" t="n">
        <v>0</v>
      </c>
      <c r="J756" t="n">
        <v>0</v>
      </c>
      <c r="K756" t="n">
        <v>0</v>
      </c>
      <c r="L756" t="n">
        <v>0</v>
      </c>
      <c r="M756" t="n">
        <v>0</v>
      </c>
      <c r="N756" t="n">
        <v>0</v>
      </c>
      <c r="O756" t="n">
        <v>0</v>
      </c>
      <c r="P756" t="n">
        <v>0</v>
      </c>
      <c r="Q756" t="n">
        <v>0</v>
      </c>
      <c r="R756" s="2" t="inlineStr"/>
    </row>
    <row r="757" ht="15" customHeight="1">
      <c r="A757" t="inlineStr">
        <is>
          <t>A 52956-2023</t>
        </is>
      </c>
      <c r="B757" s="1" t="n">
        <v>45226</v>
      </c>
      <c r="C757" s="1" t="n">
        <v>45718</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52776-2023</t>
        </is>
      </c>
      <c r="B758" s="1" t="n">
        <v>45226</v>
      </c>
      <c r="C758" s="1" t="n">
        <v>45718</v>
      </c>
      <c r="D758" t="inlineStr">
        <is>
          <t>DALARNAS LÄN</t>
        </is>
      </c>
      <c r="E758" t="inlineStr">
        <is>
          <t>SMEDJEBACKEN</t>
        </is>
      </c>
      <c r="F758" t="inlineStr">
        <is>
          <t>Sveaskog</t>
        </is>
      </c>
      <c r="G758" t="n">
        <v>7.8</v>
      </c>
      <c r="H758" t="n">
        <v>0</v>
      </c>
      <c r="I758" t="n">
        <v>0</v>
      </c>
      <c r="J758" t="n">
        <v>0</v>
      </c>
      <c r="K758" t="n">
        <v>0</v>
      </c>
      <c r="L758" t="n">
        <v>0</v>
      </c>
      <c r="M758" t="n">
        <v>0</v>
      </c>
      <c r="N758" t="n">
        <v>0</v>
      </c>
      <c r="O758" t="n">
        <v>0</v>
      </c>
      <c r="P758" t="n">
        <v>0</v>
      </c>
      <c r="Q758" t="n">
        <v>0</v>
      </c>
      <c r="R758" s="2" t="inlineStr"/>
    </row>
    <row r="759" ht="15" customHeight="1">
      <c r="A759" t="inlineStr">
        <is>
          <t>A 52954-2023</t>
        </is>
      </c>
      <c r="B759" s="1" t="n">
        <v>45226</v>
      </c>
      <c r="C759" s="1" t="n">
        <v>45718</v>
      </c>
      <c r="D759" t="inlineStr">
        <is>
          <t>DALARNAS LÄN</t>
        </is>
      </c>
      <c r="E759" t="inlineStr">
        <is>
          <t>SMEDJEBACKEN</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52951-2023</t>
        </is>
      </c>
      <c r="B760" s="1" t="n">
        <v>45226</v>
      </c>
      <c r="C760" s="1" t="n">
        <v>45718</v>
      </c>
      <c r="D760" t="inlineStr">
        <is>
          <t>DALARNAS LÄN</t>
        </is>
      </c>
      <c r="E760" t="inlineStr">
        <is>
          <t>SMEDJEBACKEN</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52960-2023</t>
        </is>
      </c>
      <c r="B761" s="1" t="n">
        <v>45226</v>
      </c>
      <c r="C761" s="1" t="n">
        <v>45718</v>
      </c>
      <c r="D761" t="inlineStr">
        <is>
          <t>DALARNAS LÄN</t>
        </is>
      </c>
      <c r="E761" t="inlineStr">
        <is>
          <t>SMEDJEBACKEN</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52784-2023</t>
        </is>
      </c>
      <c r="B762" s="1" t="n">
        <v>45226</v>
      </c>
      <c r="C762" s="1" t="n">
        <v>45718</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52780-2023</t>
        </is>
      </c>
      <c r="B763" s="1" t="n">
        <v>45226</v>
      </c>
      <c r="C763" s="1" t="n">
        <v>45718</v>
      </c>
      <c r="D763" t="inlineStr">
        <is>
          <t>DALARNAS LÄN</t>
        </is>
      </c>
      <c r="E763" t="inlineStr">
        <is>
          <t>SMEDJEBACKEN</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52962-2023</t>
        </is>
      </c>
      <c r="B764" s="1" t="n">
        <v>45226</v>
      </c>
      <c r="C764" s="1" t="n">
        <v>45718</v>
      </c>
      <c r="D764" t="inlineStr">
        <is>
          <t>DALARNAS LÄN</t>
        </is>
      </c>
      <c r="E764" t="inlineStr">
        <is>
          <t>SMEDJEBACKEN</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52944-2023</t>
        </is>
      </c>
      <c r="B765" s="1" t="n">
        <v>45226</v>
      </c>
      <c r="C765" s="1" t="n">
        <v>45718</v>
      </c>
      <c r="D765" t="inlineStr">
        <is>
          <t>DALARNAS LÄN</t>
        </is>
      </c>
      <c r="E765" t="inlineStr">
        <is>
          <t>SMEDJEBACKEN</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52779-2023</t>
        </is>
      </c>
      <c r="B766" s="1" t="n">
        <v>45226</v>
      </c>
      <c r="C766" s="1" t="n">
        <v>45718</v>
      </c>
      <c r="D766" t="inlineStr">
        <is>
          <t>DALARNAS LÄN</t>
        </is>
      </c>
      <c r="E766" t="inlineStr">
        <is>
          <t>SMEDJEBACKEN</t>
        </is>
      </c>
      <c r="F766" t="inlineStr">
        <is>
          <t>Sveaskog</t>
        </is>
      </c>
      <c r="G766" t="n">
        <v>16.4</v>
      </c>
      <c r="H766" t="n">
        <v>0</v>
      </c>
      <c r="I766" t="n">
        <v>0</v>
      </c>
      <c r="J766" t="n">
        <v>0</v>
      </c>
      <c r="K766" t="n">
        <v>0</v>
      </c>
      <c r="L766" t="n">
        <v>0</v>
      </c>
      <c r="M766" t="n">
        <v>0</v>
      </c>
      <c r="N766" t="n">
        <v>0</v>
      </c>
      <c r="O766" t="n">
        <v>0</v>
      </c>
      <c r="P766" t="n">
        <v>0</v>
      </c>
      <c r="Q766" t="n">
        <v>0</v>
      </c>
      <c r="R766" s="2" t="inlineStr"/>
    </row>
    <row r="767" ht="15" customHeight="1">
      <c r="A767" t="inlineStr">
        <is>
          <t>A 52788-2023</t>
        </is>
      </c>
      <c r="B767" s="1" t="n">
        <v>45226</v>
      </c>
      <c r="C767" s="1" t="n">
        <v>45718</v>
      </c>
      <c r="D767" t="inlineStr">
        <is>
          <t>DALARNAS LÄN</t>
        </is>
      </c>
      <c r="E767" t="inlineStr">
        <is>
          <t>SMEDJEBACKEN</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52948-2023</t>
        </is>
      </c>
      <c r="B768" s="1" t="n">
        <v>45226</v>
      </c>
      <c r="C768" s="1" t="n">
        <v>45718</v>
      </c>
      <c r="D768" t="inlineStr">
        <is>
          <t>DALARNAS LÄN</t>
        </is>
      </c>
      <c r="E768" t="inlineStr">
        <is>
          <t>SMEDJEBACKEN</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52782-2023</t>
        </is>
      </c>
      <c r="B769" s="1" t="n">
        <v>45226</v>
      </c>
      <c r="C769" s="1" t="n">
        <v>45718</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53139-2023</t>
        </is>
      </c>
      <c r="B770" s="1" t="n">
        <v>45229</v>
      </c>
      <c r="C770" s="1" t="n">
        <v>45718</v>
      </c>
      <c r="D770" t="inlineStr">
        <is>
          <t>DALARNAS LÄN</t>
        </is>
      </c>
      <c r="E770" t="inlineStr">
        <is>
          <t>SMEDJEBACKEN</t>
        </is>
      </c>
      <c r="F770" t="inlineStr">
        <is>
          <t>Övriga Aktiebolag</t>
        </is>
      </c>
      <c r="G770" t="n">
        <v>13.8</v>
      </c>
      <c r="H770" t="n">
        <v>0</v>
      </c>
      <c r="I770" t="n">
        <v>0</v>
      </c>
      <c r="J770" t="n">
        <v>0</v>
      </c>
      <c r="K770" t="n">
        <v>0</v>
      </c>
      <c r="L770" t="n">
        <v>0</v>
      </c>
      <c r="M770" t="n">
        <v>0</v>
      </c>
      <c r="N770" t="n">
        <v>0</v>
      </c>
      <c r="O770" t="n">
        <v>0</v>
      </c>
      <c r="P770" t="n">
        <v>0</v>
      </c>
      <c r="Q770" t="n">
        <v>0</v>
      </c>
      <c r="R770" s="2" t="inlineStr"/>
    </row>
    <row r="771" ht="15" customHeight="1">
      <c r="A771" t="inlineStr">
        <is>
          <t>A 53458-2023</t>
        </is>
      </c>
      <c r="B771" s="1" t="n">
        <v>45230</v>
      </c>
      <c r="C771" s="1" t="n">
        <v>45718</v>
      </c>
      <c r="D771" t="inlineStr">
        <is>
          <t>DALARNAS LÄN</t>
        </is>
      </c>
      <c r="E771" t="inlineStr">
        <is>
          <t>SMEDJEBACKEN</t>
        </is>
      </c>
      <c r="G771" t="n">
        <v>4.5</v>
      </c>
      <c r="H771" t="n">
        <v>0</v>
      </c>
      <c r="I771" t="n">
        <v>0</v>
      </c>
      <c r="J771" t="n">
        <v>0</v>
      </c>
      <c r="K771" t="n">
        <v>0</v>
      </c>
      <c r="L771" t="n">
        <v>0</v>
      </c>
      <c r="M771" t="n">
        <v>0</v>
      </c>
      <c r="N771" t="n">
        <v>0</v>
      </c>
      <c r="O771" t="n">
        <v>0</v>
      </c>
      <c r="P771" t="n">
        <v>0</v>
      </c>
      <c r="Q771" t="n">
        <v>0</v>
      </c>
      <c r="R771" s="2" t="inlineStr"/>
    </row>
    <row r="772" ht="15" customHeight="1">
      <c r="A772" t="inlineStr">
        <is>
          <t>A 57217-2023</t>
        </is>
      </c>
      <c r="B772" s="1" t="n">
        <v>45239</v>
      </c>
      <c r="C772" s="1" t="n">
        <v>45718</v>
      </c>
      <c r="D772" t="inlineStr">
        <is>
          <t>DALARNAS LÄN</t>
        </is>
      </c>
      <c r="E772" t="inlineStr">
        <is>
          <t>SMEDJEBACKEN</t>
        </is>
      </c>
      <c r="F772" t="inlineStr">
        <is>
          <t>Bergvik skog väst AB</t>
        </is>
      </c>
      <c r="G772" t="n">
        <v>4.2</v>
      </c>
      <c r="H772" t="n">
        <v>0</v>
      </c>
      <c r="I772" t="n">
        <v>0</v>
      </c>
      <c r="J772" t="n">
        <v>0</v>
      </c>
      <c r="K772" t="n">
        <v>0</v>
      </c>
      <c r="L772" t="n">
        <v>0</v>
      </c>
      <c r="M772" t="n">
        <v>0</v>
      </c>
      <c r="N772" t="n">
        <v>0</v>
      </c>
      <c r="O772" t="n">
        <v>0</v>
      </c>
      <c r="P772" t="n">
        <v>0</v>
      </c>
      <c r="Q772" t="n">
        <v>0</v>
      </c>
      <c r="R772" s="2" t="inlineStr"/>
    </row>
    <row r="773" ht="15" customHeight="1">
      <c r="A773" t="inlineStr">
        <is>
          <t>A 58418-2023</t>
        </is>
      </c>
      <c r="B773" s="1" t="n">
        <v>45246</v>
      </c>
      <c r="C773" s="1" t="n">
        <v>45718</v>
      </c>
      <c r="D773" t="inlineStr">
        <is>
          <t>DALARNAS LÄN</t>
        </is>
      </c>
      <c r="E773" t="inlineStr">
        <is>
          <t>SMEDJEBACKEN</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58422-2023</t>
        </is>
      </c>
      <c r="B774" s="1" t="n">
        <v>45246</v>
      </c>
      <c r="C774" s="1" t="n">
        <v>45718</v>
      </c>
      <c r="D774" t="inlineStr">
        <is>
          <t>DALARNAS LÄN</t>
        </is>
      </c>
      <c r="E774" t="inlineStr">
        <is>
          <t>SMEDJEBACKEN</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58189-2023</t>
        </is>
      </c>
      <c r="B775" s="1" t="n">
        <v>45250</v>
      </c>
      <c r="C775" s="1" t="n">
        <v>45718</v>
      </c>
      <c r="D775" t="inlineStr">
        <is>
          <t>DALARNAS LÄN</t>
        </is>
      </c>
      <c r="E775" t="inlineStr">
        <is>
          <t>SMEDJEBACKEN</t>
        </is>
      </c>
      <c r="G775" t="n">
        <v>6.6</v>
      </c>
      <c r="H775" t="n">
        <v>0</v>
      </c>
      <c r="I775" t="n">
        <v>0</v>
      </c>
      <c r="J775" t="n">
        <v>0</v>
      </c>
      <c r="K775" t="n">
        <v>0</v>
      </c>
      <c r="L775" t="n">
        <v>0</v>
      </c>
      <c r="M775" t="n">
        <v>0</v>
      </c>
      <c r="N775" t="n">
        <v>0</v>
      </c>
      <c r="O775" t="n">
        <v>0</v>
      </c>
      <c r="P775" t="n">
        <v>0</v>
      </c>
      <c r="Q775" t="n">
        <v>0</v>
      </c>
      <c r="R775" s="2" t="inlineStr"/>
    </row>
    <row r="776" ht="15" customHeight="1">
      <c r="A776" t="inlineStr">
        <is>
          <t>A 58184-2023</t>
        </is>
      </c>
      <c r="B776" s="1" t="n">
        <v>45250</v>
      </c>
      <c r="C776" s="1" t="n">
        <v>45718</v>
      </c>
      <c r="D776" t="inlineStr">
        <is>
          <t>DALARNAS LÄN</t>
        </is>
      </c>
      <c r="E776" t="inlineStr">
        <is>
          <t>SMEDJEBACKEN</t>
        </is>
      </c>
      <c r="G776" t="n">
        <v>4.6</v>
      </c>
      <c r="H776" t="n">
        <v>0</v>
      </c>
      <c r="I776" t="n">
        <v>0</v>
      </c>
      <c r="J776" t="n">
        <v>0</v>
      </c>
      <c r="K776" t="n">
        <v>0</v>
      </c>
      <c r="L776" t="n">
        <v>0</v>
      </c>
      <c r="M776" t="n">
        <v>0</v>
      </c>
      <c r="N776" t="n">
        <v>0</v>
      </c>
      <c r="O776" t="n">
        <v>0</v>
      </c>
      <c r="P776" t="n">
        <v>0</v>
      </c>
      <c r="Q776" t="n">
        <v>0</v>
      </c>
      <c r="R776" s="2" t="inlineStr"/>
    </row>
    <row r="777" ht="15" customHeight="1">
      <c r="A777" t="inlineStr">
        <is>
          <t>A 58234-2023</t>
        </is>
      </c>
      <c r="B777" s="1" t="n">
        <v>45250</v>
      </c>
      <c r="C777" s="1" t="n">
        <v>45718</v>
      </c>
      <c r="D777" t="inlineStr">
        <is>
          <t>DALARNAS LÄN</t>
        </is>
      </c>
      <c r="E777" t="inlineStr">
        <is>
          <t>SMEDJEBACKEN</t>
        </is>
      </c>
      <c r="G777" t="n">
        <v>2.3</v>
      </c>
      <c r="H777" t="n">
        <v>0</v>
      </c>
      <c r="I777" t="n">
        <v>0</v>
      </c>
      <c r="J777" t="n">
        <v>0</v>
      </c>
      <c r="K777" t="n">
        <v>0</v>
      </c>
      <c r="L777" t="n">
        <v>0</v>
      </c>
      <c r="M777" t="n">
        <v>0</v>
      </c>
      <c r="N777" t="n">
        <v>0</v>
      </c>
      <c r="O777" t="n">
        <v>0</v>
      </c>
      <c r="P777" t="n">
        <v>0</v>
      </c>
      <c r="Q777" t="n">
        <v>0</v>
      </c>
      <c r="R777" s="2" t="inlineStr"/>
    </row>
    <row r="778" ht="15" customHeight="1">
      <c r="A778" t="inlineStr">
        <is>
          <t>A 58336-2023</t>
        </is>
      </c>
      <c r="B778" s="1" t="n">
        <v>45250</v>
      </c>
      <c r="C778" s="1" t="n">
        <v>45718</v>
      </c>
      <c r="D778" t="inlineStr">
        <is>
          <t>DALARNAS LÄN</t>
        </is>
      </c>
      <c r="E778" t="inlineStr">
        <is>
          <t>SMEDJEBACKEN</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58339-2023</t>
        </is>
      </c>
      <c r="B779" s="1" t="n">
        <v>45250</v>
      </c>
      <c r="C779" s="1" t="n">
        <v>45718</v>
      </c>
      <c r="D779" t="inlineStr">
        <is>
          <t>DALARNAS LÄN</t>
        </is>
      </c>
      <c r="E779" t="inlineStr">
        <is>
          <t>SMEDJEBACKEN</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58397-2023</t>
        </is>
      </c>
      <c r="B780" s="1" t="n">
        <v>45250</v>
      </c>
      <c r="C780" s="1" t="n">
        <v>45718</v>
      </c>
      <c r="D780" t="inlineStr">
        <is>
          <t>DALARNAS LÄN</t>
        </is>
      </c>
      <c r="E780" t="inlineStr">
        <is>
          <t>SMEDJEBACKEN</t>
        </is>
      </c>
      <c r="G780" t="n">
        <v>2.8</v>
      </c>
      <c r="H780" t="n">
        <v>0</v>
      </c>
      <c r="I780" t="n">
        <v>0</v>
      </c>
      <c r="J780" t="n">
        <v>0</v>
      </c>
      <c r="K780" t="n">
        <v>0</v>
      </c>
      <c r="L780" t="n">
        <v>0</v>
      </c>
      <c r="M780" t="n">
        <v>0</v>
      </c>
      <c r="N780" t="n">
        <v>0</v>
      </c>
      <c r="O780" t="n">
        <v>0</v>
      </c>
      <c r="P780" t="n">
        <v>0</v>
      </c>
      <c r="Q780" t="n">
        <v>0</v>
      </c>
      <c r="R780" s="2" t="inlineStr"/>
    </row>
    <row r="781" ht="15" customHeight="1">
      <c r="A781" t="inlineStr">
        <is>
          <t>A 58337-2023</t>
        </is>
      </c>
      <c r="B781" s="1" t="n">
        <v>45250</v>
      </c>
      <c r="C781" s="1" t="n">
        <v>45718</v>
      </c>
      <c r="D781" t="inlineStr">
        <is>
          <t>DALARNAS LÄN</t>
        </is>
      </c>
      <c r="E781" t="inlineStr">
        <is>
          <t>SMEDJEBACKEN</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58778-2023</t>
        </is>
      </c>
      <c r="B782" s="1" t="n">
        <v>45252</v>
      </c>
      <c r="C782" s="1" t="n">
        <v>45718</v>
      </c>
      <c r="D782" t="inlineStr">
        <is>
          <t>DALARNAS LÄN</t>
        </is>
      </c>
      <c r="E782" t="inlineStr">
        <is>
          <t>SMEDJEBACKEN</t>
        </is>
      </c>
      <c r="G782" t="n">
        <v>3.4</v>
      </c>
      <c r="H782" t="n">
        <v>0</v>
      </c>
      <c r="I782" t="n">
        <v>0</v>
      </c>
      <c r="J782" t="n">
        <v>0</v>
      </c>
      <c r="K782" t="n">
        <v>0</v>
      </c>
      <c r="L782" t="n">
        <v>0</v>
      </c>
      <c r="M782" t="n">
        <v>0</v>
      </c>
      <c r="N782" t="n">
        <v>0</v>
      </c>
      <c r="O782" t="n">
        <v>0</v>
      </c>
      <c r="P782" t="n">
        <v>0</v>
      </c>
      <c r="Q782" t="n">
        <v>0</v>
      </c>
      <c r="R782" s="2" t="inlineStr"/>
    </row>
    <row r="783" ht="15" customHeight="1">
      <c r="A783" t="inlineStr">
        <is>
          <t>A 59761-2023</t>
        </is>
      </c>
      <c r="B783" s="1" t="n">
        <v>45257</v>
      </c>
      <c r="C783" s="1" t="n">
        <v>45718</v>
      </c>
      <c r="D783" t="inlineStr">
        <is>
          <t>DALARNAS LÄN</t>
        </is>
      </c>
      <c r="E783" t="inlineStr">
        <is>
          <t>SMEDJEBACKEN</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59756-2023</t>
        </is>
      </c>
      <c r="B784" s="1" t="n">
        <v>45257</v>
      </c>
      <c r="C784" s="1" t="n">
        <v>45718</v>
      </c>
      <c r="D784" t="inlineStr">
        <is>
          <t>DALARNAS LÄN</t>
        </is>
      </c>
      <c r="E784" t="inlineStr">
        <is>
          <t>SMEDJEBACKEN</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59758-2023</t>
        </is>
      </c>
      <c r="B785" s="1" t="n">
        <v>45257</v>
      </c>
      <c r="C785" s="1" t="n">
        <v>45718</v>
      </c>
      <c r="D785" t="inlineStr">
        <is>
          <t>DALARNAS LÄN</t>
        </is>
      </c>
      <c r="E785" t="inlineStr">
        <is>
          <t>SMEDJEBACKEN</t>
        </is>
      </c>
      <c r="F785" t="inlineStr">
        <is>
          <t>Sveaskog</t>
        </is>
      </c>
      <c r="G785" t="n">
        <v>4.8</v>
      </c>
      <c r="H785" t="n">
        <v>0</v>
      </c>
      <c r="I785" t="n">
        <v>0</v>
      </c>
      <c r="J785" t="n">
        <v>0</v>
      </c>
      <c r="K785" t="n">
        <v>0</v>
      </c>
      <c r="L785" t="n">
        <v>0</v>
      </c>
      <c r="M785" t="n">
        <v>0</v>
      </c>
      <c r="N785" t="n">
        <v>0</v>
      </c>
      <c r="O785" t="n">
        <v>0</v>
      </c>
      <c r="P785" t="n">
        <v>0</v>
      </c>
      <c r="Q785" t="n">
        <v>0</v>
      </c>
      <c r="R785" s="2" t="inlineStr"/>
    </row>
    <row r="786" ht="15" customHeight="1">
      <c r="A786" t="inlineStr">
        <is>
          <t>A 59752-2023</t>
        </is>
      </c>
      <c r="B786" s="1" t="n">
        <v>45257</v>
      </c>
      <c r="C786" s="1" t="n">
        <v>45718</v>
      </c>
      <c r="D786" t="inlineStr">
        <is>
          <t>DALARNAS LÄN</t>
        </is>
      </c>
      <c r="E786" t="inlineStr">
        <is>
          <t>SMEDJEBACKEN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59760-2023</t>
        </is>
      </c>
      <c r="B787" s="1" t="n">
        <v>45257</v>
      </c>
      <c r="C787" s="1" t="n">
        <v>45718</v>
      </c>
      <c r="D787" t="inlineStr">
        <is>
          <t>DALARNAS LÄN</t>
        </is>
      </c>
      <c r="E787" t="inlineStr">
        <is>
          <t>SMEDJEBACKEN</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60262-2023</t>
        </is>
      </c>
      <c r="B788" s="1" t="n">
        <v>45258</v>
      </c>
      <c r="C788" s="1" t="n">
        <v>45718</v>
      </c>
      <c r="D788" t="inlineStr">
        <is>
          <t>DALARNAS LÄN</t>
        </is>
      </c>
      <c r="E788" t="inlineStr">
        <is>
          <t>SMEDJEBACKEN</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60260-2023</t>
        </is>
      </c>
      <c r="B789" s="1" t="n">
        <v>45258</v>
      </c>
      <c r="C789" s="1" t="n">
        <v>45718</v>
      </c>
      <c r="D789" t="inlineStr">
        <is>
          <t>DALARNAS LÄN</t>
        </is>
      </c>
      <c r="E789" t="inlineStr">
        <is>
          <t>SMEDJEBACKEN</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60265-2023</t>
        </is>
      </c>
      <c r="B790" s="1" t="n">
        <v>45258</v>
      </c>
      <c r="C790" s="1" t="n">
        <v>45718</v>
      </c>
      <c r="D790" t="inlineStr">
        <is>
          <t>DALARNAS LÄN</t>
        </is>
      </c>
      <c r="E790" t="inlineStr">
        <is>
          <t>SMEDJEBACKEN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60734-2023</t>
        </is>
      </c>
      <c r="B791" s="1" t="n">
        <v>45260</v>
      </c>
      <c r="C791" s="1" t="n">
        <v>45718</v>
      </c>
      <c r="D791" t="inlineStr">
        <is>
          <t>DALARNAS LÄN</t>
        </is>
      </c>
      <c r="E791" t="inlineStr">
        <is>
          <t>SMEDJEBACKEN</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61378-2023</t>
        </is>
      </c>
      <c r="B792" s="1" t="n">
        <v>45264</v>
      </c>
      <c r="C792" s="1" t="n">
        <v>45718</v>
      </c>
      <c r="D792" t="inlineStr">
        <is>
          <t>DALARNAS LÄN</t>
        </is>
      </c>
      <c r="E792" t="inlineStr">
        <is>
          <t>SMEDJEBACKEN</t>
        </is>
      </c>
      <c r="G792" t="n">
        <v>0.7</v>
      </c>
      <c r="H792" t="n">
        <v>0</v>
      </c>
      <c r="I792" t="n">
        <v>0</v>
      </c>
      <c r="J792" t="n">
        <v>0</v>
      </c>
      <c r="K792" t="n">
        <v>0</v>
      </c>
      <c r="L792" t="n">
        <v>0</v>
      </c>
      <c r="M792" t="n">
        <v>0</v>
      </c>
      <c r="N792" t="n">
        <v>0</v>
      </c>
      <c r="O792" t="n">
        <v>0</v>
      </c>
      <c r="P792" t="n">
        <v>0</v>
      </c>
      <c r="Q792" t="n">
        <v>0</v>
      </c>
      <c r="R792" s="2" t="inlineStr"/>
    </row>
    <row r="793" ht="15" customHeight="1">
      <c r="A793" t="inlineStr">
        <is>
          <t>A 62658-2023</t>
        </is>
      </c>
      <c r="B793" s="1" t="n">
        <v>45271</v>
      </c>
      <c r="C793" s="1" t="n">
        <v>45718</v>
      </c>
      <c r="D793" t="inlineStr">
        <is>
          <t>DALARNAS LÄN</t>
        </is>
      </c>
      <c r="E793" t="inlineStr">
        <is>
          <t>SMEDJEBACKEN</t>
        </is>
      </c>
      <c r="G793" t="n">
        <v>7.5</v>
      </c>
      <c r="H793" t="n">
        <v>0</v>
      </c>
      <c r="I793" t="n">
        <v>0</v>
      </c>
      <c r="J793" t="n">
        <v>0</v>
      </c>
      <c r="K793" t="n">
        <v>0</v>
      </c>
      <c r="L793" t="n">
        <v>0</v>
      </c>
      <c r="M793" t="n">
        <v>0</v>
      </c>
      <c r="N793" t="n">
        <v>0</v>
      </c>
      <c r="O793" t="n">
        <v>0</v>
      </c>
      <c r="P793" t="n">
        <v>0</v>
      </c>
      <c r="Q793" t="n">
        <v>0</v>
      </c>
      <c r="R793" s="2" t="inlineStr"/>
    </row>
    <row r="794" ht="15" customHeight="1">
      <c r="A794" t="inlineStr">
        <is>
          <t>A 62925-2023</t>
        </is>
      </c>
      <c r="B794" s="1" t="n">
        <v>45272</v>
      </c>
      <c r="C794" s="1" t="n">
        <v>45718</v>
      </c>
      <c r="D794" t="inlineStr">
        <is>
          <t>DALARNAS LÄN</t>
        </is>
      </c>
      <c r="E794" t="inlineStr">
        <is>
          <t>SMEDJEBACKEN</t>
        </is>
      </c>
      <c r="G794" t="n">
        <v>1</v>
      </c>
      <c r="H794" t="n">
        <v>0</v>
      </c>
      <c r="I794" t="n">
        <v>0</v>
      </c>
      <c r="J794" t="n">
        <v>0</v>
      </c>
      <c r="K794" t="n">
        <v>0</v>
      </c>
      <c r="L794" t="n">
        <v>0</v>
      </c>
      <c r="M794" t="n">
        <v>0</v>
      </c>
      <c r="N794" t="n">
        <v>0</v>
      </c>
      <c r="O794" t="n">
        <v>0</v>
      </c>
      <c r="P794" t="n">
        <v>0</v>
      </c>
      <c r="Q794" t="n">
        <v>0</v>
      </c>
      <c r="R794" s="2" t="inlineStr"/>
    </row>
    <row r="795" ht="15" customHeight="1">
      <c r="A795" t="inlineStr">
        <is>
          <t>A 62976-2023</t>
        </is>
      </c>
      <c r="B795" s="1" t="n">
        <v>45272</v>
      </c>
      <c r="C795" s="1" t="n">
        <v>45718</v>
      </c>
      <c r="D795" t="inlineStr">
        <is>
          <t>DALARNAS LÄN</t>
        </is>
      </c>
      <c r="E795" t="inlineStr">
        <is>
          <t>SMEDJEBACKEN</t>
        </is>
      </c>
      <c r="G795" t="n">
        <v>3.2</v>
      </c>
      <c r="H795" t="n">
        <v>0</v>
      </c>
      <c r="I795" t="n">
        <v>0</v>
      </c>
      <c r="J795" t="n">
        <v>0</v>
      </c>
      <c r="K795" t="n">
        <v>0</v>
      </c>
      <c r="L795" t="n">
        <v>0</v>
      </c>
      <c r="M795" t="n">
        <v>0</v>
      </c>
      <c r="N795" t="n">
        <v>0</v>
      </c>
      <c r="O795" t="n">
        <v>0</v>
      </c>
      <c r="P795" t="n">
        <v>0</v>
      </c>
      <c r="Q795" t="n">
        <v>0</v>
      </c>
      <c r="R795" s="2" t="inlineStr"/>
    </row>
    <row r="796" ht="15" customHeight="1">
      <c r="A796" t="inlineStr">
        <is>
          <t>A 63747-2023</t>
        </is>
      </c>
      <c r="B796" s="1" t="n">
        <v>45277</v>
      </c>
      <c r="C796" s="1" t="n">
        <v>45718</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63745-2023</t>
        </is>
      </c>
      <c r="B797" s="1" t="n">
        <v>45277</v>
      </c>
      <c r="C797" s="1" t="n">
        <v>45718</v>
      </c>
      <c r="D797" t="inlineStr">
        <is>
          <t>DALARNAS LÄN</t>
        </is>
      </c>
      <c r="E797" t="inlineStr">
        <is>
          <t>SMEDJEBACKEN</t>
        </is>
      </c>
      <c r="G797" t="n">
        <v>9.4</v>
      </c>
      <c r="H797" t="n">
        <v>0</v>
      </c>
      <c r="I797" t="n">
        <v>0</v>
      </c>
      <c r="J797" t="n">
        <v>0</v>
      </c>
      <c r="K797" t="n">
        <v>0</v>
      </c>
      <c r="L797" t="n">
        <v>0</v>
      </c>
      <c r="M797" t="n">
        <v>0</v>
      </c>
      <c r="N797" t="n">
        <v>0</v>
      </c>
      <c r="O797" t="n">
        <v>0</v>
      </c>
      <c r="P797" t="n">
        <v>0</v>
      </c>
      <c r="Q797" t="n">
        <v>0</v>
      </c>
      <c r="R797" s="2" t="inlineStr"/>
    </row>
    <row r="798" ht="15" customHeight="1">
      <c r="A798" t="inlineStr">
        <is>
          <t>A 958-2024</t>
        </is>
      </c>
      <c r="B798" s="1" t="n">
        <v>45301</v>
      </c>
      <c r="C798" s="1" t="n">
        <v>45718</v>
      </c>
      <c r="D798" t="inlineStr">
        <is>
          <t>DALARNAS LÄN</t>
        </is>
      </c>
      <c r="E798" t="inlineStr">
        <is>
          <t>SMEDJEBACKEN</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2046-2024</t>
        </is>
      </c>
      <c r="B799" s="1" t="n">
        <v>45308</v>
      </c>
      <c r="C799" s="1" t="n">
        <v>45718</v>
      </c>
      <c r="D799" t="inlineStr">
        <is>
          <t>DALARNAS LÄN</t>
        </is>
      </c>
      <c r="E799" t="inlineStr">
        <is>
          <t>SMEDJEBACKEN</t>
        </is>
      </c>
      <c r="G799" t="n">
        <v>1.9</v>
      </c>
      <c r="H799" t="n">
        <v>0</v>
      </c>
      <c r="I799" t="n">
        <v>0</v>
      </c>
      <c r="J799" t="n">
        <v>0</v>
      </c>
      <c r="K799" t="n">
        <v>0</v>
      </c>
      <c r="L799" t="n">
        <v>0</v>
      </c>
      <c r="M799" t="n">
        <v>0</v>
      </c>
      <c r="N799" t="n">
        <v>0</v>
      </c>
      <c r="O799" t="n">
        <v>0</v>
      </c>
      <c r="P799" t="n">
        <v>0</v>
      </c>
      <c r="Q799" t="n">
        <v>0</v>
      </c>
      <c r="R799" s="2" t="inlineStr"/>
    </row>
    <row r="800" ht="15" customHeight="1">
      <c r="A800" t="inlineStr">
        <is>
          <t>A 2275-2024</t>
        </is>
      </c>
      <c r="B800" s="1" t="n">
        <v>45310</v>
      </c>
      <c r="C800" s="1" t="n">
        <v>45718</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2300-2024</t>
        </is>
      </c>
      <c r="B801" s="1" t="n">
        <v>45310</v>
      </c>
      <c r="C801" s="1" t="n">
        <v>45718</v>
      </c>
      <c r="D801" t="inlineStr">
        <is>
          <t>DALARNAS LÄN</t>
        </is>
      </c>
      <c r="E801" t="inlineStr">
        <is>
          <t>SMEDJEBACKEN</t>
        </is>
      </c>
      <c r="F801" t="inlineStr">
        <is>
          <t>Övriga Aktiebolag</t>
        </is>
      </c>
      <c r="G801" t="n">
        <v>1.5</v>
      </c>
      <c r="H801" t="n">
        <v>0</v>
      </c>
      <c r="I801" t="n">
        <v>0</v>
      </c>
      <c r="J801" t="n">
        <v>0</v>
      </c>
      <c r="K801" t="n">
        <v>0</v>
      </c>
      <c r="L801" t="n">
        <v>0</v>
      </c>
      <c r="M801" t="n">
        <v>0</v>
      </c>
      <c r="N801" t="n">
        <v>0</v>
      </c>
      <c r="O801" t="n">
        <v>0</v>
      </c>
      <c r="P801" t="n">
        <v>0</v>
      </c>
      <c r="Q801" t="n">
        <v>0</v>
      </c>
      <c r="R801" s="2" t="inlineStr"/>
    </row>
    <row r="802" ht="15" customHeight="1">
      <c r="A802" t="inlineStr">
        <is>
          <t>A 3418-2024</t>
        </is>
      </c>
      <c r="B802" s="1" t="n">
        <v>45319</v>
      </c>
      <c r="C802" s="1" t="n">
        <v>45718</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3423-2024</t>
        </is>
      </c>
      <c r="B803" s="1" t="n">
        <v>45319</v>
      </c>
      <c r="C803" s="1" t="n">
        <v>45718</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4832-2024</t>
        </is>
      </c>
      <c r="B804" s="1" t="n">
        <v>45329</v>
      </c>
      <c r="C804" s="1" t="n">
        <v>45718</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5358-2024</t>
        </is>
      </c>
      <c r="B805" s="1" t="n">
        <v>45331</v>
      </c>
      <c r="C805" s="1" t="n">
        <v>45718</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5361-2024</t>
        </is>
      </c>
      <c r="B806" s="1" t="n">
        <v>45331</v>
      </c>
      <c r="C806" s="1" t="n">
        <v>45718</v>
      </c>
      <c r="D806" t="inlineStr">
        <is>
          <t>DALARNAS LÄN</t>
        </is>
      </c>
      <c r="E806" t="inlineStr">
        <is>
          <t>SMEDJEBACKEN</t>
        </is>
      </c>
      <c r="G806" t="n">
        <v>1</v>
      </c>
      <c r="H806" t="n">
        <v>0</v>
      </c>
      <c r="I806" t="n">
        <v>0</v>
      </c>
      <c r="J806" t="n">
        <v>0</v>
      </c>
      <c r="K806" t="n">
        <v>0</v>
      </c>
      <c r="L806" t="n">
        <v>0</v>
      </c>
      <c r="M806" t="n">
        <v>0</v>
      </c>
      <c r="N806" t="n">
        <v>0</v>
      </c>
      <c r="O806" t="n">
        <v>0</v>
      </c>
      <c r="P806" t="n">
        <v>0</v>
      </c>
      <c r="Q806" t="n">
        <v>0</v>
      </c>
      <c r="R806" s="2" t="inlineStr"/>
    </row>
    <row r="807" ht="15" customHeight="1">
      <c r="A807" t="inlineStr">
        <is>
          <t>A 6464-2024</t>
        </is>
      </c>
      <c r="B807" s="1" t="n">
        <v>45338</v>
      </c>
      <c r="C807" s="1" t="n">
        <v>45718</v>
      </c>
      <c r="D807" t="inlineStr">
        <is>
          <t>DALARNAS LÄN</t>
        </is>
      </c>
      <c r="E807" t="inlineStr">
        <is>
          <t>SMEDJEBACKEN</t>
        </is>
      </c>
      <c r="G807" t="n">
        <v>2.9</v>
      </c>
      <c r="H807" t="n">
        <v>0</v>
      </c>
      <c r="I807" t="n">
        <v>0</v>
      </c>
      <c r="J807" t="n">
        <v>0</v>
      </c>
      <c r="K807" t="n">
        <v>0</v>
      </c>
      <c r="L807" t="n">
        <v>0</v>
      </c>
      <c r="M807" t="n">
        <v>0</v>
      </c>
      <c r="N807" t="n">
        <v>0</v>
      </c>
      <c r="O807" t="n">
        <v>0</v>
      </c>
      <c r="P807" t="n">
        <v>0</v>
      </c>
      <c r="Q807" t="n">
        <v>0</v>
      </c>
      <c r="R807" s="2" t="inlineStr"/>
    </row>
    <row r="808" ht="15" customHeight="1">
      <c r="A808" t="inlineStr">
        <is>
          <t>A 6751-2024</t>
        </is>
      </c>
      <c r="B808" s="1" t="n">
        <v>45342</v>
      </c>
      <c r="C808" s="1" t="n">
        <v>45718</v>
      </c>
      <c r="D808" t="inlineStr">
        <is>
          <t>DALARNAS LÄN</t>
        </is>
      </c>
      <c r="E808" t="inlineStr">
        <is>
          <t>SMEDJEBACKEN</t>
        </is>
      </c>
      <c r="G808" t="n">
        <v>5.3</v>
      </c>
      <c r="H808" t="n">
        <v>0</v>
      </c>
      <c r="I808" t="n">
        <v>0</v>
      </c>
      <c r="J808" t="n">
        <v>0</v>
      </c>
      <c r="K808" t="n">
        <v>0</v>
      </c>
      <c r="L808" t="n">
        <v>0</v>
      </c>
      <c r="M808" t="n">
        <v>0</v>
      </c>
      <c r="N808" t="n">
        <v>0</v>
      </c>
      <c r="O808" t="n">
        <v>0</v>
      </c>
      <c r="P808" t="n">
        <v>0</v>
      </c>
      <c r="Q808" t="n">
        <v>0</v>
      </c>
      <c r="R808" s="2" t="inlineStr"/>
    </row>
    <row r="809" ht="15" customHeight="1">
      <c r="A809" t="inlineStr">
        <is>
          <t>A 6749-2024</t>
        </is>
      </c>
      <c r="B809" s="1" t="n">
        <v>45342</v>
      </c>
      <c r="C809" s="1" t="n">
        <v>45718</v>
      </c>
      <c r="D809" t="inlineStr">
        <is>
          <t>DALARNAS LÄN</t>
        </is>
      </c>
      <c r="E809" t="inlineStr">
        <is>
          <t>SMEDJEBACKEN</t>
        </is>
      </c>
      <c r="G809" t="n">
        <v>2.6</v>
      </c>
      <c r="H809" t="n">
        <v>0</v>
      </c>
      <c r="I809" t="n">
        <v>0</v>
      </c>
      <c r="J809" t="n">
        <v>0</v>
      </c>
      <c r="K809" t="n">
        <v>0</v>
      </c>
      <c r="L809" t="n">
        <v>0</v>
      </c>
      <c r="M809" t="n">
        <v>0</v>
      </c>
      <c r="N809" t="n">
        <v>0</v>
      </c>
      <c r="O809" t="n">
        <v>0</v>
      </c>
      <c r="P809" t="n">
        <v>0</v>
      </c>
      <c r="Q809" t="n">
        <v>0</v>
      </c>
      <c r="R809" s="2" t="inlineStr"/>
    </row>
    <row r="810" ht="15" customHeight="1">
      <c r="A810" t="inlineStr">
        <is>
          <t>A 8091-2024</t>
        </is>
      </c>
      <c r="B810" s="1" t="n">
        <v>45351</v>
      </c>
      <c r="C810" s="1" t="n">
        <v>45718</v>
      </c>
      <c r="D810" t="inlineStr">
        <is>
          <t>DALARNAS LÄN</t>
        </is>
      </c>
      <c r="E810" t="inlineStr">
        <is>
          <t>SMEDJEBACKEN</t>
        </is>
      </c>
      <c r="G810" t="n">
        <v>5.1</v>
      </c>
      <c r="H810" t="n">
        <v>0</v>
      </c>
      <c r="I810" t="n">
        <v>0</v>
      </c>
      <c r="J810" t="n">
        <v>0</v>
      </c>
      <c r="K810" t="n">
        <v>0</v>
      </c>
      <c r="L810" t="n">
        <v>0</v>
      </c>
      <c r="M810" t="n">
        <v>0</v>
      </c>
      <c r="N810" t="n">
        <v>0</v>
      </c>
      <c r="O810" t="n">
        <v>0</v>
      </c>
      <c r="P810" t="n">
        <v>0</v>
      </c>
      <c r="Q810" t="n">
        <v>0</v>
      </c>
      <c r="R810" s="2" t="inlineStr"/>
    </row>
    <row r="811" ht="15" customHeight="1">
      <c r="A811" t="inlineStr">
        <is>
          <t>A 9463-2024</t>
        </is>
      </c>
      <c r="B811" s="1" t="n">
        <v>45359</v>
      </c>
      <c r="C811" s="1" t="n">
        <v>45718</v>
      </c>
      <c r="D811" t="inlineStr">
        <is>
          <t>DALARNAS LÄN</t>
        </is>
      </c>
      <c r="E811" t="inlineStr">
        <is>
          <t>SMEDJEBACKEN</t>
        </is>
      </c>
      <c r="F811" t="inlineStr">
        <is>
          <t>Övriga Aktiebolag</t>
        </is>
      </c>
      <c r="G811" t="n">
        <v>3.7</v>
      </c>
      <c r="H811" t="n">
        <v>0</v>
      </c>
      <c r="I811" t="n">
        <v>0</v>
      </c>
      <c r="J811" t="n">
        <v>0</v>
      </c>
      <c r="K811" t="n">
        <v>0</v>
      </c>
      <c r="L811" t="n">
        <v>0</v>
      </c>
      <c r="M811" t="n">
        <v>0</v>
      </c>
      <c r="N811" t="n">
        <v>0</v>
      </c>
      <c r="O811" t="n">
        <v>0</v>
      </c>
      <c r="P811" t="n">
        <v>0</v>
      </c>
      <c r="Q811" t="n">
        <v>0</v>
      </c>
      <c r="R811" s="2" t="inlineStr"/>
    </row>
    <row r="812" ht="15" customHeight="1">
      <c r="A812" t="inlineStr">
        <is>
          <t>A 9949-2024</t>
        </is>
      </c>
      <c r="B812" s="1" t="n">
        <v>45363</v>
      </c>
      <c r="C812" s="1" t="n">
        <v>45718</v>
      </c>
      <c r="D812" t="inlineStr">
        <is>
          <t>DALARNAS LÄN</t>
        </is>
      </c>
      <c r="E812" t="inlineStr">
        <is>
          <t>SMEDJEBACKEN</t>
        </is>
      </c>
      <c r="G812" t="n">
        <v>3.9</v>
      </c>
      <c r="H812" t="n">
        <v>0</v>
      </c>
      <c r="I812" t="n">
        <v>0</v>
      </c>
      <c r="J812" t="n">
        <v>0</v>
      </c>
      <c r="K812" t="n">
        <v>0</v>
      </c>
      <c r="L812" t="n">
        <v>0</v>
      </c>
      <c r="M812" t="n">
        <v>0</v>
      </c>
      <c r="N812" t="n">
        <v>0</v>
      </c>
      <c r="O812" t="n">
        <v>0</v>
      </c>
      <c r="P812" t="n">
        <v>0</v>
      </c>
      <c r="Q812" t="n">
        <v>0</v>
      </c>
      <c r="R812" s="2" t="inlineStr"/>
    </row>
    <row r="813" ht="15" customHeight="1">
      <c r="A813" t="inlineStr">
        <is>
          <t>A 10850-2024</t>
        </is>
      </c>
      <c r="B813" s="1" t="n">
        <v>45370</v>
      </c>
      <c r="C813" s="1" t="n">
        <v>45718</v>
      </c>
      <c r="D813" t="inlineStr">
        <is>
          <t>DALARNAS LÄN</t>
        </is>
      </c>
      <c r="E813" t="inlineStr">
        <is>
          <t>SMEDJEBACKEN</t>
        </is>
      </c>
      <c r="G813" t="n">
        <v>0.9</v>
      </c>
      <c r="H813" t="n">
        <v>0</v>
      </c>
      <c r="I813" t="n">
        <v>0</v>
      </c>
      <c r="J813" t="n">
        <v>0</v>
      </c>
      <c r="K813" t="n">
        <v>0</v>
      </c>
      <c r="L813" t="n">
        <v>0</v>
      </c>
      <c r="M813" t="n">
        <v>0</v>
      </c>
      <c r="N813" t="n">
        <v>0</v>
      </c>
      <c r="O813" t="n">
        <v>0</v>
      </c>
      <c r="P813" t="n">
        <v>0</v>
      </c>
      <c r="Q813" t="n">
        <v>0</v>
      </c>
      <c r="R813" s="2" t="inlineStr"/>
    </row>
    <row r="814" ht="15" customHeight="1">
      <c r="A814" t="inlineStr">
        <is>
          <t>A 11100-2024</t>
        </is>
      </c>
      <c r="B814" s="1" t="n">
        <v>45371</v>
      </c>
      <c r="C814" s="1" t="n">
        <v>45718</v>
      </c>
      <c r="D814" t="inlineStr">
        <is>
          <t>DALARNAS LÄN</t>
        </is>
      </c>
      <c r="E814" t="inlineStr">
        <is>
          <t>SMEDJEBACKEN</t>
        </is>
      </c>
      <c r="G814" t="n">
        <v>5.7</v>
      </c>
      <c r="H814" t="n">
        <v>0</v>
      </c>
      <c r="I814" t="n">
        <v>0</v>
      </c>
      <c r="J814" t="n">
        <v>0</v>
      </c>
      <c r="K814" t="n">
        <v>0</v>
      </c>
      <c r="L814" t="n">
        <v>0</v>
      </c>
      <c r="M814" t="n">
        <v>0</v>
      </c>
      <c r="N814" t="n">
        <v>0</v>
      </c>
      <c r="O814" t="n">
        <v>0</v>
      </c>
      <c r="P814" t="n">
        <v>0</v>
      </c>
      <c r="Q814" t="n">
        <v>0</v>
      </c>
      <c r="R814" s="2" t="inlineStr"/>
    </row>
    <row r="815" ht="15" customHeight="1">
      <c r="A815" t="inlineStr">
        <is>
          <t>A 11125-2024</t>
        </is>
      </c>
      <c r="B815" s="1" t="n">
        <v>45371</v>
      </c>
      <c r="C815" s="1" t="n">
        <v>45718</v>
      </c>
      <c r="D815" t="inlineStr">
        <is>
          <t>DALARNAS LÄN</t>
        </is>
      </c>
      <c r="E815" t="inlineStr">
        <is>
          <t>SMEDJEBACKEN</t>
        </is>
      </c>
      <c r="G815" t="n">
        <v>1.1</v>
      </c>
      <c r="H815" t="n">
        <v>0</v>
      </c>
      <c r="I815" t="n">
        <v>0</v>
      </c>
      <c r="J815" t="n">
        <v>0</v>
      </c>
      <c r="K815" t="n">
        <v>0</v>
      </c>
      <c r="L815" t="n">
        <v>0</v>
      </c>
      <c r="M815" t="n">
        <v>0</v>
      </c>
      <c r="N815" t="n">
        <v>0</v>
      </c>
      <c r="O815" t="n">
        <v>0</v>
      </c>
      <c r="P815" t="n">
        <v>0</v>
      </c>
      <c r="Q815" t="n">
        <v>0</v>
      </c>
      <c r="R815" s="2" t="inlineStr"/>
    </row>
    <row r="816" ht="15" customHeight="1">
      <c r="A816" t="inlineStr">
        <is>
          <t>A 11514-2024</t>
        </is>
      </c>
      <c r="B816" s="1" t="n">
        <v>45372</v>
      </c>
      <c r="C816" s="1" t="n">
        <v>45718</v>
      </c>
      <c r="D816" t="inlineStr">
        <is>
          <t>DALARNAS LÄN</t>
        </is>
      </c>
      <c r="E816" t="inlineStr">
        <is>
          <t>SMEDJEBACKEN</t>
        </is>
      </c>
      <c r="G816" t="n">
        <v>1.4</v>
      </c>
      <c r="H816" t="n">
        <v>0</v>
      </c>
      <c r="I816" t="n">
        <v>0</v>
      </c>
      <c r="J816" t="n">
        <v>0</v>
      </c>
      <c r="K816" t="n">
        <v>0</v>
      </c>
      <c r="L816" t="n">
        <v>0</v>
      </c>
      <c r="M816" t="n">
        <v>0</v>
      </c>
      <c r="N816" t="n">
        <v>0</v>
      </c>
      <c r="O816" t="n">
        <v>0</v>
      </c>
      <c r="P816" t="n">
        <v>0</v>
      </c>
      <c r="Q816" t="n">
        <v>0</v>
      </c>
      <c r="R816" s="2" t="inlineStr"/>
    </row>
    <row r="817" ht="15" customHeight="1">
      <c r="A817" t="inlineStr">
        <is>
          <t>A 12125-2024</t>
        </is>
      </c>
      <c r="B817" s="1" t="n">
        <v>45377</v>
      </c>
      <c r="C817" s="1" t="n">
        <v>45718</v>
      </c>
      <c r="D817" t="inlineStr">
        <is>
          <t>DALARNAS LÄN</t>
        </is>
      </c>
      <c r="E817" t="inlineStr">
        <is>
          <t>SMEDJEBACKEN</t>
        </is>
      </c>
      <c r="G817" t="n">
        <v>0.6</v>
      </c>
      <c r="H817" t="n">
        <v>0</v>
      </c>
      <c r="I817" t="n">
        <v>0</v>
      </c>
      <c r="J817" t="n">
        <v>0</v>
      </c>
      <c r="K817" t="n">
        <v>0</v>
      </c>
      <c r="L817" t="n">
        <v>0</v>
      </c>
      <c r="M817" t="n">
        <v>0</v>
      </c>
      <c r="N817" t="n">
        <v>0</v>
      </c>
      <c r="O817" t="n">
        <v>0</v>
      </c>
      <c r="P817" t="n">
        <v>0</v>
      </c>
      <c r="Q817" t="n">
        <v>0</v>
      </c>
      <c r="R817" s="2" t="inlineStr"/>
    </row>
    <row r="818" ht="15" customHeight="1">
      <c r="A818" t="inlineStr">
        <is>
          <t>A 12218-2024</t>
        </is>
      </c>
      <c r="B818" s="1" t="n">
        <v>45378</v>
      </c>
      <c r="C818" s="1" t="n">
        <v>45718</v>
      </c>
      <c r="D818" t="inlineStr">
        <is>
          <t>DALARNAS LÄN</t>
        </is>
      </c>
      <c r="E818" t="inlineStr">
        <is>
          <t>SMEDJEBACKEN</t>
        </is>
      </c>
      <c r="G818" t="n">
        <v>3.3</v>
      </c>
      <c r="H818" t="n">
        <v>0</v>
      </c>
      <c r="I818" t="n">
        <v>0</v>
      </c>
      <c r="J818" t="n">
        <v>0</v>
      </c>
      <c r="K818" t="n">
        <v>0</v>
      </c>
      <c r="L818" t="n">
        <v>0</v>
      </c>
      <c r="M818" t="n">
        <v>0</v>
      </c>
      <c r="N818" t="n">
        <v>0</v>
      </c>
      <c r="O818" t="n">
        <v>0</v>
      </c>
      <c r="P818" t="n">
        <v>0</v>
      </c>
      <c r="Q818" t="n">
        <v>0</v>
      </c>
      <c r="R818" s="2" t="inlineStr"/>
    </row>
    <row r="819" ht="15" customHeight="1">
      <c r="A819" t="inlineStr">
        <is>
          <t>A 13730-2024</t>
        </is>
      </c>
      <c r="B819" s="1" t="n">
        <v>45390</v>
      </c>
      <c r="C819" s="1" t="n">
        <v>45718</v>
      </c>
      <c r="D819" t="inlineStr">
        <is>
          <t>DALARNAS LÄN</t>
        </is>
      </c>
      <c r="E819" t="inlineStr">
        <is>
          <t>SMEDJEBACKEN</t>
        </is>
      </c>
      <c r="G819" t="n">
        <v>1.7</v>
      </c>
      <c r="H819" t="n">
        <v>0</v>
      </c>
      <c r="I819" t="n">
        <v>0</v>
      </c>
      <c r="J819" t="n">
        <v>0</v>
      </c>
      <c r="K819" t="n">
        <v>0</v>
      </c>
      <c r="L819" t="n">
        <v>0</v>
      </c>
      <c r="M819" t="n">
        <v>0</v>
      </c>
      <c r="N819" t="n">
        <v>0</v>
      </c>
      <c r="O819" t="n">
        <v>0</v>
      </c>
      <c r="P819" t="n">
        <v>0</v>
      </c>
      <c r="Q819" t="n">
        <v>0</v>
      </c>
      <c r="R819" s="2" t="inlineStr"/>
    </row>
    <row r="820" ht="15" customHeight="1">
      <c r="A820" t="inlineStr">
        <is>
          <t>A 13900-2024</t>
        </is>
      </c>
      <c r="B820" s="1" t="n">
        <v>45391</v>
      </c>
      <c r="C820" s="1" t="n">
        <v>45718</v>
      </c>
      <c r="D820" t="inlineStr">
        <is>
          <t>DALARNAS LÄN</t>
        </is>
      </c>
      <c r="E820" t="inlineStr">
        <is>
          <t>SMEDJEBACKEN</t>
        </is>
      </c>
      <c r="G820" t="n">
        <v>5</v>
      </c>
      <c r="H820" t="n">
        <v>0</v>
      </c>
      <c r="I820" t="n">
        <v>0</v>
      </c>
      <c r="J820" t="n">
        <v>0</v>
      </c>
      <c r="K820" t="n">
        <v>0</v>
      </c>
      <c r="L820" t="n">
        <v>0</v>
      </c>
      <c r="M820" t="n">
        <v>0</v>
      </c>
      <c r="N820" t="n">
        <v>0</v>
      </c>
      <c r="O820" t="n">
        <v>0</v>
      </c>
      <c r="P820" t="n">
        <v>0</v>
      </c>
      <c r="Q820" t="n">
        <v>0</v>
      </c>
      <c r="R820" s="2" t="inlineStr"/>
    </row>
    <row r="821" ht="15" customHeight="1">
      <c r="A821" t="inlineStr">
        <is>
          <t>A 14704-2024</t>
        </is>
      </c>
      <c r="B821" s="1" t="n">
        <v>45397</v>
      </c>
      <c r="C821" s="1" t="n">
        <v>45718</v>
      </c>
      <c r="D821" t="inlineStr">
        <is>
          <t>DALARNAS LÄN</t>
        </is>
      </c>
      <c r="E821" t="inlineStr">
        <is>
          <t>SMEDJEBACKEN</t>
        </is>
      </c>
      <c r="G821" t="n">
        <v>3.6</v>
      </c>
      <c r="H821" t="n">
        <v>0</v>
      </c>
      <c r="I821" t="n">
        <v>0</v>
      </c>
      <c r="J821" t="n">
        <v>0</v>
      </c>
      <c r="K821" t="n">
        <v>0</v>
      </c>
      <c r="L821" t="n">
        <v>0</v>
      </c>
      <c r="M821" t="n">
        <v>0</v>
      </c>
      <c r="N821" t="n">
        <v>0</v>
      </c>
      <c r="O821" t="n">
        <v>0</v>
      </c>
      <c r="P821" t="n">
        <v>0</v>
      </c>
      <c r="Q821" t="n">
        <v>0</v>
      </c>
      <c r="R821" s="2" t="inlineStr"/>
    </row>
    <row r="822" ht="15" customHeight="1">
      <c r="A822" t="inlineStr">
        <is>
          <t>A 14685-2024</t>
        </is>
      </c>
      <c r="B822" s="1" t="n">
        <v>45397</v>
      </c>
      <c r="C822" s="1" t="n">
        <v>45718</v>
      </c>
      <c r="D822" t="inlineStr">
        <is>
          <t>DALARNAS LÄN</t>
        </is>
      </c>
      <c r="E822" t="inlineStr">
        <is>
          <t>SMEDJEBACKEN</t>
        </is>
      </c>
      <c r="F822" t="inlineStr">
        <is>
          <t>Övriga Aktiebolag</t>
        </is>
      </c>
      <c r="G822" t="n">
        <v>14.3</v>
      </c>
      <c r="H822" t="n">
        <v>0</v>
      </c>
      <c r="I822" t="n">
        <v>0</v>
      </c>
      <c r="J822" t="n">
        <v>0</v>
      </c>
      <c r="K822" t="n">
        <v>0</v>
      </c>
      <c r="L822" t="n">
        <v>0</v>
      </c>
      <c r="M822" t="n">
        <v>0</v>
      </c>
      <c r="N822" t="n">
        <v>0</v>
      </c>
      <c r="O822" t="n">
        <v>0</v>
      </c>
      <c r="P822" t="n">
        <v>0</v>
      </c>
      <c r="Q822" t="n">
        <v>0</v>
      </c>
      <c r="R822" s="2" t="inlineStr"/>
    </row>
    <row r="823" ht="15" customHeight="1">
      <c r="A823" t="inlineStr">
        <is>
          <t>A 14677-2024</t>
        </is>
      </c>
      <c r="B823" s="1" t="n">
        <v>45397</v>
      </c>
      <c r="C823" s="1" t="n">
        <v>45718</v>
      </c>
      <c r="D823" t="inlineStr">
        <is>
          <t>DALARNAS LÄN</t>
        </is>
      </c>
      <c r="E823" t="inlineStr">
        <is>
          <t>SMEDJEBACKEN</t>
        </is>
      </c>
      <c r="G823" t="n">
        <v>2.5</v>
      </c>
      <c r="H823" t="n">
        <v>0</v>
      </c>
      <c r="I823" t="n">
        <v>0</v>
      </c>
      <c r="J823" t="n">
        <v>0</v>
      </c>
      <c r="K823" t="n">
        <v>0</v>
      </c>
      <c r="L823" t="n">
        <v>0</v>
      </c>
      <c r="M823" t="n">
        <v>0</v>
      </c>
      <c r="N823" t="n">
        <v>0</v>
      </c>
      <c r="O823" t="n">
        <v>0</v>
      </c>
      <c r="P823" t="n">
        <v>0</v>
      </c>
      <c r="Q823" t="n">
        <v>0</v>
      </c>
      <c r="R823" s="2" t="inlineStr"/>
    </row>
    <row r="824" ht="15" customHeight="1">
      <c r="A824" t="inlineStr">
        <is>
          <t>A 14682-2024</t>
        </is>
      </c>
      <c r="B824" s="1" t="n">
        <v>45397</v>
      </c>
      <c r="C824" s="1" t="n">
        <v>45718</v>
      </c>
      <c r="D824" t="inlineStr">
        <is>
          <t>DALARNAS LÄN</t>
        </is>
      </c>
      <c r="E824" t="inlineStr">
        <is>
          <t>SMEDJEBACKEN</t>
        </is>
      </c>
      <c r="G824" t="n">
        <v>3.4</v>
      </c>
      <c r="H824" t="n">
        <v>0</v>
      </c>
      <c r="I824" t="n">
        <v>0</v>
      </c>
      <c r="J824" t="n">
        <v>0</v>
      </c>
      <c r="K824" t="n">
        <v>0</v>
      </c>
      <c r="L824" t="n">
        <v>0</v>
      </c>
      <c r="M824" t="n">
        <v>0</v>
      </c>
      <c r="N824" t="n">
        <v>0</v>
      </c>
      <c r="O824" t="n">
        <v>0</v>
      </c>
      <c r="P824" t="n">
        <v>0</v>
      </c>
      <c r="Q824" t="n">
        <v>0</v>
      </c>
      <c r="R824" s="2" t="inlineStr"/>
    </row>
    <row r="825" ht="15" customHeight="1">
      <c r="A825" t="inlineStr">
        <is>
          <t>A 15390-2024</t>
        </is>
      </c>
      <c r="B825" s="1" t="n">
        <v>45401</v>
      </c>
      <c r="C825" s="1" t="n">
        <v>45718</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15557-2024</t>
        </is>
      </c>
      <c r="B826" s="1" t="n">
        <v>45401</v>
      </c>
      <c r="C826" s="1" t="n">
        <v>45718</v>
      </c>
      <c r="D826" t="inlineStr">
        <is>
          <t>DALARNAS LÄN</t>
        </is>
      </c>
      <c r="E826" t="inlineStr">
        <is>
          <t>SMEDJEBACKEN</t>
        </is>
      </c>
      <c r="G826" t="n">
        <v>2.4</v>
      </c>
      <c r="H826" t="n">
        <v>0</v>
      </c>
      <c r="I826" t="n">
        <v>0</v>
      </c>
      <c r="J826" t="n">
        <v>0</v>
      </c>
      <c r="K826" t="n">
        <v>0</v>
      </c>
      <c r="L826" t="n">
        <v>0</v>
      </c>
      <c r="M826" t="n">
        <v>0</v>
      </c>
      <c r="N826" t="n">
        <v>0</v>
      </c>
      <c r="O826" t="n">
        <v>0</v>
      </c>
      <c r="P826" t="n">
        <v>0</v>
      </c>
      <c r="Q826" t="n">
        <v>0</v>
      </c>
      <c r="R826" s="2" t="inlineStr"/>
    </row>
    <row r="827" ht="15" customHeight="1">
      <c r="A827" t="inlineStr">
        <is>
          <t>A 15391-2024</t>
        </is>
      </c>
      <c r="B827" s="1" t="n">
        <v>45401</v>
      </c>
      <c r="C827" s="1" t="n">
        <v>45718</v>
      </c>
      <c r="D827" t="inlineStr">
        <is>
          <t>DALARNAS LÄN</t>
        </is>
      </c>
      <c r="E827" t="inlineStr">
        <is>
          <t>SMEDJEBACKEN</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16445-2024</t>
        </is>
      </c>
      <c r="B828" s="1" t="n">
        <v>45407</v>
      </c>
      <c r="C828" s="1" t="n">
        <v>45718</v>
      </c>
      <c r="D828" t="inlineStr">
        <is>
          <t>DALARNAS LÄN</t>
        </is>
      </c>
      <c r="E828" t="inlineStr">
        <is>
          <t>SMEDJEBACKEN</t>
        </is>
      </c>
      <c r="G828" t="n">
        <v>4.2</v>
      </c>
      <c r="H828" t="n">
        <v>0</v>
      </c>
      <c r="I828" t="n">
        <v>0</v>
      </c>
      <c r="J828" t="n">
        <v>0</v>
      </c>
      <c r="K828" t="n">
        <v>0</v>
      </c>
      <c r="L828" t="n">
        <v>0</v>
      </c>
      <c r="M828" t="n">
        <v>0</v>
      </c>
      <c r="N828" t="n">
        <v>0</v>
      </c>
      <c r="O828" t="n">
        <v>0</v>
      </c>
      <c r="P828" t="n">
        <v>0</v>
      </c>
      <c r="Q828" t="n">
        <v>0</v>
      </c>
      <c r="R828" s="2" t="inlineStr"/>
    </row>
    <row r="829" ht="15" customHeight="1">
      <c r="A829" t="inlineStr">
        <is>
          <t>A 16597-2024</t>
        </is>
      </c>
      <c r="B829" s="1" t="n">
        <v>45408</v>
      </c>
      <c r="C829" s="1" t="n">
        <v>45718</v>
      </c>
      <c r="D829" t="inlineStr">
        <is>
          <t>DALARNAS LÄN</t>
        </is>
      </c>
      <c r="E829" t="inlineStr">
        <is>
          <t>SMEDJEBACKEN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16601-2024</t>
        </is>
      </c>
      <c r="B830" s="1" t="n">
        <v>45408</v>
      </c>
      <c r="C830" s="1" t="n">
        <v>45718</v>
      </c>
      <c r="D830" t="inlineStr">
        <is>
          <t>DALARNAS LÄN</t>
        </is>
      </c>
      <c r="E830" t="inlineStr">
        <is>
          <t>SMEDJEBACKEN</t>
        </is>
      </c>
      <c r="F830" t="inlineStr">
        <is>
          <t>Sveaskog</t>
        </is>
      </c>
      <c r="G830" t="n">
        <v>7.5</v>
      </c>
      <c r="H830" t="n">
        <v>0</v>
      </c>
      <c r="I830" t="n">
        <v>0</v>
      </c>
      <c r="J830" t="n">
        <v>0</v>
      </c>
      <c r="K830" t="n">
        <v>0</v>
      </c>
      <c r="L830" t="n">
        <v>0</v>
      </c>
      <c r="M830" t="n">
        <v>0</v>
      </c>
      <c r="N830" t="n">
        <v>0</v>
      </c>
      <c r="O830" t="n">
        <v>0</v>
      </c>
      <c r="P830" t="n">
        <v>0</v>
      </c>
      <c r="Q830" t="n">
        <v>0</v>
      </c>
      <c r="R830" s="2" t="inlineStr"/>
    </row>
    <row r="831" ht="15" customHeight="1">
      <c r="A831" t="inlineStr">
        <is>
          <t>A 16596-2024</t>
        </is>
      </c>
      <c r="B831" s="1" t="n">
        <v>45408</v>
      </c>
      <c r="C831" s="1" t="n">
        <v>45718</v>
      </c>
      <c r="D831" t="inlineStr">
        <is>
          <t>DALARNAS LÄN</t>
        </is>
      </c>
      <c r="E831" t="inlineStr">
        <is>
          <t>SMEDJEBACKEN</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16600-2024</t>
        </is>
      </c>
      <c r="B832" s="1" t="n">
        <v>45408</v>
      </c>
      <c r="C832" s="1" t="n">
        <v>45718</v>
      </c>
      <c r="D832" t="inlineStr">
        <is>
          <t>DALARNAS LÄN</t>
        </is>
      </c>
      <c r="E832" t="inlineStr">
        <is>
          <t>SMEDJEBACKEN</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16595-2024</t>
        </is>
      </c>
      <c r="B833" s="1" t="n">
        <v>45408</v>
      </c>
      <c r="C833" s="1" t="n">
        <v>45718</v>
      </c>
      <c r="D833" t="inlineStr">
        <is>
          <t>DALARNAS LÄN</t>
        </is>
      </c>
      <c r="E833" t="inlineStr">
        <is>
          <t>SMEDJEBACKEN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16598-2024</t>
        </is>
      </c>
      <c r="B834" s="1" t="n">
        <v>45408</v>
      </c>
      <c r="C834" s="1" t="n">
        <v>45718</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17134-2024</t>
        </is>
      </c>
      <c r="B835" s="1" t="n">
        <v>45412</v>
      </c>
      <c r="C835" s="1" t="n">
        <v>45718</v>
      </c>
      <c r="D835" t="inlineStr">
        <is>
          <t>DALARNAS LÄN</t>
        </is>
      </c>
      <c r="E835" t="inlineStr">
        <is>
          <t>SMEDJEBACKEN</t>
        </is>
      </c>
      <c r="G835" t="n">
        <v>2</v>
      </c>
      <c r="H835" t="n">
        <v>0</v>
      </c>
      <c r="I835" t="n">
        <v>0</v>
      </c>
      <c r="J835" t="n">
        <v>0</v>
      </c>
      <c r="K835" t="n">
        <v>0</v>
      </c>
      <c r="L835" t="n">
        <v>0</v>
      </c>
      <c r="M835" t="n">
        <v>0</v>
      </c>
      <c r="N835" t="n">
        <v>0</v>
      </c>
      <c r="O835" t="n">
        <v>0</v>
      </c>
      <c r="P835" t="n">
        <v>0</v>
      </c>
      <c r="Q835" t="n">
        <v>0</v>
      </c>
      <c r="R835" s="2" t="inlineStr"/>
    </row>
    <row r="836" ht="15" customHeight="1">
      <c r="A836" t="inlineStr">
        <is>
          <t>A 17292-2024</t>
        </is>
      </c>
      <c r="B836" s="1" t="n">
        <v>45414</v>
      </c>
      <c r="C836" s="1" t="n">
        <v>45718</v>
      </c>
      <c r="D836" t="inlineStr">
        <is>
          <t>DALARNAS LÄN</t>
        </is>
      </c>
      <c r="E836" t="inlineStr">
        <is>
          <t>SMEDJEBACKEN</t>
        </is>
      </c>
      <c r="G836" t="n">
        <v>1.1</v>
      </c>
      <c r="H836" t="n">
        <v>0</v>
      </c>
      <c r="I836" t="n">
        <v>0</v>
      </c>
      <c r="J836" t="n">
        <v>0</v>
      </c>
      <c r="K836" t="n">
        <v>0</v>
      </c>
      <c r="L836" t="n">
        <v>0</v>
      </c>
      <c r="M836" t="n">
        <v>0</v>
      </c>
      <c r="N836" t="n">
        <v>0</v>
      </c>
      <c r="O836" t="n">
        <v>0</v>
      </c>
      <c r="P836" t="n">
        <v>0</v>
      </c>
      <c r="Q836" t="n">
        <v>0</v>
      </c>
      <c r="R836" s="2" t="inlineStr"/>
    </row>
    <row r="837" ht="15" customHeight="1">
      <c r="A837" t="inlineStr">
        <is>
          <t>A 17294-2024</t>
        </is>
      </c>
      <c r="B837" s="1" t="n">
        <v>45414</v>
      </c>
      <c r="C837" s="1" t="n">
        <v>45718</v>
      </c>
      <c r="D837" t="inlineStr">
        <is>
          <t>DALARNAS LÄN</t>
        </is>
      </c>
      <c r="E837" t="inlineStr">
        <is>
          <t>SMEDJEBACKEN</t>
        </is>
      </c>
      <c r="G837" t="n">
        <v>2.8</v>
      </c>
      <c r="H837" t="n">
        <v>0</v>
      </c>
      <c r="I837" t="n">
        <v>0</v>
      </c>
      <c r="J837" t="n">
        <v>0</v>
      </c>
      <c r="K837" t="n">
        <v>0</v>
      </c>
      <c r="L837" t="n">
        <v>0</v>
      </c>
      <c r="M837" t="n">
        <v>0</v>
      </c>
      <c r="N837" t="n">
        <v>0</v>
      </c>
      <c r="O837" t="n">
        <v>0</v>
      </c>
      <c r="P837" t="n">
        <v>0</v>
      </c>
      <c r="Q837" t="n">
        <v>0</v>
      </c>
      <c r="R837" s="2" t="inlineStr"/>
    </row>
    <row r="838" ht="15" customHeight="1">
      <c r="A838" t="inlineStr">
        <is>
          <t>A 17563-2024</t>
        </is>
      </c>
      <c r="B838" s="1" t="n">
        <v>45415</v>
      </c>
      <c r="C838" s="1" t="n">
        <v>45718</v>
      </c>
      <c r="D838" t="inlineStr">
        <is>
          <t>DALARNAS LÄN</t>
        </is>
      </c>
      <c r="E838" t="inlineStr">
        <is>
          <t>SMEDJEBACKEN</t>
        </is>
      </c>
      <c r="F838" t="inlineStr">
        <is>
          <t>Sveaskog</t>
        </is>
      </c>
      <c r="G838" t="n">
        <v>3.4</v>
      </c>
      <c r="H838" t="n">
        <v>0</v>
      </c>
      <c r="I838" t="n">
        <v>0</v>
      </c>
      <c r="J838" t="n">
        <v>0</v>
      </c>
      <c r="K838" t="n">
        <v>0</v>
      </c>
      <c r="L838" t="n">
        <v>0</v>
      </c>
      <c r="M838" t="n">
        <v>0</v>
      </c>
      <c r="N838" t="n">
        <v>0</v>
      </c>
      <c r="O838" t="n">
        <v>0</v>
      </c>
      <c r="P838" t="n">
        <v>0</v>
      </c>
      <c r="Q838" t="n">
        <v>0</v>
      </c>
      <c r="R838" s="2" t="inlineStr"/>
    </row>
    <row r="839" ht="15" customHeight="1">
      <c r="A839" t="inlineStr">
        <is>
          <t>A 17561-2024</t>
        </is>
      </c>
      <c r="B839" s="1" t="n">
        <v>45415</v>
      </c>
      <c r="C839" s="1" t="n">
        <v>45718</v>
      </c>
      <c r="D839" t="inlineStr">
        <is>
          <t>DALARNAS LÄN</t>
        </is>
      </c>
      <c r="E839" t="inlineStr">
        <is>
          <t>SMEDJEBACKEN</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18109-2024</t>
        </is>
      </c>
      <c r="B840" s="1" t="n">
        <v>45420</v>
      </c>
      <c r="C840" s="1" t="n">
        <v>45718</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18133-2024</t>
        </is>
      </c>
      <c r="B841" s="1" t="n">
        <v>45420</v>
      </c>
      <c r="C841" s="1" t="n">
        <v>45718</v>
      </c>
      <c r="D841" t="inlineStr">
        <is>
          <t>DALARNAS LÄN</t>
        </is>
      </c>
      <c r="E841" t="inlineStr">
        <is>
          <t>SMEDJEBACKEN</t>
        </is>
      </c>
      <c r="F841" t="inlineStr">
        <is>
          <t>Sveaskog</t>
        </is>
      </c>
      <c r="G841" t="n">
        <v>8.5</v>
      </c>
      <c r="H841" t="n">
        <v>0</v>
      </c>
      <c r="I841" t="n">
        <v>0</v>
      </c>
      <c r="J841" t="n">
        <v>0</v>
      </c>
      <c r="K841" t="n">
        <v>0</v>
      </c>
      <c r="L841" t="n">
        <v>0</v>
      </c>
      <c r="M841" t="n">
        <v>0</v>
      </c>
      <c r="N841" t="n">
        <v>0</v>
      </c>
      <c r="O841" t="n">
        <v>0</v>
      </c>
      <c r="P841" t="n">
        <v>0</v>
      </c>
      <c r="Q841" t="n">
        <v>0</v>
      </c>
      <c r="R841" s="2" t="inlineStr"/>
    </row>
    <row r="842" ht="15" customHeight="1">
      <c r="A842" t="inlineStr">
        <is>
          <t>A 18096-2024</t>
        </is>
      </c>
      <c r="B842" s="1" t="n">
        <v>45420</v>
      </c>
      <c r="C842" s="1" t="n">
        <v>45718</v>
      </c>
      <c r="D842" t="inlineStr">
        <is>
          <t>DALARNAS LÄN</t>
        </is>
      </c>
      <c r="E842" t="inlineStr">
        <is>
          <t>SMEDJEBACKEN</t>
        </is>
      </c>
      <c r="F842" t="inlineStr">
        <is>
          <t>Sveaskog</t>
        </is>
      </c>
      <c r="G842" t="n">
        <v>4.9</v>
      </c>
      <c r="H842" t="n">
        <v>0</v>
      </c>
      <c r="I842" t="n">
        <v>0</v>
      </c>
      <c r="J842" t="n">
        <v>0</v>
      </c>
      <c r="K842" t="n">
        <v>0</v>
      </c>
      <c r="L842" t="n">
        <v>0</v>
      </c>
      <c r="M842" t="n">
        <v>0</v>
      </c>
      <c r="N842" t="n">
        <v>0</v>
      </c>
      <c r="O842" t="n">
        <v>0</v>
      </c>
      <c r="P842" t="n">
        <v>0</v>
      </c>
      <c r="Q842" t="n">
        <v>0</v>
      </c>
      <c r="R842" s="2" t="inlineStr"/>
    </row>
    <row r="843" ht="15" customHeight="1">
      <c r="A843" t="inlineStr">
        <is>
          <t>A 18022-2024</t>
        </is>
      </c>
      <c r="B843" s="1" t="n">
        <v>45420</v>
      </c>
      <c r="C843" s="1" t="n">
        <v>45718</v>
      </c>
      <c r="D843" t="inlineStr">
        <is>
          <t>DALARNAS LÄN</t>
        </is>
      </c>
      <c r="E843" t="inlineStr">
        <is>
          <t>SMEDJEBACKEN</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18135-2024</t>
        </is>
      </c>
      <c r="B844" s="1" t="n">
        <v>45420</v>
      </c>
      <c r="C844" s="1" t="n">
        <v>45718</v>
      </c>
      <c r="D844" t="inlineStr">
        <is>
          <t>DALARNAS LÄN</t>
        </is>
      </c>
      <c r="E844" t="inlineStr">
        <is>
          <t>SMEDJEBACKEN</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18139-2024</t>
        </is>
      </c>
      <c r="B845" s="1" t="n">
        <v>45420</v>
      </c>
      <c r="C845" s="1" t="n">
        <v>45718</v>
      </c>
      <c r="D845" t="inlineStr">
        <is>
          <t>DALARNAS LÄN</t>
        </is>
      </c>
      <c r="E845" t="inlineStr">
        <is>
          <t>SMEDJEBACKEN</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18387-2024</t>
        </is>
      </c>
      <c r="B846" s="1" t="n">
        <v>45424</v>
      </c>
      <c r="C846" s="1" t="n">
        <v>45718</v>
      </c>
      <c r="D846" t="inlineStr">
        <is>
          <t>DALARNAS LÄN</t>
        </is>
      </c>
      <c r="E846" t="inlineStr">
        <is>
          <t>SMEDJEBACKEN</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18384-2024</t>
        </is>
      </c>
      <c r="B847" s="1" t="n">
        <v>45424</v>
      </c>
      <c r="C847" s="1" t="n">
        <v>45718</v>
      </c>
      <c r="D847" t="inlineStr">
        <is>
          <t>DALARNAS LÄN</t>
        </is>
      </c>
      <c r="E847" t="inlineStr">
        <is>
          <t>SMEDJEBACKEN</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18388-2024</t>
        </is>
      </c>
      <c r="B848" s="1" t="n">
        <v>45424</v>
      </c>
      <c r="C848" s="1" t="n">
        <v>45718</v>
      </c>
      <c r="D848" t="inlineStr">
        <is>
          <t>DALARNAS LÄN</t>
        </is>
      </c>
      <c r="E848" t="inlineStr">
        <is>
          <t>SMEDJEBACKEN</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18386-2024</t>
        </is>
      </c>
      <c r="B849" s="1" t="n">
        <v>45424</v>
      </c>
      <c r="C849" s="1" t="n">
        <v>45718</v>
      </c>
      <c r="D849" t="inlineStr">
        <is>
          <t>DALARNAS LÄN</t>
        </is>
      </c>
      <c r="E849" t="inlineStr">
        <is>
          <t>SMEDJEBACKEN</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18385-2024</t>
        </is>
      </c>
      <c r="B850" s="1" t="n">
        <v>45424</v>
      </c>
      <c r="C850" s="1" t="n">
        <v>45718</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18403-2024</t>
        </is>
      </c>
      <c r="B851" s="1" t="n">
        <v>45425</v>
      </c>
      <c r="C851" s="1" t="n">
        <v>45718</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18402-2024</t>
        </is>
      </c>
      <c r="B852" s="1" t="n">
        <v>45425</v>
      </c>
      <c r="C852" s="1" t="n">
        <v>45718</v>
      </c>
      <c r="D852" t="inlineStr">
        <is>
          <t>DALARNAS LÄN</t>
        </is>
      </c>
      <c r="E852" t="inlineStr">
        <is>
          <t>SMEDJEBACKEN</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18404-2024</t>
        </is>
      </c>
      <c r="B853" s="1" t="n">
        <v>45425</v>
      </c>
      <c r="C853" s="1" t="n">
        <v>45718</v>
      </c>
      <c r="D853" t="inlineStr">
        <is>
          <t>DALARNAS LÄN</t>
        </is>
      </c>
      <c r="E853" t="inlineStr">
        <is>
          <t>SMEDJEBACKEN</t>
        </is>
      </c>
      <c r="F853" t="inlineStr">
        <is>
          <t>Sveaskog</t>
        </is>
      </c>
      <c r="G853" t="n">
        <v>5.2</v>
      </c>
      <c r="H853" t="n">
        <v>0</v>
      </c>
      <c r="I853" t="n">
        <v>0</v>
      </c>
      <c r="J853" t="n">
        <v>0</v>
      </c>
      <c r="K853" t="n">
        <v>0</v>
      </c>
      <c r="L853" t="n">
        <v>0</v>
      </c>
      <c r="M853" t="n">
        <v>0</v>
      </c>
      <c r="N853" t="n">
        <v>0</v>
      </c>
      <c r="O853" t="n">
        <v>0</v>
      </c>
      <c r="P853" t="n">
        <v>0</v>
      </c>
      <c r="Q853" t="n">
        <v>0</v>
      </c>
      <c r="R853" s="2" t="inlineStr"/>
    </row>
    <row r="854" ht="15" customHeight="1">
      <c r="A854" t="inlineStr">
        <is>
          <t>A 18751-2024</t>
        </is>
      </c>
      <c r="B854" s="1" t="n">
        <v>45426</v>
      </c>
      <c r="C854" s="1" t="n">
        <v>45718</v>
      </c>
      <c r="D854" t="inlineStr">
        <is>
          <t>DALARNAS LÄN</t>
        </is>
      </c>
      <c r="E854" t="inlineStr">
        <is>
          <t>SMEDJEBACKEN</t>
        </is>
      </c>
      <c r="G854" t="n">
        <v>2</v>
      </c>
      <c r="H854" t="n">
        <v>0</v>
      </c>
      <c r="I854" t="n">
        <v>0</v>
      </c>
      <c r="J854" t="n">
        <v>0</v>
      </c>
      <c r="K854" t="n">
        <v>0</v>
      </c>
      <c r="L854" t="n">
        <v>0</v>
      </c>
      <c r="M854" t="n">
        <v>0</v>
      </c>
      <c r="N854" t="n">
        <v>0</v>
      </c>
      <c r="O854" t="n">
        <v>0</v>
      </c>
      <c r="P854" t="n">
        <v>0</v>
      </c>
      <c r="Q854" t="n">
        <v>0</v>
      </c>
      <c r="R854" s="2" t="inlineStr"/>
    </row>
    <row r="855" ht="15" customHeight="1">
      <c r="A855" t="inlineStr">
        <is>
          <t>A 18908-2024</t>
        </is>
      </c>
      <c r="B855" s="1" t="n">
        <v>45427</v>
      </c>
      <c r="C855" s="1" t="n">
        <v>45718</v>
      </c>
      <c r="D855" t="inlineStr">
        <is>
          <t>DALARNAS LÄN</t>
        </is>
      </c>
      <c r="E855" t="inlineStr">
        <is>
          <t>SMEDJEBACKEN</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18909-2024</t>
        </is>
      </c>
      <c r="B856" s="1" t="n">
        <v>45427</v>
      </c>
      <c r="C856" s="1" t="n">
        <v>45718</v>
      </c>
      <c r="D856" t="inlineStr">
        <is>
          <t>DALARNAS LÄN</t>
        </is>
      </c>
      <c r="E856" t="inlineStr">
        <is>
          <t>SMEDJEBACKEN</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18910-2024</t>
        </is>
      </c>
      <c r="B857" s="1" t="n">
        <v>45427</v>
      </c>
      <c r="C857" s="1" t="n">
        <v>45718</v>
      </c>
      <c r="D857" t="inlineStr">
        <is>
          <t>DALARNAS LÄN</t>
        </is>
      </c>
      <c r="E857" t="inlineStr">
        <is>
          <t>SMEDJEBACKEN</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19258-2024</t>
        </is>
      </c>
      <c r="B858" s="1" t="n">
        <v>45428</v>
      </c>
      <c r="C858" s="1" t="n">
        <v>45718</v>
      </c>
      <c r="D858" t="inlineStr">
        <is>
          <t>DALARNAS LÄN</t>
        </is>
      </c>
      <c r="E858" t="inlineStr">
        <is>
          <t>SMEDJEBACKEN</t>
        </is>
      </c>
      <c r="G858" t="n">
        <v>3</v>
      </c>
      <c r="H858" t="n">
        <v>0</v>
      </c>
      <c r="I858" t="n">
        <v>0</v>
      </c>
      <c r="J858" t="n">
        <v>0</v>
      </c>
      <c r="K858" t="n">
        <v>0</v>
      </c>
      <c r="L858" t="n">
        <v>0</v>
      </c>
      <c r="M858" t="n">
        <v>0</v>
      </c>
      <c r="N858" t="n">
        <v>0</v>
      </c>
      <c r="O858" t="n">
        <v>0</v>
      </c>
      <c r="P858" t="n">
        <v>0</v>
      </c>
      <c r="Q858" t="n">
        <v>0</v>
      </c>
      <c r="R858" s="2" t="inlineStr"/>
    </row>
    <row r="859" ht="15" customHeight="1">
      <c r="A859" t="inlineStr">
        <is>
          <t>A 19179-2024</t>
        </is>
      </c>
      <c r="B859" s="1" t="n">
        <v>45428</v>
      </c>
      <c r="C859" s="1" t="n">
        <v>45718</v>
      </c>
      <c r="D859" t="inlineStr">
        <is>
          <t>DALARNAS LÄN</t>
        </is>
      </c>
      <c r="E859" t="inlineStr">
        <is>
          <t>SMEDJEBACKEN</t>
        </is>
      </c>
      <c r="G859" t="n">
        <v>3.3</v>
      </c>
      <c r="H859" t="n">
        <v>0</v>
      </c>
      <c r="I859" t="n">
        <v>0</v>
      </c>
      <c r="J859" t="n">
        <v>0</v>
      </c>
      <c r="K859" t="n">
        <v>0</v>
      </c>
      <c r="L859" t="n">
        <v>0</v>
      </c>
      <c r="M859" t="n">
        <v>0</v>
      </c>
      <c r="N859" t="n">
        <v>0</v>
      </c>
      <c r="O859" t="n">
        <v>0</v>
      </c>
      <c r="P859" t="n">
        <v>0</v>
      </c>
      <c r="Q859" t="n">
        <v>0</v>
      </c>
      <c r="R859" s="2" t="inlineStr"/>
    </row>
    <row r="860" ht="15" customHeight="1">
      <c r="A860" t="inlineStr">
        <is>
          <t>A 19288-2024</t>
        </is>
      </c>
      <c r="B860" s="1" t="n">
        <v>45428</v>
      </c>
      <c r="C860" s="1" t="n">
        <v>45718</v>
      </c>
      <c r="D860" t="inlineStr">
        <is>
          <t>DALARNAS LÄN</t>
        </is>
      </c>
      <c r="E860" t="inlineStr">
        <is>
          <t>SMEDJEBACKEN</t>
        </is>
      </c>
      <c r="G860" t="n">
        <v>2.2</v>
      </c>
      <c r="H860" t="n">
        <v>0</v>
      </c>
      <c r="I860" t="n">
        <v>0</v>
      </c>
      <c r="J860" t="n">
        <v>0</v>
      </c>
      <c r="K860" t="n">
        <v>0</v>
      </c>
      <c r="L860" t="n">
        <v>0</v>
      </c>
      <c r="M860" t="n">
        <v>0</v>
      </c>
      <c r="N860" t="n">
        <v>0</v>
      </c>
      <c r="O860" t="n">
        <v>0</v>
      </c>
      <c r="P860" t="n">
        <v>0</v>
      </c>
      <c r="Q860" t="n">
        <v>0</v>
      </c>
      <c r="R860" s="2" t="inlineStr"/>
    </row>
    <row r="861" ht="15" customHeight="1">
      <c r="A861" t="inlineStr">
        <is>
          <t>A 19411-2024</t>
        </is>
      </c>
      <c r="B861" s="1" t="n">
        <v>45429</v>
      </c>
      <c r="C861" s="1" t="n">
        <v>45718</v>
      </c>
      <c r="D861" t="inlineStr">
        <is>
          <t>DALARNAS LÄN</t>
        </is>
      </c>
      <c r="E861" t="inlineStr">
        <is>
          <t>SMEDJEBACKEN</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19471-2024</t>
        </is>
      </c>
      <c r="B862" s="1" t="n">
        <v>45429</v>
      </c>
      <c r="C862" s="1" t="n">
        <v>45718</v>
      </c>
      <c r="D862" t="inlineStr">
        <is>
          <t>DALARNAS LÄN</t>
        </is>
      </c>
      <c r="E862" t="inlineStr">
        <is>
          <t>SMEDJEBACKEN</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19479-2024</t>
        </is>
      </c>
      <c r="B863" s="1" t="n">
        <v>45429</v>
      </c>
      <c r="C863" s="1" t="n">
        <v>45718</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19469-2024</t>
        </is>
      </c>
      <c r="B864" s="1" t="n">
        <v>45429</v>
      </c>
      <c r="C864" s="1" t="n">
        <v>45718</v>
      </c>
      <c r="D864" t="inlineStr">
        <is>
          <t>DALARNAS LÄN</t>
        </is>
      </c>
      <c r="E864" t="inlineStr">
        <is>
          <t>SMEDJEBACKEN</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19448-2024</t>
        </is>
      </c>
      <c r="B865" s="1" t="n">
        <v>45429</v>
      </c>
      <c r="C865" s="1" t="n">
        <v>45718</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19476-2024</t>
        </is>
      </c>
      <c r="B866" s="1" t="n">
        <v>45429</v>
      </c>
      <c r="C866" s="1" t="n">
        <v>45718</v>
      </c>
      <c r="D866" t="inlineStr">
        <is>
          <t>DALARNAS LÄN</t>
        </is>
      </c>
      <c r="E866" t="inlineStr">
        <is>
          <t>SMEDJEBACKEN</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19470-2024</t>
        </is>
      </c>
      <c r="B867" s="1" t="n">
        <v>45429</v>
      </c>
      <c r="C867" s="1" t="n">
        <v>45718</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19474-2024</t>
        </is>
      </c>
      <c r="B868" s="1" t="n">
        <v>45429</v>
      </c>
      <c r="C868" s="1" t="n">
        <v>45718</v>
      </c>
      <c r="D868" t="inlineStr">
        <is>
          <t>DALARNAS LÄN</t>
        </is>
      </c>
      <c r="E868" t="inlineStr">
        <is>
          <t>SMEDJEBACKEN</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19478-2024</t>
        </is>
      </c>
      <c r="B869" s="1" t="n">
        <v>45429</v>
      </c>
      <c r="C869" s="1" t="n">
        <v>45718</v>
      </c>
      <c r="D869" t="inlineStr">
        <is>
          <t>DALARNAS LÄN</t>
        </is>
      </c>
      <c r="E869" t="inlineStr">
        <is>
          <t>SMEDJEBACKEN</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19620-2024</t>
        </is>
      </c>
      <c r="B870" s="1" t="n">
        <v>45432</v>
      </c>
      <c r="C870" s="1" t="n">
        <v>45718</v>
      </c>
      <c r="D870" t="inlineStr">
        <is>
          <t>DALARNAS LÄN</t>
        </is>
      </c>
      <c r="E870" t="inlineStr">
        <is>
          <t>SMEDJEBACKEN</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19621-2024</t>
        </is>
      </c>
      <c r="B871" s="1" t="n">
        <v>45432</v>
      </c>
      <c r="C871" s="1" t="n">
        <v>45718</v>
      </c>
      <c r="D871" t="inlineStr">
        <is>
          <t>DALARNAS LÄN</t>
        </is>
      </c>
      <c r="E871" t="inlineStr">
        <is>
          <t>SMEDJEBACKEN</t>
        </is>
      </c>
      <c r="F871" t="inlineStr">
        <is>
          <t>Sveaskog</t>
        </is>
      </c>
      <c r="G871" t="n">
        <v>7.4</v>
      </c>
      <c r="H871" t="n">
        <v>0</v>
      </c>
      <c r="I871" t="n">
        <v>0</v>
      </c>
      <c r="J871" t="n">
        <v>0</v>
      </c>
      <c r="K871" t="n">
        <v>0</v>
      </c>
      <c r="L871" t="n">
        <v>0</v>
      </c>
      <c r="M871" t="n">
        <v>0</v>
      </c>
      <c r="N871" t="n">
        <v>0</v>
      </c>
      <c r="O871" t="n">
        <v>0</v>
      </c>
      <c r="P871" t="n">
        <v>0</v>
      </c>
      <c r="Q871" t="n">
        <v>0</v>
      </c>
      <c r="R871" s="2" t="inlineStr"/>
    </row>
    <row r="872" ht="15" customHeight="1">
      <c r="A872" t="inlineStr">
        <is>
          <t>A 20019-2024</t>
        </is>
      </c>
      <c r="B872" s="1" t="n">
        <v>45434</v>
      </c>
      <c r="C872" s="1" t="n">
        <v>45718</v>
      </c>
      <c r="D872" t="inlineStr">
        <is>
          <t>DALARNAS LÄN</t>
        </is>
      </c>
      <c r="E872" t="inlineStr">
        <is>
          <t>SMEDJEBACKEN</t>
        </is>
      </c>
      <c r="F872" t="inlineStr">
        <is>
          <t>Övriga Aktiebolag</t>
        </is>
      </c>
      <c r="G872" t="n">
        <v>3.3</v>
      </c>
      <c r="H872" t="n">
        <v>0</v>
      </c>
      <c r="I872" t="n">
        <v>0</v>
      </c>
      <c r="J872" t="n">
        <v>0</v>
      </c>
      <c r="K872" t="n">
        <v>0</v>
      </c>
      <c r="L872" t="n">
        <v>0</v>
      </c>
      <c r="M872" t="n">
        <v>0</v>
      </c>
      <c r="N872" t="n">
        <v>0</v>
      </c>
      <c r="O872" t="n">
        <v>0</v>
      </c>
      <c r="P872" t="n">
        <v>0</v>
      </c>
      <c r="Q872" t="n">
        <v>0</v>
      </c>
      <c r="R872" s="2" t="inlineStr"/>
    </row>
    <row r="873" ht="15" customHeight="1">
      <c r="A873" t="inlineStr">
        <is>
          <t>A 20017-2024</t>
        </is>
      </c>
      <c r="B873" s="1" t="n">
        <v>45434</v>
      </c>
      <c r="C873" s="1" t="n">
        <v>45718</v>
      </c>
      <c r="D873" t="inlineStr">
        <is>
          <t>DALARNAS LÄN</t>
        </is>
      </c>
      <c r="E873" t="inlineStr">
        <is>
          <t>SMEDJEBACKEN</t>
        </is>
      </c>
      <c r="F873" t="inlineStr">
        <is>
          <t>Övriga Aktiebolag</t>
        </is>
      </c>
      <c r="G873" t="n">
        <v>15.7</v>
      </c>
      <c r="H873" t="n">
        <v>0</v>
      </c>
      <c r="I873" t="n">
        <v>0</v>
      </c>
      <c r="J873" t="n">
        <v>0</v>
      </c>
      <c r="K873" t="n">
        <v>0</v>
      </c>
      <c r="L873" t="n">
        <v>0</v>
      </c>
      <c r="M873" t="n">
        <v>0</v>
      </c>
      <c r="N873" t="n">
        <v>0</v>
      </c>
      <c r="O873" t="n">
        <v>0</v>
      </c>
      <c r="P873" t="n">
        <v>0</v>
      </c>
      <c r="Q873" t="n">
        <v>0</v>
      </c>
      <c r="R873" s="2" t="inlineStr"/>
    </row>
    <row r="874" ht="15" customHeight="1">
      <c r="A874" t="inlineStr">
        <is>
          <t>A 20016-2024</t>
        </is>
      </c>
      <c r="B874" s="1" t="n">
        <v>45434</v>
      </c>
      <c r="C874" s="1" t="n">
        <v>45718</v>
      </c>
      <c r="D874" t="inlineStr">
        <is>
          <t>DALARNAS LÄN</t>
        </is>
      </c>
      <c r="E874" t="inlineStr">
        <is>
          <t>SMEDJEBACKEN</t>
        </is>
      </c>
      <c r="F874" t="inlineStr">
        <is>
          <t>Övriga Aktiebolag</t>
        </is>
      </c>
      <c r="G874" t="n">
        <v>1.4</v>
      </c>
      <c r="H874" t="n">
        <v>0</v>
      </c>
      <c r="I874" t="n">
        <v>0</v>
      </c>
      <c r="J874" t="n">
        <v>0</v>
      </c>
      <c r="K874" t="n">
        <v>0</v>
      </c>
      <c r="L874" t="n">
        <v>0</v>
      </c>
      <c r="M874" t="n">
        <v>0</v>
      </c>
      <c r="N874" t="n">
        <v>0</v>
      </c>
      <c r="O874" t="n">
        <v>0</v>
      </c>
      <c r="P874" t="n">
        <v>0</v>
      </c>
      <c r="Q874" t="n">
        <v>0</v>
      </c>
      <c r="R874" s="2" t="inlineStr"/>
    </row>
    <row r="875" ht="15" customHeight="1">
      <c r="A875" t="inlineStr">
        <is>
          <t>A 20021-2024</t>
        </is>
      </c>
      <c r="B875" s="1" t="n">
        <v>45434</v>
      </c>
      <c r="C875" s="1" t="n">
        <v>45718</v>
      </c>
      <c r="D875" t="inlineStr">
        <is>
          <t>DALARNAS LÄN</t>
        </is>
      </c>
      <c r="E875" t="inlineStr">
        <is>
          <t>SMEDJEBACKEN</t>
        </is>
      </c>
      <c r="F875" t="inlineStr">
        <is>
          <t>Övriga Aktiebolag</t>
        </is>
      </c>
      <c r="G875" t="n">
        <v>9.1</v>
      </c>
      <c r="H875" t="n">
        <v>0</v>
      </c>
      <c r="I875" t="n">
        <v>0</v>
      </c>
      <c r="J875" t="n">
        <v>0</v>
      </c>
      <c r="K875" t="n">
        <v>0</v>
      </c>
      <c r="L875" t="n">
        <v>0</v>
      </c>
      <c r="M875" t="n">
        <v>0</v>
      </c>
      <c r="N875" t="n">
        <v>0</v>
      </c>
      <c r="O875" t="n">
        <v>0</v>
      </c>
      <c r="P875" t="n">
        <v>0</v>
      </c>
      <c r="Q875" t="n">
        <v>0</v>
      </c>
      <c r="R875" s="2" t="inlineStr"/>
    </row>
    <row r="876" ht="15" customHeight="1">
      <c r="A876" t="inlineStr">
        <is>
          <t>A 20020-2024</t>
        </is>
      </c>
      <c r="B876" s="1" t="n">
        <v>45434</v>
      </c>
      <c r="C876" s="1" t="n">
        <v>45718</v>
      </c>
      <c r="D876" t="inlineStr">
        <is>
          <t>DALARNAS LÄN</t>
        </is>
      </c>
      <c r="E876" t="inlineStr">
        <is>
          <t>SMEDJEBACKEN</t>
        </is>
      </c>
      <c r="F876" t="inlineStr">
        <is>
          <t>Övriga Aktiebolag</t>
        </is>
      </c>
      <c r="G876" t="n">
        <v>3.6</v>
      </c>
      <c r="H876" t="n">
        <v>0</v>
      </c>
      <c r="I876" t="n">
        <v>0</v>
      </c>
      <c r="J876" t="n">
        <v>0</v>
      </c>
      <c r="K876" t="n">
        <v>0</v>
      </c>
      <c r="L876" t="n">
        <v>0</v>
      </c>
      <c r="M876" t="n">
        <v>0</v>
      </c>
      <c r="N876" t="n">
        <v>0</v>
      </c>
      <c r="O876" t="n">
        <v>0</v>
      </c>
      <c r="P876" t="n">
        <v>0</v>
      </c>
      <c r="Q876" t="n">
        <v>0</v>
      </c>
      <c r="R876" s="2" t="inlineStr"/>
    </row>
    <row r="877" ht="15" customHeight="1">
      <c r="A877" t="inlineStr">
        <is>
          <t>A 20241-2024</t>
        </is>
      </c>
      <c r="B877" s="1" t="n">
        <v>45434</v>
      </c>
      <c r="C877" s="1" t="n">
        <v>45718</v>
      </c>
      <c r="D877" t="inlineStr">
        <is>
          <t>DALARNAS LÄN</t>
        </is>
      </c>
      <c r="E877" t="inlineStr">
        <is>
          <t>SMEDJEBACKEN</t>
        </is>
      </c>
      <c r="F877" t="inlineStr">
        <is>
          <t>Övriga Aktiebolag</t>
        </is>
      </c>
      <c r="G877" t="n">
        <v>8.9</v>
      </c>
      <c r="H877" t="n">
        <v>0</v>
      </c>
      <c r="I877" t="n">
        <v>0</v>
      </c>
      <c r="J877" t="n">
        <v>0</v>
      </c>
      <c r="K877" t="n">
        <v>0</v>
      </c>
      <c r="L877" t="n">
        <v>0</v>
      </c>
      <c r="M877" t="n">
        <v>0</v>
      </c>
      <c r="N877" t="n">
        <v>0</v>
      </c>
      <c r="O877" t="n">
        <v>0</v>
      </c>
      <c r="P877" t="n">
        <v>0</v>
      </c>
      <c r="Q877" t="n">
        <v>0</v>
      </c>
      <c r="R877" s="2" t="inlineStr"/>
    </row>
    <row r="878" ht="15" customHeight="1">
      <c r="A878" t="inlineStr">
        <is>
          <t>A 20249-2024</t>
        </is>
      </c>
      <c r="B878" s="1" t="n">
        <v>45434</v>
      </c>
      <c r="C878" s="1" t="n">
        <v>45718</v>
      </c>
      <c r="D878" t="inlineStr">
        <is>
          <t>DALARNAS LÄN</t>
        </is>
      </c>
      <c r="E878" t="inlineStr">
        <is>
          <t>SMEDJEBACKEN</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20199-2024</t>
        </is>
      </c>
      <c r="B879" s="1" t="n">
        <v>45434</v>
      </c>
      <c r="C879" s="1" t="n">
        <v>45718</v>
      </c>
      <c r="D879" t="inlineStr">
        <is>
          <t>DALARNAS LÄN</t>
        </is>
      </c>
      <c r="E879" t="inlineStr">
        <is>
          <t>SMEDJEBACKEN</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20417-2024</t>
        </is>
      </c>
      <c r="B880" s="1" t="n">
        <v>45435</v>
      </c>
      <c r="C880" s="1" t="n">
        <v>45718</v>
      </c>
      <c r="D880" t="inlineStr">
        <is>
          <t>DALARNAS LÄN</t>
        </is>
      </c>
      <c r="E880" t="inlineStr">
        <is>
          <t>SMEDJEBACKEN</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20413-2024</t>
        </is>
      </c>
      <c r="B881" s="1" t="n">
        <v>45435</v>
      </c>
      <c r="C881" s="1" t="n">
        <v>45718</v>
      </c>
      <c r="D881" t="inlineStr">
        <is>
          <t>DALARNAS LÄN</t>
        </is>
      </c>
      <c r="E881" t="inlineStr">
        <is>
          <t>SMEDJEBACKEN</t>
        </is>
      </c>
      <c r="F881" t="inlineStr">
        <is>
          <t>Sveaskog</t>
        </is>
      </c>
      <c r="G881" t="n">
        <v>6.7</v>
      </c>
      <c r="H881" t="n">
        <v>0</v>
      </c>
      <c r="I881" t="n">
        <v>0</v>
      </c>
      <c r="J881" t="n">
        <v>0</v>
      </c>
      <c r="K881" t="n">
        <v>0</v>
      </c>
      <c r="L881" t="n">
        <v>0</v>
      </c>
      <c r="M881" t="n">
        <v>0</v>
      </c>
      <c r="N881" t="n">
        <v>0</v>
      </c>
      <c r="O881" t="n">
        <v>0</v>
      </c>
      <c r="P881" t="n">
        <v>0</v>
      </c>
      <c r="Q881" t="n">
        <v>0</v>
      </c>
      <c r="R881" s="2" t="inlineStr"/>
    </row>
    <row r="882" ht="15" customHeight="1">
      <c r="A882" t="inlineStr">
        <is>
          <t>A 20538-2024</t>
        </is>
      </c>
      <c r="B882" s="1" t="n">
        <v>45436</v>
      </c>
      <c r="C882" s="1" t="n">
        <v>45718</v>
      </c>
      <c r="D882" t="inlineStr">
        <is>
          <t>DALARNAS LÄN</t>
        </is>
      </c>
      <c r="E882" t="inlineStr">
        <is>
          <t>SMEDJEBACKEN</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20539-2024</t>
        </is>
      </c>
      <c r="B883" s="1" t="n">
        <v>45436</v>
      </c>
      <c r="C883" s="1" t="n">
        <v>45718</v>
      </c>
      <c r="D883" t="inlineStr">
        <is>
          <t>DALARNAS LÄN</t>
        </is>
      </c>
      <c r="E883" t="inlineStr">
        <is>
          <t>SMEDJEBACKEN</t>
        </is>
      </c>
      <c r="F883" t="inlineStr">
        <is>
          <t>Sveaskog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21067-2024</t>
        </is>
      </c>
      <c r="B884" s="1" t="n">
        <v>45439</v>
      </c>
      <c r="C884" s="1" t="n">
        <v>45718</v>
      </c>
      <c r="D884" t="inlineStr">
        <is>
          <t>DALARNAS LÄN</t>
        </is>
      </c>
      <c r="E884" t="inlineStr">
        <is>
          <t>SMEDJEBACKEN</t>
        </is>
      </c>
      <c r="G884" t="n">
        <v>6.3</v>
      </c>
      <c r="H884" t="n">
        <v>0</v>
      </c>
      <c r="I884" t="n">
        <v>0</v>
      </c>
      <c r="J884" t="n">
        <v>0</v>
      </c>
      <c r="K884" t="n">
        <v>0</v>
      </c>
      <c r="L884" t="n">
        <v>0</v>
      </c>
      <c r="M884" t="n">
        <v>0</v>
      </c>
      <c r="N884" t="n">
        <v>0</v>
      </c>
      <c r="O884" t="n">
        <v>0</v>
      </c>
      <c r="P884" t="n">
        <v>0</v>
      </c>
      <c r="Q884" t="n">
        <v>0</v>
      </c>
      <c r="R884" s="2" t="inlineStr"/>
    </row>
    <row r="885" ht="15" customHeight="1">
      <c r="A885" t="inlineStr">
        <is>
          <t>A 21167-2024</t>
        </is>
      </c>
      <c r="B885" s="1" t="n">
        <v>45440</v>
      </c>
      <c r="C885" s="1" t="n">
        <v>45718</v>
      </c>
      <c r="D885" t="inlineStr">
        <is>
          <t>DALARNAS LÄN</t>
        </is>
      </c>
      <c r="E885" t="inlineStr">
        <is>
          <t>SMEDJEBACKEN</t>
        </is>
      </c>
      <c r="G885" t="n">
        <v>2.5</v>
      </c>
      <c r="H885" t="n">
        <v>0</v>
      </c>
      <c r="I885" t="n">
        <v>0</v>
      </c>
      <c r="J885" t="n">
        <v>0</v>
      </c>
      <c r="K885" t="n">
        <v>0</v>
      </c>
      <c r="L885" t="n">
        <v>0</v>
      </c>
      <c r="M885" t="n">
        <v>0</v>
      </c>
      <c r="N885" t="n">
        <v>0</v>
      </c>
      <c r="O885" t="n">
        <v>0</v>
      </c>
      <c r="P885" t="n">
        <v>0</v>
      </c>
      <c r="Q885" t="n">
        <v>0</v>
      </c>
      <c r="R885" s="2" t="inlineStr"/>
    </row>
    <row r="886" ht="15" customHeight="1">
      <c r="A886" t="inlineStr">
        <is>
          <t>A 21673-2024</t>
        </is>
      </c>
      <c r="B886" s="1" t="n">
        <v>45442</v>
      </c>
      <c r="C886" s="1" t="n">
        <v>45718</v>
      </c>
      <c r="D886" t="inlineStr">
        <is>
          <t>DALARNAS LÄN</t>
        </is>
      </c>
      <c r="E886" t="inlineStr">
        <is>
          <t>SMEDJEBACKEN</t>
        </is>
      </c>
      <c r="F886" t="inlineStr">
        <is>
          <t>Sveaskog</t>
        </is>
      </c>
      <c r="G886" t="n">
        <v>5.9</v>
      </c>
      <c r="H886" t="n">
        <v>0</v>
      </c>
      <c r="I886" t="n">
        <v>0</v>
      </c>
      <c r="J886" t="n">
        <v>0</v>
      </c>
      <c r="K886" t="n">
        <v>0</v>
      </c>
      <c r="L886" t="n">
        <v>0</v>
      </c>
      <c r="M886" t="n">
        <v>0</v>
      </c>
      <c r="N886" t="n">
        <v>0</v>
      </c>
      <c r="O886" t="n">
        <v>0</v>
      </c>
      <c r="P886" t="n">
        <v>0</v>
      </c>
      <c r="Q886" t="n">
        <v>0</v>
      </c>
      <c r="R886" s="2" t="inlineStr"/>
    </row>
    <row r="887" ht="15" customHeight="1">
      <c r="A887" t="inlineStr">
        <is>
          <t>A 21883-2024</t>
        </is>
      </c>
      <c r="B887" s="1" t="n">
        <v>45443</v>
      </c>
      <c r="C887" s="1" t="n">
        <v>45718</v>
      </c>
      <c r="D887" t="inlineStr">
        <is>
          <t>DALARNAS LÄN</t>
        </is>
      </c>
      <c r="E887" t="inlineStr">
        <is>
          <t>SMEDJEBACKEN</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21885-2024</t>
        </is>
      </c>
      <c r="B888" s="1" t="n">
        <v>45443</v>
      </c>
      <c r="C888" s="1" t="n">
        <v>45718</v>
      </c>
      <c r="D888" t="inlineStr">
        <is>
          <t>DALARNAS LÄN</t>
        </is>
      </c>
      <c r="E888" t="inlineStr">
        <is>
          <t>SMEDJEBACKEN</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22214-2024</t>
        </is>
      </c>
      <c r="B889" s="1" t="n">
        <v>45446</v>
      </c>
      <c r="C889" s="1" t="n">
        <v>45718</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22215-2024</t>
        </is>
      </c>
      <c r="B890" s="1" t="n">
        <v>45446</v>
      </c>
      <c r="C890" s="1" t="n">
        <v>45718</v>
      </c>
      <c r="D890" t="inlineStr">
        <is>
          <t>DALARNAS LÄN</t>
        </is>
      </c>
      <c r="E890" t="inlineStr">
        <is>
          <t>SMEDJEBACKEN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22207-2024</t>
        </is>
      </c>
      <c r="B891" s="1" t="n">
        <v>45446</v>
      </c>
      <c r="C891" s="1" t="n">
        <v>45718</v>
      </c>
      <c r="D891" t="inlineStr">
        <is>
          <t>DALARNAS LÄN</t>
        </is>
      </c>
      <c r="E891" t="inlineStr">
        <is>
          <t>SMEDJEBACKEN</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22367-2024</t>
        </is>
      </c>
      <c r="B892" s="1" t="n">
        <v>45446</v>
      </c>
      <c r="C892" s="1" t="n">
        <v>45718</v>
      </c>
      <c r="D892" t="inlineStr">
        <is>
          <t>DALARNAS LÄN</t>
        </is>
      </c>
      <c r="E892" t="inlineStr">
        <is>
          <t>SMEDJEBACKEN</t>
        </is>
      </c>
      <c r="G892" t="n">
        <v>5</v>
      </c>
      <c r="H892" t="n">
        <v>0</v>
      </c>
      <c r="I892" t="n">
        <v>0</v>
      </c>
      <c r="J892" t="n">
        <v>0</v>
      </c>
      <c r="K892" t="n">
        <v>0</v>
      </c>
      <c r="L892" t="n">
        <v>0</v>
      </c>
      <c r="M892" t="n">
        <v>0</v>
      </c>
      <c r="N892" t="n">
        <v>0</v>
      </c>
      <c r="O892" t="n">
        <v>0</v>
      </c>
      <c r="P892" t="n">
        <v>0</v>
      </c>
      <c r="Q892" t="n">
        <v>0</v>
      </c>
      <c r="R892" s="2" t="inlineStr"/>
    </row>
    <row r="893" ht="15" customHeight="1">
      <c r="A893" t="inlineStr">
        <is>
          <t>A 22209-2024</t>
        </is>
      </c>
      <c r="B893" s="1" t="n">
        <v>45446</v>
      </c>
      <c r="C893" s="1" t="n">
        <v>45718</v>
      </c>
      <c r="D893" t="inlineStr">
        <is>
          <t>DALARNAS LÄN</t>
        </is>
      </c>
      <c r="E893" t="inlineStr">
        <is>
          <t>SMEDJEBACKEN</t>
        </is>
      </c>
      <c r="F893" t="inlineStr">
        <is>
          <t>Sveaskog</t>
        </is>
      </c>
      <c r="G893" t="n">
        <v>6.5</v>
      </c>
      <c r="H893" t="n">
        <v>0</v>
      </c>
      <c r="I893" t="n">
        <v>0</v>
      </c>
      <c r="J893" t="n">
        <v>0</v>
      </c>
      <c r="K893" t="n">
        <v>0</v>
      </c>
      <c r="L893" t="n">
        <v>0</v>
      </c>
      <c r="M893" t="n">
        <v>0</v>
      </c>
      <c r="N893" t="n">
        <v>0</v>
      </c>
      <c r="O893" t="n">
        <v>0</v>
      </c>
      <c r="P893" t="n">
        <v>0</v>
      </c>
      <c r="Q893" t="n">
        <v>0</v>
      </c>
      <c r="R893" s="2" t="inlineStr"/>
    </row>
    <row r="894" ht="15" customHeight="1">
      <c r="A894" t="inlineStr">
        <is>
          <t>A 23597-2024</t>
        </is>
      </c>
      <c r="B894" s="1" t="n">
        <v>45454</v>
      </c>
      <c r="C894" s="1" t="n">
        <v>45718</v>
      </c>
      <c r="D894" t="inlineStr">
        <is>
          <t>DALARNAS LÄN</t>
        </is>
      </c>
      <c r="E894" t="inlineStr">
        <is>
          <t>SMEDJEBACKEN</t>
        </is>
      </c>
      <c r="G894" t="n">
        <v>1.8</v>
      </c>
      <c r="H894" t="n">
        <v>0</v>
      </c>
      <c r="I894" t="n">
        <v>0</v>
      </c>
      <c r="J894" t="n">
        <v>0</v>
      </c>
      <c r="K894" t="n">
        <v>0</v>
      </c>
      <c r="L894" t="n">
        <v>0</v>
      </c>
      <c r="M894" t="n">
        <v>0</v>
      </c>
      <c r="N894" t="n">
        <v>0</v>
      </c>
      <c r="O894" t="n">
        <v>0</v>
      </c>
      <c r="P894" t="n">
        <v>0</v>
      </c>
      <c r="Q894" t="n">
        <v>0</v>
      </c>
      <c r="R894" s="2" t="inlineStr"/>
    </row>
    <row r="895" ht="15" customHeight="1">
      <c r="A895" t="inlineStr">
        <is>
          <t>A 23601-2024</t>
        </is>
      </c>
      <c r="B895" s="1" t="n">
        <v>45454</v>
      </c>
      <c r="C895" s="1" t="n">
        <v>45718</v>
      </c>
      <c r="D895" t="inlineStr">
        <is>
          <t>DALARNAS LÄN</t>
        </is>
      </c>
      <c r="E895" t="inlineStr">
        <is>
          <t>SMEDJEBACKEN</t>
        </is>
      </c>
      <c r="G895" t="n">
        <v>3.3</v>
      </c>
      <c r="H895" t="n">
        <v>0</v>
      </c>
      <c r="I895" t="n">
        <v>0</v>
      </c>
      <c r="J895" t="n">
        <v>0</v>
      </c>
      <c r="K895" t="n">
        <v>0</v>
      </c>
      <c r="L895" t="n">
        <v>0</v>
      </c>
      <c r="M895" t="n">
        <v>0</v>
      </c>
      <c r="N895" t="n">
        <v>0</v>
      </c>
      <c r="O895" t="n">
        <v>0</v>
      </c>
      <c r="P895" t="n">
        <v>0</v>
      </c>
      <c r="Q895" t="n">
        <v>0</v>
      </c>
      <c r="R895" s="2" t="inlineStr"/>
    </row>
    <row r="896" ht="15" customHeight="1">
      <c r="A896" t="inlineStr">
        <is>
          <t>A 23645-2024</t>
        </is>
      </c>
      <c r="B896" s="1" t="n">
        <v>45454</v>
      </c>
      <c r="C896" s="1" t="n">
        <v>45718</v>
      </c>
      <c r="D896" t="inlineStr">
        <is>
          <t>DALARNAS LÄN</t>
        </is>
      </c>
      <c r="E896" t="inlineStr">
        <is>
          <t>SMEDJEBACKEN</t>
        </is>
      </c>
      <c r="F896" t="inlineStr">
        <is>
          <t>Bergvik skog väst AB</t>
        </is>
      </c>
      <c r="G896" t="n">
        <v>8.6</v>
      </c>
      <c r="H896" t="n">
        <v>0</v>
      </c>
      <c r="I896" t="n">
        <v>0</v>
      </c>
      <c r="J896" t="n">
        <v>0</v>
      </c>
      <c r="K896" t="n">
        <v>0</v>
      </c>
      <c r="L896" t="n">
        <v>0</v>
      </c>
      <c r="M896" t="n">
        <v>0</v>
      </c>
      <c r="N896" t="n">
        <v>0</v>
      </c>
      <c r="O896" t="n">
        <v>0</v>
      </c>
      <c r="P896" t="n">
        <v>0</v>
      </c>
      <c r="Q896" t="n">
        <v>0</v>
      </c>
      <c r="R896" s="2" t="inlineStr"/>
    </row>
    <row r="897" ht="15" customHeight="1">
      <c r="A897" t="inlineStr">
        <is>
          <t>A 23681-2024</t>
        </is>
      </c>
      <c r="B897" s="1" t="n">
        <v>45454</v>
      </c>
      <c r="C897" s="1" t="n">
        <v>45718</v>
      </c>
      <c r="D897" t="inlineStr">
        <is>
          <t>DALARNAS LÄN</t>
        </is>
      </c>
      <c r="E897" t="inlineStr">
        <is>
          <t>SMEDJEBACKEN</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23600-2024</t>
        </is>
      </c>
      <c r="B898" s="1" t="n">
        <v>45454</v>
      </c>
      <c r="C898" s="1" t="n">
        <v>45718</v>
      </c>
      <c r="D898" t="inlineStr">
        <is>
          <t>DALARNAS LÄN</t>
        </is>
      </c>
      <c r="E898" t="inlineStr">
        <is>
          <t>SMEDJEBACKEN</t>
        </is>
      </c>
      <c r="G898" t="n">
        <v>1.7</v>
      </c>
      <c r="H898" t="n">
        <v>0</v>
      </c>
      <c r="I898" t="n">
        <v>0</v>
      </c>
      <c r="J898" t="n">
        <v>0</v>
      </c>
      <c r="K898" t="n">
        <v>0</v>
      </c>
      <c r="L898" t="n">
        <v>0</v>
      </c>
      <c r="M898" t="n">
        <v>0</v>
      </c>
      <c r="N898" t="n">
        <v>0</v>
      </c>
      <c r="O898" t="n">
        <v>0</v>
      </c>
      <c r="P898" t="n">
        <v>0</v>
      </c>
      <c r="Q898" t="n">
        <v>0</v>
      </c>
      <c r="R898" s="2" t="inlineStr"/>
    </row>
    <row r="899" ht="15" customHeight="1">
      <c r="A899" t="inlineStr">
        <is>
          <t>A 24258-2024</t>
        </is>
      </c>
      <c r="B899" s="1" t="n">
        <v>45457</v>
      </c>
      <c r="C899" s="1" t="n">
        <v>45718</v>
      </c>
      <c r="D899" t="inlineStr">
        <is>
          <t>DALARNAS LÄN</t>
        </is>
      </c>
      <c r="E899" t="inlineStr">
        <is>
          <t>SMEDJEBACKEN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24262-2024</t>
        </is>
      </c>
      <c r="B900" s="1" t="n">
        <v>45457</v>
      </c>
      <c r="C900" s="1" t="n">
        <v>45718</v>
      </c>
      <c r="D900" t="inlineStr">
        <is>
          <t>DALARNAS LÄN</t>
        </is>
      </c>
      <c r="E900" t="inlineStr">
        <is>
          <t>SMEDJEBACKEN</t>
        </is>
      </c>
      <c r="F900" t="inlineStr">
        <is>
          <t>Sveaskog</t>
        </is>
      </c>
      <c r="G900" t="n">
        <v>6</v>
      </c>
      <c r="H900" t="n">
        <v>0</v>
      </c>
      <c r="I900" t="n">
        <v>0</v>
      </c>
      <c r="J900" t="n">
        <v>0</v>
      </c>
      <c r="K900" t="n">
        <v>0</v>
      </c>
      <c r="L900" t="n">
        <v>0</v>
      </c>
      <c r="M900" t="n">
        <v>0</v>
      </c>
      <c r="N900" t="n">
        <v>0</v>
      </c>
      <c r="O900" t="n">
        <v>0</v>
      </c>
      <c r="P900" t="n">
        <v>0</v>
      </c>
      <c r="Q900" t="n">
        <v>0</v>
      </c>
      <c r="R900" s="2" t="inlineStr"/>
    </row>
    <row r="901" ht="15" customHeight="1">
      <c r="A901" t="inlineStr">
        <is>
          <t>A 24264-2024</t>
        </is>
      </c>
      <c r="B901" s="1" t="n">
        <v>45457</v>
      </c>
      <c r="C901" s="1" t="n">
        <v>45718</v>
      </c>
      <c r="D901" t="inlineStr">
        <is>
          <t>DALARNAS LÄN</t>
        </is>
      </c>
      <c r="E901" t="inlineStr">
        <is>
          <t>SMEDJEBACKEN</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24263-2024</t>
        </is>
      </c>
      <c r="B902" s="1" t="n">
        <v>45457</v>
      </c>
      <c r="C902" s="1" t="n">
        <v>45718</v>
      </c>
      <c r="D902" t="inlineStr">
        <is>
          <t>DALARNAS LÄN</t>
        </is>
      </c>
      <c r="E902" t="inlineStr">
        <is>
          <t>SMEDJEBACKEN</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25225-2024</t>
        </is>
      </c>
      <c r="B903" s="1" t="n">
        <v>45462</v>
      </c>
      <c r="C903" s="1" t="n">
        <v>45718</v>
      </c>
      <c r="D903" t="inlineStr">
        <is>
          <t>DALARNAS LÄN</t>
        </is>
      </c>
      <c r="E903" t="inlineStr">
        <is>
          <t>SMEDJEBACKEN</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25213-2024</t>
        </is>
      </c>
      <c r="B904" s="1" t="n">
        <v>45462</v>
      </c>
      <c r="C904" s="1" t="n">
        <v>45718</v>
      </c>
      <c r="D904" t="inlineStr">
        <is>
          <t>DALARNAS LÄN</t>
        </is>
      </c>
      <c r="E904" t="inlineStr">
        <is>
          <t>SMEDJEBACKEN</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25125-2024</t>
        </is>
      </c>
      <c r="B905" s="1" t="n">
        <v>45462</v>
      </c>
      <c r="C905" s="1" t="n">
        <v>45718</v>
      </c>
      <c r="D905" t="inlineStr">
        <is>
          <t>DALARNAS LÄN</t>
        </is>
      </c>
      <c r="E905" t="inlineStr">
        <is>
          <t>SMEDJEBACKEN</t>
        </is>
      </c>
      <c r="G905" t="n">
        <v>4.4</v>
      </c>
      <c r="H905" t="n">
        <v>0</v>
      </c>
      <c r="I905" t="n">
        <v>0</v>
      </c>
      <c r="J905" t="n">
        <v>0</v>
      </c>
      <c r="K905" t="n">
        <v>0</v>
      </c>
      <c r="L905" t="n">
        <v>0</v>
      </c>
      <c r="M905" t="n">
        <v>0</v>
      </c>
      <c r="N905" t="n">
        <v>0</v>
      </c>
      <c r="O905" t="n">
        <v>0</v>
      </c>
      <c r="P905" t="n">
        <v>0</v>
      </c>
      <c r="Q905" t="n">
        <v>0</v>
      </c>
      <c r="R905" s="2" t="inlineStr"/>
    </row>
    <row r="906" ht="15" customHeight="1">
      <c r="A906" t="inlineStr">
        <is>
          <t>A 25118-2024</t>
        </is>
      </c>
      <c r="B906" s="1" t="n">
        <v>45462</v>
      </c>
      <c r="C906" s="1" t="n">
        <v>45718</v>
      </c>
      <c r="D906" t="inlineStr">
        <is>
          <t>DALARNAS LÄN</t>
        </is>
      </c>
      <c r="E906" t="inlineStr">
        <is>
          <t>SMEDJEBACKEN</t>
        </is>
      </c>
      <c r="G906" t="n">
        <v>1.6</v>
      </c>
      <c r="H906" t="n">
        <v>0</v>
      </c>
      <c r="I906" t="n">
        <v>0</v>
      </c>
      <c r="J906" t="n">
        <v>0</v>
      </c>
      <c r="K906" t="n">
        <v>0</v>
      </c>
      <c r="L906" t="n">
        <v>0</v>
      </c>
      <c r="M906" t="n">
        <v>0</v>
      </c>
      <c r="N906" t="n">
        <v>0</v>
      </c>
      <c r="O906" t="n">
        <v>0</v>
      </c>
      <c r="P906" t="n">
        <v>0</v>
      </c>
      <c r="Q906" t="n">
        <v>0</v>
      </c>
      <c r="R906" s="2" t="inlineStr"/>
    </row>
    <row r="907" ht="15" customHeight="1">
      <c r="A907" t="inlineStr">
        <is>
          <t>A 25210-2024</t>
        </is>
      </c>
      <c r="B907" s="1" t="n">
        <v>45462</v>
      </c>
      <c r="C907" s="1" t="n">
        <v>45718</v>
      </c>
      <c r="D907" t="inlineStr">
        <is>
          <t>DALARNAS LÄN</t>
        </is>
      </c>
      <c r="E907" t="inlineStr">
        <is>
          <t>SMEDJEBACKEN</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25126-2024</t>
        </is>
      </c>
      <c r="B908" s="1" t="n">
        <v>45462</v>
      </c>
      <c r="C908" s="1" t="n">
        <v>45718</v>
      </c>
      <c r="D908" t="inlineStr">
        <is>
          <t>DALARNAS LÄN</t>
        </is>
      </c>
      <c r="E908" t="inlineStr">
        <is>
          <t>SMEDJEBACKEN</t>
        </is>
      </c>
      <c r="G908" t="n">
        <v>2.6</v>
      </c>
      <c r="H908" t="n">
        <v>0</v>
      </c>
      <c r="I908" t="n">
        <v>0</v>
      </c>
      <c r="J908" t="n">
        <v>0</v>
      </c>
      <c r="K908" t="n">
        <v>0</v>
      </c>
      <c r="L908" t="n">
        <v>0</v>
      </c>
      <c r="M908" t="n">
        <v>0</v>
      </c>
      <c r="N908" t="n">
        <v>0</v>
      </c>
      <c r="O908" t="n">
        <v>0</v>
      </c>
      <c r="P908" t="n">
        <v>0</v>
      </c>
      <c r="Q908" t="n">
        <v>0</v>
      </c>
      <c r="R908" s="2" t="inlineStr"/>
    </row>
    <row r="909" ht="15" customHeight="1">
      <c r="A909" t="inlineStr">
        <is>
          <t>A 25227-2024</t>
        </is>
      </c>
      <c r="B909" s="1" t="n">
        <v>45462</v>
      </c>
      <c r="C909" s="1" t="n">
        <v>45718</v>
      </c>
      <c r="D909" t="inlineStr">
        <is>
          <t>DALARNAS LÄN</t>
        </is>
      </c>
      <c r="E909" t="inlineStr">
        <is>
          <t>SMEDJEBACKEN</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25219-2024</t>
        </is>
      </c>
      <c r="B910" s="1" t="n">
        <v>45462</v>
      </c>
      <c r="C910" s="1" t="n">
        <v>45718</v>
      </c>
      <c r="D910" t="inlineStr">
        <is>
          <t>DALARNAS LÄN</t>
        </is>
      </c>
      <c r="E910" t="inlineStr">
        <is>
          <t>SMEDJEBACKEN</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25396-2024</t>
        </is>
      </c>
      <c r="B911" s="1" t="n">
        <v>45463</v>
      </c>
      <c r="C911" s="1" t="n">
        <v>45718</v>
      </c>
      <c r="D911" t="inlineStr">
        <is>
          <t>DALARNAS LÄN</t>
        </is>
      </c>
      <c r="E911" t="inlineStr">
        <is>
          <t>SMEDJEBACKEN</t>
        </is>
      </c>
      <c r="G911" t="n">
        <v>0.5</v>
      </c>
      <c r="H911" t="n">
        <v>0</v>
      </c>
      <c r="I911" t="n">
        <v>0</v>
      </c>
      <c r="J911" t="n">
        <v>0</v>
      </c>
      <c r="K911" t="n">
        <v>0</v>
      </c>
      <c r="L911" t="n">
        <v>0</v>
      </c>
      <c r="M911" t="n">
        <v>0</v>
      </c>
      <c r="N911" t="n">
        <v>0</v>
      </c>
      <c r="O911" t="n">
        <v>0</v>
      </c>
      <c r="P911" t="n">
        <v>0</v>
      </c>
      <c r="Q911" t="n">
        <v>0</v>
      </c>
      <c r="R911" s="2" t="inlineStr"/>
    </row>
    <row r="912" ht="15" customHeight="1">
      <c r="A912" t="inlineStr">
        <is>
          <t>A 25393-2024</t>
        </is>
      </c>
      <c r="B912" s="1" t="n">
        <v>45463</v>
      </c>
      <c r="C912" s="1" t="n">
        <v>45718</v>
      </c>
      <c r="D912" t="inlineStr">
        <is>
          <t>DALARNAS LÄN</t>
        </is>
      </c>
      <c r="E912" t="inlineStr">
        <is>
          <t>SMEDJEBACKEN</t>
        </is>
      </c>
      <c r="G912" t="n">
        <v>5.2</v>
      </c>
      <c r="H912" t="n">
        <v>0</v>
      </c>
      <c r="I912" t="n">
        <v>0</v>
      </c>
      <c r="J912" t="n">
        <v>0</v>
      </c>
      <c r="K912" t="n">
        <v>0</v>
      </c>
      <c r="L912" t="n">
        <v>0</v>
      </c>
      <c r="M912" t="n">
        <v>0</v>
      </c>
      <c r="N912" t="n">
        <v>0</v>
      </c>
      <c r="O912" t="n">
        <v>0</v>
      </c>
      <c r="P912" t="n">
        <v>0</v>
      </c>
      <c r="Q912" t="n">
        <v>0</v>
      </c>
      <c r="R912" s="2" t="inlineStr"/>
    </row>
    <row r="913" ht="15" customHeight="1">
      <c r="A913" t="inlineStr">
        <is>
          <t>A 25807-2024</t>
        </is>
      </c>
      <c r="B913" s="1" t="n">
        <v>45467</v>
      </c>
      <c r="C913" s="1" t="n">
        <v>45718</v>
      </c>
      <c r="D913" t="inlineStr">
        <is>
          <t>DALARNAS LÄN</t>
        </is>
      </c>
      <c r="E913" t="inlineStr">
        <is>
          <t>SMEDJEBACKEN</t>
        </is>
      </c>
      <c r="F913" t="inlineStr">
        <is>
          <t>Sveaskog</t>
        </is>
      </c>
      <c r="G913" t="n">
        <v>7.3</v>
      </c>
      <c r="H913" t="n">
        <v>0</v>
      </c>
      <c r="I913" t="n">
        <v>0</v>
      </c>
      <c r="J913" t="n">
        <v>0</v>
      </c>
      <c r="K913" t="n">
        <v>0</v>
      </c>
      <c r="L913" t="n">
        <v>0</v>
      </c>
      <c r="M913" t="n">
        <v>0</v>
      </c>
      <c r="N913" t="n">
        <v>0</v>
      </c>
      <c r="O913" t="n">
        <v>0</v>
      </c>
      <c r="P913" t="n">
        <v>0</v>
      </c>
      <c r="Q913" t="n">
        <v>0</v>
      </c>
      <c r="R913" s="2" t="inlineStr"/>
    </row>
    <row r="914" ht="15" customHeight="1">
      <c r="A914" t="inlineStr">
        <is>
          <t>A 25808-2024</t>
        </is>
      </c>
      <c r="B914" s="1" t="n">
        <v>45467</v>
      </c>
      <c r="C914" s="1" t="n">
        <v>45718</v>
      </c>
      <c r="D914" t="inlineStr">
        <is>
          <t>DALARNAS LÄN</t>
        </is>
      </c>
      <c r="E914" t="inlineStr">
        <is>
          <t>SMEDJEBACKEN</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25812-2024</t>
        </is>
      </c>
      <c r="B915" s="1" t="n">
        <v>45467</v>
      </c>
      <c r="C915" s="1" t="n">
        <v>45718</v>
      </c>
      <c r="D915" t="inlineStr">
        <is>
          <t>DALARNAS LÄN</t>
        </is>
      </c>
      <c r="E915" t="inlineStr">
        <is>
          <t>SMEDJEBACKEN</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25809-2024</t>
        </is>
      </c>
      <c r="B916" s="1" t="n">
        <v>45467</v>
      </c>
      <c r="C916" s="1" t="n">
        <v>45718</v>
      </c>
      <c r="D916" t="inlineStr">
        <is>
          <t>DALARNAS LÄN</t>
        </is>
      </c>
      <c r="E916" t="inlineStr">
        <is>
          <t>SMEDJEBACKEN</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25813-2024</t>
        </is>
      </c>
      <c r="B917" s="1" t="n">
        <v>45467</v>
      </c>
      <c r="C917" s="1" t="n">
        <v>45718</v>
      </c>
      <c r="D917" t="inlineStr">
        <is>
          <t>DALARNAS LÄN</t>
        </is>
      </c>
      <c r="E917" t="inlineStr">
        <is>
          <t>SMEDJEBACKEN</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25964-2024</t>
        </is>
      </c>
      <c r="B918" s="1" t="n">
        <v>45467</v>
      </c>
      <c r="C918" s="1" t="n">
        <v>45718</v>
      </c>
      <c r="D918" t="inlineStr">
        <is>
          <t>DALARNAS LÄN</t>
        </is>
      </c>
      <c r="E918" t="inlineStr">
        <is>
          <t>SMEDJEBACKEN</t>
        </is>
      </c>
      <c r="G918" t="n">
        <v>7.3</v>
      </c>
      <c r="H918" t="n">
        <v>0</v>
      </c>
      <c r="I918" t="n">
        <v>0</v>
      </c>
      <c r="J918" t="n">
        <v>0</v>
      </c>
      <c r="K918" t="n">
        <v>0</v>
      </c>
      <c r="L918" t="n">
        <v>0</v>
      </c>
      <c r="M918" t="n">
        <v>0</v>
      </c>
      <c r="N918" t="n">
        <v>0</v>
      </c>
      <c r="O918" t="n">
        <v>0</v>
      </c>
      <c r="P918" t="n">
        <v>0</v>
      </c>
      <c r="Q918" t="n">
        <v>0</v>
      </c>
      <c r="R918" s="2" t="inlineStr"/>
    </row>
    <row r="919" ht="15" customHeight="1">
      <c r="A919" t="inlineStr">
        <is>
          <t>A 25970-2024</t>
        </is>
      </c>
      <c r="B919" s="1" t="n">
        <v>45467</v>
      </c>
      <c r="C919" s="1" t="n">
        <v>45718</v>
      </c>
      <c r="D919" t="inlineStr">
        <is>
          <t>DALARNAS LÄN</t>
        </is>
      </c>
      <c r="E919" t="inlineStr">
        <is>
          <t>SMEDJEBACKEN</t>
        </is>
      </c>
      <c r="G919" t="n">
        <v>2.5</v>
      </c>
      <c r="H919" t="n">
        <v>0</v>
      </c>
      <c r="I919" t="n">
        <v>0</v>
      </c>
      <c r="J919" t="n">
        <v>0</v>
      </c>
      <c r="K919" t="n">
        <v>0</v>
      </c>
      <c r="L919" t="n">
        <v>0</v>
      </c>
      <c r="M919" t="n">
        <v>0</v>
      </c>
      <c r="N919" t="n">
        <v>0</v>
      </c>
      <c r="O919" t="n">
        <v>0</v>
      </c>
      <c r="P919" t="n">
        <v>0</v>
      </c>
      <c r="Q919" t="n">
        <v>0</v>
      </c>
      <c r="R919" s="2" t="inlineStr"/>
    </row>
    <row r="920" ht="15" customHeight="1">
      <c r="A920" t="inlineStr">
        <is>
          <t>A 25967-2024</t>
        </is>
      </c>
      <c r="B920" s="1" t="n">
        <v>45467</v>
      </c>
      <c r="C920" s="1" t="n">
        <v>45718</v>
      </c>
      <c r="D920" t="inlineStr">
        <is>
          <t>DALARNAS LÄN</t>
        </is>
      </c>
      <c r="E920" t="inlineStr">
        <is>
          <t>SMEDJEBACKEN</t>
        </is>
      </c>
      <c r="G920" t="n">
        <v>11.7</v>
      </c>
      <c r="H920" t="n">
        <v>0</v>
      </c>
      <c r="I920" t="n">
        <v>0</v>
      </c>
      <c r="J920" t="n">
        <v>0</v>
      </c>
      <c r="K920" t="n">
        <v>0</v>
      </c>
      <c r="L920" t="n">
        <v>0</v>
      </c>
      <c r="M920" t="n">
        <v>0</v>
      </c>
      <c r="N920" t="n">
        <v>0</v>
      </c>
      <c r="O920" t="n">
        <v>0</v>
      </c>
      <c r="P920" t="n">
        <v>0</v>
      </c>
      <c r="Q920" t="n">
        <v>0</v>
      </c>
      <c r="R920" s="2" t="inlineStr"/>
    </row>
    <row r="921" ht="15" customHeight="1">
      <c r="A921" t="inlineStr">
        <is>
          <t>A 26430-2024</t>
        </is>
      </c>
      <c r="B921" s="1" t="n">
        <v>45469</v>
      </c>
      <c r="C921" s="1" t="n">
        <v>45718</v>
      </c>
      <c r="D921" t="inlineStr">
        <is>
          <t>DALARNAS LÄN</t>
        </is>
      </c>
      <c r="E921" t="inlineStr">
        <is>
          <t>SMEDJEBACKEN</t>
        </is>
      </c>
      <c r="F921" t="inlineStr">
        <is>
          <t>Bergvik skog väst AB</t>
        </is>
      </c>
      <c r="G921" t="n">
        <v>0.9</v>
      </c>
      <c r="H921" t="n">
        <v>0</v>
      </c>
      <c r="I921" t="n">
        <v>0</v>
      </c>
      <c r="J921" t="n">
        <v>0</v>
      </c>
      <c r="K921" t="n">
        <v>0</v>
      </c>
      <c r="L921" t="n">
        <v>0</v>
      </c>
      <c r="M921" t="n">
        <v>0</v>
      </c>
      <c r="N921" t="n">
        <v>0</v>
      </c>
      <c r="O921" t="n">
        <v>0</v>
      </c>
      <c r="P921" t="n">
        <v>0</v>
      </c>
      <c r="Q921" t="n">
        <v>0</v>
      </c>
      <c r="R921" s="2" t="inlineStr"/>
    </row>
    <row r="922" ht="15" customHeight="1">
      <c r="A922" t="inlineStr">
        <is>
          <t>A 26439-2024</t>
        </is>
      </c>
      <c r="B922" s="1" t="n">
        <v>45469</v>
      </c>
      <c r="C922" s="1" t="n">
        <v>45718</v>
      </c>
      <c r="D922" t="inlineStr">
        <is>
          <t>DALARNAS LÄN</t>
        </is>
      </c>
      <c r="E922" t="inlineStr">
        <is>
          <t>SMEDJEBACKEN</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26511-2024</t>
        </is>
      </c>
      <c r="B923" s="1" t="n">
        <v>45469</v>
      </c>
      <c r="C923" s="1" t="n">
        <v>45718</v>
      </c>
      <c r="D923" t="inlineStr">
        <is>
          <t>DALARNAS LÄN</t>
        </is>
      </c>
      <c r="E923" t="inlineStr">
        <is>
          <t>SMEDJEBACKEN</t>
        </is>
      </c>
      <c r="G923" t="n">
        <v>5.9</v>
      </c>
      <c r="H923" t="n">
        <v>0</v>
      </c>
      <c r="I923" t="n">
        <v>0</v>
      </c>
      <c r="J923" t="n">
        <v>0</v>
      </c>
      <c r="K923" t="n">
        <v>0</v>
      </c>
      <c r="L923" t="n">
        <v>0</v>
      </c>
      <c r="M923" t="n">
        <v>0</v>
      </c>
      <c r="N923" t="n">
        <v>0</v>
      </c>
      <c r="O923" t="n">
        <v>0</v>
      </c>
      <c r="P923" t="n">
        <v>0</v>
      </c>
      <c r="Q923" t="n">
        <v>0</v>
      </c>
      <c r="R923" s="2" t="inlineStr"/>
    </row>
    <row r="924" ht="15" customHeight="1">
      <c r="A924" t="inlineStr">
        <is>
          <t>A 26517-2024</t>
        </is>
      </c>
      <c r="B924" s="1" t="n">
        <v>45469</v>
      </c>
      <c r="C924" s="1" t="n">
        <v>45718</v>
      </c>
      <c r="D924" t="inlineStr">
        <is>
          <t>DALARNAS LÄN</t>
        </is>
      </c>
      <c r="E924" t="inlineStr">
        <is>
          <t>SMEDJEBACKEN</t>
        </is>
      </c>
      <c r="G924" t="n">
        <v>1.7</v>
      </c>
      <c r="H924" t="n">
        <v>0</v>
      </c>
      <c r="I924" t="n">
        <v>0</v>
      </c>
      <c r="J924" t="n">
        <v>0</v>
      </c>
      <c r="K924" t="n">
        <v>0</v>
      </c>
      <c r="L924" t="n">
        <v>0</v>
      </c>
      <c r="M924" t="n">
        <v>0</v>
      </c>
      <c r="N924" t="n">
        <v>0</v>
      </c>
      <c r="O924" t="n">
        <v>0</v>
      </c>
      <c r="P924" t="n">
        <v>0</v>
      </c>
      <c r="Q924" t="n">
        <v>0</v>
      </c>
      <c r="R924" s="2" t="inlineStr"/>
    </row>
    <row r="925" ht="15" customHeight="1">
      <c r="A925" t="inlineStr">
        <is>
          <t>A 26899-2024</t>
        </is>
      </c>
      <c r="B925" s="1" t="n">
        <v>45470</v>
      </c>
      <c r="C925" s="1" t="n">
        <v>45718</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27162-2024</t>
        </is>
      </c>
      <c r="B926" s="1" t="n">
        <v>45471</v>
      </c>
      <c r="C926" s="1" t="n">
        <v>45718</v>
      </c>
      <c r="D926" t="inlineStr">
        <is>
          <t>DALARNAS LÄN</t>
        </is>
      </c>
      <c r="E926" t="inlineStr">
        <is>
          <t>SMEDJEBACKEN</t>
        </is>
      </c>
      <c r="F926" t="inlineStr">
        <is>
          <t>Bergvik skog väst AB</t>
        </is>
      </c>
      <c r="G926" t="n">
        <v>3.8</v>
      </c>
      <c r="H926" t="n">
        <v>0</v>
      </c>
      <c r="I926" t="n">
        <v>0</v>
      </c>
      <c r="J926" t="n">
        <v>0</v>
      </c>
      <c r="K926" t="n">
        <v>0</v>
      </c>
      <c r="L926" t="n">
        <v>0</v>
      </c>
      <c r="M926" t="n">
        <v>0</v>
      </c>
      <c r="N926" t="n">
        <v>0</v>
      </c>
      <c r="O926" t="n">
        <v>0</v>
      </c>
      <c r="P926" t="n">
        <v>0</v>
      </c>
      <c r="Q926" t="n">
        <v>0</v>
      </c>
      <c r="R926" s="2" t="inlineStr"/>
    </row>
    <row r="927" ht="15" customHeight="1">
      <c r="A927" t="inlineStr">
        <is>
          <t>A 26998-2024</t>
        </is>
      </c>
      <c r="B927" s="1" t="n">
        <v>45471</v>
      </c>
      <c r="C927" s="1" t="n">
        <v>45718</v>
      </c>
      <c r="D927" t="inlineStr">
        <is>
          <t>DALARNAS LÄN</t>
        </is>
      </c>
      <c r="E927" t="inlineStr">
        <is>
          <t>SMEDJEBACKEN</t>
        </is>
      </c>
      <c r="G927" t="n">
        <v>9</v>
      </c>
      <c r="H927" t="n">
        <v>0</v>
      </c>
      <c r="I927" t="n">
        <v>0</v>
      </c>
      <c r="J927" t="n">
        <v>0</v>
      </c>
      <c r="K927" t="n">
        <v>0</v>
      </c>
      <c r="L927" t="n">
        <v>0</v>
      </c>
      <c r="M927" t="n">
        <v>0</v>
      </c>
      <c r="N927" t="n">
        <v>0</v>
      </c>
      <c r="O927" t="n">
        <v>0</v>
      </c>
      <c r="P927" t="n">
        <v>0</v>
      </c>
      <c r="Q927" t="n">
        <v>0</v>
      </c>
      <c r="R927" s="2" t="inlineStr"/>
    </row>
    <row r="928" ht="15" customHeight="1">
      <c r="A928" t="inlineStr">
        <is>
          <t>A 27017-2024</t>
        </is>
      </c>
      <c r="B928" s="1" t="n">
        <v>45471</v>
      </c>
      <c r="C928" s="1" t="n">
        <v>45718</v>
      </c>
      <c r="D928" t="inlineStr">
        <is>
          <t>DALARNAS LÄN</t>
        </is>
      </c>
      <c r="E928" t="inlineStr">
        <is>
          <t>SMEDJEBACKEN</t>
        </is>
      </c>
      <c r="G928" t="n">
        <v>1.6</v>
      </c>
      <c r="H928" t="n">
        <v>0</v>
      </c>
      <c r="I928" t="n">
        <v>0</v>
      </c>
      <c r="J928" t="n">
        <v>0</v>
      </c>
      <c r="K928" t="n">
        <v>0</v>
      </c>
      <c r="L928" t="n">
        <v>0</v>
      </c>
      <c r="M928" t="n">
        <v>0</v>
      </c>
      <c r="N928" t="n">
        <v>0</v>
      </c>
      <c r="O928" t="n">
        <v>0</v>
      </c>
      <c r="P928" t="n">
        <v>0</v>
      </c>
      <c r="Q928" t="n">
        <v>0</v>
      </c>
      <c r="R928" s="2" t="inlineStr"/>
    </row>
    <row r="929" ht="15" customHeight="1">
      <c r="A929" t="inlineStr">
        <is>
          <t>A 27062-2024</t>
        </is>
      </c>
      <c r="B929" s="1" t="n">
        <v>45471</v>
      </c>
      <c r="C929" s="1" t="n">
        <v>45718</v>
      </c>
      <c r="D929" t="inlineStr">
        <is>
          <t>DALARNAS LÄN</t>
        </is>
      </c>
      <c r="E929" t="inlineStr">
        <is>
          <t>SMEDJEBACKEN</t>
        </is>
      </c>
      <c r="G929" t="n">
        <v>1.5</v>
      </c>
      <c r="H929" t="n">
        <v>0</v>
      </c>
      <c r="I929" t="n">
        <v>0</v>
      </c>
      <c r="J929" t="n">
        <v>0</v>
      </c>
      <c r="K929" t="n">
        <v>0</v>
      </c>
      <c r="L929" t="n">
        <v>0</v>
      </c>
      <c r="M929" t="n">
        <v>0</v>
      </c>
      <c r="N929" t="n">
        <v>0</v>
      </c>
      <c r="O929" t="n">
        <v>0</v>
      </c>
      <c r="P929" t="n">
        <v>0</v>
      </c>
      <c r="Q929" t="n">
        <v>0</v>
      </c>
      <c r="R929" s="2" t="inlineStr"/>
    </row>
    <row r="930" ht="15" customHeight="1">
      <c r="A930" t="inlineStr">
        <is>
          <t>A 27018-2024</t>
        </is>
      </c>
      <c r="B930" s="1" t="n">
        <v>45471</v>
      </c>
      <c r="C930" s="1" t="n">
        <v>45718</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28346-2024</t>
        </is>
      </c>
      <c r="B931" s="1" t="n">
        <v>45477</v>
      </c>
      <c r="C931" s="1" t="n">
        <v>45718</v>
      </c>
      <c r="D931" t="inlineStr">
        <is>
          <t>DALARNAS LÄN</t>
        </is>
      </c>
      <c r="E931" t="inlineStr">
        <is>
          <t>SMEDJEBACKEN</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28253-2024</t>
        </is>
      </c>
      <c r="B932" s="1" t="n">
        <v>45477</v>
      </c>
      <c r="C932" s="1" t="n">
        <v>45718</v>
      </c>
      <c r="D932" t="inlineStr">
        <is>
          <t>DALARNAS LÄN</t>
        </is>
      </c>
      <c r="E932" t="inlineStr">
        <is>
          <t>SMEDJEBACKEN</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28274-2024</t>
        </is>
      </c>
      <c r="B933" s="1" t="n">
        <v>45477</v>
      </c>
      <c r="C933" s="1" t="n">
        <v>45718</v>
      </c>
      <c r="D933" t="inlineStr">
        <is>
          <t>DALARNAS LÄN</t>
        </is>
      </c>
      <c r="E933" t="inlineStr">
        <is>
          <t>SMEDJEBACKEN</t>
        </is>
      </c>
      <c r="G933" t="n">
        <v>2.2</v>
      </c>
      <c r="H933" t="n">
        <v>0</v>
      </c>
      <c r="I933" t="n">
        <v>0</v>
      </c>
      <c r="J933" t="n">
        <v>0</v>
      </c>
      <c r="K933" t="n">
        <v>0</v>
      </c>
      <c r="L933" t="n">
        <v>0</v>
      </c>
      <c r="M933" t="n">
        <v>0</v>
      </c>
      <c r="N933" t="n">
        <v>0</v>
      </c>
      <c r="O933" t="n">
        <v>0</v>
      </c>
      <c r="P933" t="n">
        <v>0</v>
      </c>
      <c r="Q933" t="n">
        <v>0</v>
      </c>
      <c r="R933" s="2" t="inlineStr"/>
    </row>
    <row r="934" ht="15" customHeight="1">
      <c r="A934" t="inlineStr">
        <is>
          <t>A 28250-2024</t>
        </is>
      </c>
      <c r="B934" s="1" t="n">
        <v>45477</v>
      </c>
      <c r="C934" s="1" t="n">
        <v>45718</v>
      </c>
      <c r="D934" t="inlineStr">
        <is>
          <t>DALARNAS LÄN</t>
        </is>
      </c>
      <c r="E934" t="inlineStr">
        <is>
          <t>SMEDJEBACKEN</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28196-2024</t>
        </is>
      </c>
      <c r="B935" s="1" t="n">
        <v>45477</v>
      </c>
      <c r="C935" s="1" t="n">
        <v>45718</v>
      </c>
      <c r="D935" t="inlineStr">
        <is>
          <t>DALARNAS LÄN</t>
        </is>
      </c>
      <c r="E935" t="inlineStr">
        <is>
          <t>SMEDJEBACKEN</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28247-2024</t>
        </is>
      </c>
      <c r="B936" s="1" t="n">
        <v>45477</v>
      </c>
      <c r="C936" s="1" t="n">
        <v>45718</v>
      </c>
      <c r="D936" t="inlineStr">
        <is>
          <t>DALARNAS LÄN</t>
        </is>
      </c>
      <c r="E936" t="inlineStr">
        <is>
          <t>SMEDJEBACKEN</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28251-2024</t>
        </is>
      </c>
      <c r="B937" s="1" t="n">
        <v>45477</v>
      </c>
      <c r="C937" s="1" t="n">
        <v>45718</v>
      </c>
      <c r="D937" t="inlineStr">
        <is>
          <t>DALARNAS LÄN</t>
        </is>
      </c>
      <c r="E937" t="inlineStr">
        <is>
          <t>SMEDJEBACKEN</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28348-2024</t>
        </is>
      </c>
      <c r="B938" s="1" t="n">
        <v>45477</v>
      </c>
      <c r="C938" s="1" t="n">
        <v>45718</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c r="U938">
        <f>HYPERLINK("https://klasma.github.io/Logging_2061/knärot/A 28348-2024 karta knärot.png", "A 28348-2024")</f>
        <v/>
      </c>
      <c r="V938">
        <f>HYPERLINK("https://klasma.github.io/Logging_2061/klagomål/A 28348-2024 FSC-klagomål.docx", "A 28348-2024")</f>
        <v/>
      </c>
      <c r="W938">
        <f>HYPERLINK("https://klasma.github.io/Logging_2061/klagomålsmail/A 28348-2024 FSC-klagomål mail.docx", "A 28348-2024")</f>
        <v/>
      </c>
      <c r="X938">
        <f>HYPERLINK("https://klasma.github.io/Logging_2061/tillsyn/A 28348-2024 tillsynsbegäran.docx", "A 28348-2024")</f>
        <v/>
      </c>
      <c r="Y938">
        <f>HYPERLINK("https://klasma.github.io/Logging_2061/tillsynsmail/A 28348-2024 tillsynsbegäran mail.docx", "A 28348-2024")</f>
        <v/>
      </c>
    </row>
    <row r="939" ht="15" customHeight="1">
      <c r="A939" t="inlineStr">
        <is>
          <t>A 28248-2024</t>
        </is>
      </c>
      <c r="B939" s="1" t="n">
        <v>45477</v>
      </c>
      <c r="C939" s="1" t="n">
        <v>45718</v>
      </c>
      <c r="D939" t="inlineStr">
        <is>
          <t>DALARNAS LÄN</t>
        </is>
      </c>
      <c r="E939" t="inlineStr">
        <is>
          <t>SMEDJEBACKEN</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28760-2024</t>
        </is>
      </c>
      <c r="B940" s="1" t="n">
        <v>45478</v>
      </c>
      <c r="C940" s="1" t="n">
        <v>45718</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28916-2024</t>
        </is>
      </c>
      <c r="B941" s="1" t="n">
        <v>45480</v>
      </c>
      <c r="C941" s="1" t="n">
        <v>45718</v>
      </c>
      <c r="D941" t="inlineStr">
        <is>
          <t>DALARNAS LÄN</t>
        </is>
      </c>
      <c r="E941" t="inlineStr">
        <is>
          <t>SMEDJEBACKEN</t>
        </is>
      </c>
      <c r="F941" t="inlineStr">
        <is>
          <t>Övriga Aktiebolag</t>
        </is>
      </c>
      <c r="G941" t="n">
        <v>18.3</v>
      </c>
      <c r="H941" t="n">
        <v>0</v>
      </c>
      <c r="I941" t="n">
        <v>0</v>
      </c>
      <c r="J941" t="n">
        <v>0</v>
      </c>
      <c r="K941" t="n">
        <v>0</v>
      </c>
      <c r="L941" t="n">
        <v>0</v>
      </c>
      <c r="M941" t="n">
        <v>0</v>
      </c>
      <c r="N941" t="n">
        <v>0</v>
      </c>
      <c r="O941" t="n">
        <v>0</v>
      </c>
      <c r="P941" t="n">
        <v>0</v>
      </c>
      <c r="Q941" t="n">
        <v>0</v>
      </c>
      <c r="R941" s="2" t="inlineStr"/>
    </row>
    <row r="942" ht="15" customHeight="1">
      <c r="A942" t="inlineStr">
        <is>
          <t>A 28972-2024</t>
        </is>
      </c>
      <c r="B942" s="1" t="n">
        <v>45481</v>
      </c>
      <c r="C942" s="1" t="n">
        <v>45718</v>
      </c>
      <c r="D942" t="inlineStr">
        <is>
          <t>DALARNAS LÄN</t>
        </is>
      </c>
      <c r="E942" t="inlineStr">
        <is>
          <t>SMEDJEBACKEN</t>
        </is>
      </c>
      <c r="G942" t="n">
        <v>3.4</v>
      </c>
      <c r="H942" t="n">
        <v>0</v>
      </c>
      <c r="I942" t="n">
        <v>0</v>
      </c>
      <c r="J942" t="n">
        <v>0</v>
      </c>
      <c r="K942" t="n">
        <v>0</v>
      </c>
      <c r="L942" t="n">
        <v>0</v>
      </c>
      <c r="M942" t="n">
        <v>0</v>
      </c>
      <c r="N942" t="n">
        <v>0</v>
      </c>
      <c r="O942" t="n">
        <v>0</v>
      </c>
      <c r="P942" t="n">
        <v>0</v>
      </c>
      <c r="Q942" t="n">
        <v>0</v>
      </c>
      <c r="R942" s="2" t="inlineStr"/>
    </row>
    <row r="943" ht="15" customHeight="1">
      <c r="A943" t="inlineStr">
        <is>
          <t>A 29120-2024</t>
        </is>
      </c>
      <c r="B943" s="1" t="n">
        <v>45482</v>
      </c>
      <c r="C943" s="1" t="n">
        <v>45718</v>
      </c>
      <c r="D943" t="inlineStr">
        <is>
          <t>DALARNAS LÄN</t>
        </is>
      </c>
      <c r="E943" t="inlineStr">
        <is>
          <t>SMEDJEBACKEN</t>
        </is>
      </c>
      <c r="G943" t="n">
        <v>4.1</v>
      </c>
      <c r="H943" t="n">
        <v>0</v>
      </c>
      <c r="I943" t="n">
        <v>0</v>
      </c>
      <c r="J943" t="n">
        <v>0</v>
      </c>
      <c r="K943" t="n">
        <v>0</v>
      </c>
      <c r="L943" t="n">
        <v>0</v>
      </c>
      <c r="M943" t="n">
        <v>0</v>
      </c>
      <c r="N943" t="n">
        <v>0</v>
      </c>
      <c r="O943" t="n">
        <v>0</v>
      </c>
      <c r="P943" t="n">
        <v>0</v>
      </c>
      <c r="Q943" t="n">
        <v>0</v>
      </c>
      <c r="R943" s="2" t="inlineStr"/>
    </row>
    <row r="944" ht="15" customHeight="1">
      <c r="A944" t="inlineStr">
        <is>
          <t>A 29220-2024</t>
        </is>
      </c>
      <c r="B944" s="1" t="n">
        <v>45482</v>
      </c>
      <c r="C944" s="1" t="n">
        <v>45718</v>
      </c>
      <c r="D944" t="inlineStr">
        <is>
          <t>DALARNAS LÄN</t>
        </is>
      </c>
      <c r="E944" t="inlineStr">
        <is>
          <t>SMEDJEBACKEN</t>
        </is>
      </c>
      <c r="G944" t="n">
        <v>1.3</v>
      </c>
      <c r="H944" t="n">
        <v>0</v>
      </c>
      <c r="I944" t="n">
        <v>0</v>
      </c>
      <c r="J944" t="n">
        <v>0</v>
      </c>
      <c r="K944" t="n">
        <v>0</v>
      </c>
      <c r="L944" t="n">
        <v>0</v>
      </c>
      <c r="M944" t="n">
        <v>0</v>
      </c>
      <c r="N944" t="n">
        <v>0</v>
      </c>
      <c r="O944" t="n">
        <v>0</v>
      </c>
      <c r="P944" t="n">
        <v>0</v>
      </c>
      <c r="Q944" t="n">
        <v>0</v>
      </c>
      <c r="R944" s="2" t="inlineStr"/>
    </row>
    <row r="945" ht="15" customHeight="1">
      <c r="A945" t="inlineStr">
        <is>
          <t>A 29530-2024</t>
        </is>
      </c>
      <c r="B945" s="1" t="n">
        <v>45484</v>
      </c>
      <c r="C945" s="1" t="n">
        <v>45718</v>
      </c>
      <c r="D945" t="inlineStr">
        <is>
          <t>DALARNAS LÄN</t>
        </is>
      </c>
      <c r="E945" t="inlineStr">
        <is>
          <t>SMEDJEBACKEN</t>
        </is>
      </c>
      <c r="G945" t="n">
        <v>4</v>
      </c>
      <c r="H945" t="n">
        <v>0</v>
      </c>
      <c r="I945" t="n">
        <v>0</v>
      </c>
      <c r="J945" t="n">
        <v>0</v>
      </c>
      <c r="K945" t="n">
        <v>0</v>
      </c>
      <c r="L945" t="n">
        <v>0</v>
      </c>
      <c r="M945" t="n">
        <v>0</v>
      </c>
      <c r="N945" t="n">
        <v>0</v>
      </c>
      <c r="O945" t="n">
        <v>0</v>
      </c>
      <c r="P945" t="n">
        <v>0</v>
      </c>
      <c r="Q945" t="n">
        <v>0</v>
      </c>
      <c r="R945" s="2" t="inlineStr"/>
    </row>
    <row r="946" ht="15" customHeight="1">
      <c r="A946" t="inlineStr">
        <is>
          <t>A 29820-2024</t>
        </is>
      </c>
      <c r="B946" s="1" t="n">
        <v>45485</v>
      </c>
      <c r="C946" s="1" t="n">
        <v>45718</v>
      </c>
      <c r="D946" t="inlineStr">
        <is>
          <t>DALARNAS LÄN</t>
        </is>
      </c>
      <c r="E946" t="inlineStr">
        <is>
          <t>SMEDJEBACKEN</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29828-2024</t>
        </is>
      </c>
      <c r="B947" s="1" t="n">
        <v>45485</v>
      </c>
      <c r="C947" s="1" t="n">
        <v>45718</v>
      </c>
      <c r="D947" t="inlineStr">
        <is>
          <t>DALARNAS LÄN</t>
        </is>
      </c>
      <c r="E947" t="inlineStr">
        <is>
          <t>SMEDJEBACKEN</t>
        </is>
      </c>
      <c r="F947" t="inlineStr">
        <is>
          <t>Övriga Aktiebolag</t>
        </is>
      </c>
      <c r="G947" t="n">
        <v>9.9</v>
      </c>
      <c r="H947" t="n">
        <v>0</v>
      </c>
      <c r="I947" t="n">
        <v>0</v>
      </c>
      <c r="J947" t="n">
        <v>0</v>
      </c>
      <c r="K947" t="n">
        <v>0</v>
      </c>
      <c r="L947" t="n">
        <v>0</v>
      </c>
      <c r="M947" t="n">
        <v>0</v>
      </c>
      <c r="N947" t="n">
        <v>0</v>
      </c>
      <c r="O947" t="n">
        <v>0</v>
      </c>
      <c r="P947" t="n">
        <v>0</v>
      </c>
      <c r="Q947" t="n">
        <v>0</v>
      </c>
      <c r="R947" s="2" t="inlineStr"/>
    </row>
    <row r="948" ht="15" customHeight="1">
      <c r="A948" t="inlineStr">
        <is>
          <t>A 29894-2024</t>
        </is>
      </c>
      <c r="B948" s="1" t="n">
        <v>45487</v>
      </c>
      <c r="C948" s="1" t="n">
        <v>45718</v>
      </c>
      <c r="D948" t="inlineStr">
        <is>
          <t>DALARNAS LÄN</t>
        </is>
      </c>
      <c r="E948" t="inlineStr">
        <is>
          <t>SMEDJEBACKEN</t>
        </is>
      </c>
      <c r="G948" t="n">
        <v>3.1</v>
      </c>
      <c r="H948" t="n">
        <v>0</v>
      </c>
      <c r="I948" t="n">
        <v>0</v>
      </c>
      <c r="J948" t="n">
        <v>0</v>
      </c>
      <c r="K948" t="n">
        <v>0</v>
      </c>
      <c r="L948" t="n">
        <v>0</v>
      </c>
      <c r="M948" t="n">
        <v>0</v>
      </c>
      <c r="N948" t="n">
        <v>0</v>
      </c>
      <c r="O948" t="n">
        <v>0</v>
      </c>
      <c r="P948" t="n">
        <v>0</v>
      </c>
      <c r="Q948" t="n">
        <v>0</v>
      </c>
      <c r="R948" s="2" t="inlineStr"/>
    </row>
    <row r="949" ht="15" customHeight="1">
      <c r="A949" t="inlineStr">
        <is>
          <t>A 30384-2024</t>
        </is>
      </c>
      <c r="B949" s="1" t="n">
        <v>45490</v>
      </c>
      <c r="C949" s="1" t="n">
        <v>45718</v>
      </c>
      <c r="D949" t="inlineStr">
        <is>
          <t>DALARNAS LÄN</t>
        </is>
      </c>
      <c r="E949" t="inlineStr">
        <is>
          <t>SMEDJEBACKEN</t>
        </is>
      </c>
      <c r="G949" t="n">
        <v>8.4</v>
      </c>
      <c r="H949" t="n">
        <v>0</v>
      </c>
      <c r="I949" t="n">
        <v>0</v>
      </c>
      <c r="J949" t="n">
        <v>0</v>
      </c>
      <c r="K949" t="n">
        <v>0</v>
      </c>
      <c r="L949" t="n">
        <v>0</v>
      </c>
      <c r="M949" t="n">
        <v>0</v>
      </c>
      <c r="N949" t="n">
        <v>0</v>
      </c>
      <c r="O949" t="n">
        <v>0</v>
      </c>
      <c r="P949" t="n">
        <v>0</v>
      </c>
      <c r="Q949" t="n">
        <v>0</v>
      </c>
      <c r="R949" s="2" t="inlineStr"/>
    </row>
    <row r="950" ht="15" customHeight="1">
      <c r="A950" t="inlineStr">
        <is>
          <t>A 30825-2024</t>
        </is>
      </c>
      <c r="B950" s="1" t="n">
        <v>45497</v>
      </c>
      <c r="C950" s="1" t="n">
        <v>45718</v>
      </c>
      <c r="D950" t="inlineStr">
        <is>
          <t>DALARNAS LÄN</t>
        </is>
      </c>
      <c r="E950" t="inlineStr">
        <is>
          <t>SMEDJEBACKEN</t>
        </is>
      </c>
      <c r="G950" t="n">
        <v>1.8</v>
      </c>
      <c r="H950" t="n">
        <v>0</v>
      </c>
      <c r="I950" t="n">
        <v>0</v>
      </c>
      <c r="J950" t="n">
        <v>0</v>
      </c>
      <c r="K950" t="n">
        <v>0</v>
      </c>
      <c r="L950" t="n">
        <v>0</v>
      </c>
      <c r="M950" t="n">
        <v>0</v>
      </c>
      <c r="N950" t="n">
        <v>0</v>
      </c>
      <c r="O950" t="n">
        <v>0</v>
      </c>
      <c r="P950" t="n">
        <v>0</v>
      </c>
      <c r="Q950" t="n">
        <v>0</v>
      </c>
      <c r="R950" s="2" t="inlineStr"/>
    </row>
    <row r="951" ht="15" customHeight="1">
      <c r="A951" t="inlineStr">
        <is>
          <t>A 31034-2024</t>
        </is>
      </c>
      <c r="B951" s="1" t="n">
        <v>45501</v>
      </c>
      <c r="C951" s="1" t="n">
        <v>45718</v>
      </c>
      <c r="D951" t="inlineStr">
        <is>
          <t>DALARNAS LÄN</t>
        </is>
      </c>
      <c r="E951" t="inlineStr">
        <is>
          <t>SMEDJEBACKEN</t>
        </is>
      </c>
      <c r="G951" t="n">
        <v>0.5</v>
      </c>
      <c r="H951" t="n">
        <v>0</v>
      </c>
      <c r="I951" t="n">
        <v>0</v>
      </c>
      <c r="J951" t="n">
        <v>0</v>
      </c>
      <c r="K951" t="n">
        <v>0</v>
      </c>
      <c r="L951" t="n">
        <v>0</v>
      </c>
      <c r="M951" t="n">
        <v>0</v>
      </c>
      <c r="N951" t="n">
        <v>0</v>
      </c>
      <c r="O951" t="n">
        <v>0</v>
      </c>
      <c r="P951" t="n">
        <v>0</v>
      </c>
      <c r="Q951" t="n">
        <v>0</v>
      </c>
      <c r="R951" s="2" t="inlineStr"/>
    </row>
    <row r="952" ht="15" customHeight="1">
      <c r="A952" t="inlineStr">
        <is>
          <t>A 31213-2024</t>
        </is>
      </c>
      <c r="B952" s="1" t="n">
        <v>45503</v>
      </c>
      <c r="C952" s="1" t="n">
        <v>45718</v>
      </c>
      <c r="D952" t="inlineStr">
        <is>
          <t>DALARNAS LÄN</t>
        </is>
      </c>
      <c r="E952" t="inlineStr">
        <is>
          <t>SMEDJEBACKEN</t>
        </is>
      </c>
      <c r="G952" t="n">
        <v>1.7</v>
      </c>
      <c r="H952" t="n">
        <v>0</v>
      </c>
      <c r="I952" t="n">
        <v>0</v>
      </c>
      <c r="J952" t="n">
        <v>0</v>
      </c>
      <c r="K952" t="n">
        <v>0</v>
      </c>
      <c r="L952" t="n">
        <v>0</v>
      </c>
      <c r="M952" t="n">
        <v>0</v>
      </c>
      <c r="N952" t="n">
        <v>0</v>
      </c>
      <c r="O952" t="n">
        <v>0</v>
      </c>
      <c r="P952" t="n">
        <v>0</v>
      </c>
      <c r="Q952" t="n">
        <v>0</v>
      </c>
      <c r="R952" s="2" t="inlineStr"/>
    </row>
    <row r="953" ht="15" customHeight="1">
      <c r="A953" t="inlineStr">
        <is>
          <t>A 31206-2024</t>
        </is>
      </c>
      <c r="B953" s="1" t="n">
        <v>45503</v>
      </c>
      <c r="C953" s="1" t="n">
        <v>45718</v>
      </c>
      <c r="D953" t="inlineStr">
        <is>
          <t>DALARNAS LÄN</t>
        </is>
      </c>
      <c r="E953" t="inlineStr">
        <is>
          <t>SMEDJEBACKEN</t>
        </is>
      </c>
      <c r="G953" t="n">
        <v>3.9</v>
      </c>
      <c r="H953" t="n">
        <v>0</v>
      </c>
      <c r="I953" t="n">
        <v>0</v>
      </c>
      <c r="J953" t="n">
        <v>0</v>
      </c>
      <c r="K953" t="n">
        <v>0</v>
      </c>
      <c r="L953" t="n">
        <v>0</v>
      </c>
      <c r="M953" t="n">
        <v>0</v>
      </c>
      <c r="N953" t="n">
        <v>0</v>
      </c>
      <c r="O953" t="n">
        <v>0</v>
      </c>
      <c r="P953" t="n">
        <v>0</v>
      </c>
      <c r="Q953" t="n">
        <v>0</v>
      </c>
      <c r="R953" s="2" t="inlineStr"/>
    </row>
    <row r="954" ht="15" customHeight="1">
      <c r="A954" t="inlineStr">
        <is>
          <t>A 33024-2024</t>
        </is>
      </c>
      <c r="B954" s="1" t="n">
        <v>45517</v>
      </c>
      <c r="C954" s="1" t="n">
        <v>45718</v>
      </c>
      <c r="D954" t="inlineStr">
        <is>
          <t>DALARNAS LÄN</t>
        </is>
      </c>
      <c r="E954" t="inlineStr">
        <is>
          <t>SMEDJEBACKEN</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33022-2024</t>
        </is>
      </c>
      <c r="B955" s="1" t="n">
        <v>45517</v>
      </c>
      <c r="C955" s="1" t="n">
        <v>45718</v>
      </c>
      <c r="D955" t="inlineStr">
        <is>
          <t>DALARNAS LÄN</t>
        </is>
      </c>
      <c r="E955" t="inlineStr">
        <is>
          <t>SMEDJEBACKEN</t>
        </is>
      </c>
      <c r="F955" t="inlineStr">
        <is>
          <t>Sveaskog</t>
        </is>
      </c>
      <c r="G955" t="n">
        <v>6.5</v>
      </c>
      <c r="H955" t="n">
        <v>0</v>
      </c>
      <c r="I955" t="n">
        <v>0</v>
      </c>
      <c r="J955" t="n">
        <v>0</v>
      </c>
      <c r="K955" t="n">
        <v>0</v>
      </c>
      <c r="L955" t="n">
        <v>0</v>
      </c>
      <c r="M955" t="n">
        <v>0</v>
      </c>
      <c r="N955" t="n">
        <v>0</v>
      </c>
      <c r="O955" t="n">
        <v>0</v>
      </c>
      <c r="P955" t="n">
        <v>0</v>
      </c>
      <c r="Q955" t="n">
        <v>0</v>
      </c>
      <c r="R955" s="2" t="inlineStr"/>
    </row>
    <row r="956" ht="15" customHeight="1">
      <c r="A956" t="inlineStr">
        <is>
          <t>A 32934-2024</t>
        </is>
      </c>
      <c r="B956" s="1" t="n">
        <v>45517</v>
      </c>
      <c r="C956" s="1" t="n">
        <v>45718</v>
      </c>
      <c r="D956" t="inlineStr">
        <is>
          <t>DALARNAS LÄN</t>
        </is>
      </c>
      <c r="E956" t="inlineStr">
        <is>
          <t>SMEDJEBACKEN</t>
        </is>
      </c>
      <c r="F956" t="inlineStr">
        <is>
          <t>Sveaskog</t>
        </is>
      </c>
      <c r="G956" t="n">
        <v>4.8</v>
      </c>
      <c r="H956" t="n">
        <v>0</v>
      </c>
      <c r="I956" t="n">
        <v>0</v>
      </c>
      <c r="J956" t="n">
        <v>0</v>
      </c>
      <c r="K956" t="n">
        <v>0</v>
      </c>
      <c r="L956" t="n">
        <v>0</v>
      </c>
      <c r="M956" t="n">
        <v>0</v>
      </c>
      <c r="N956" t="n">
        <v>0</v>
      </c>
      <c r="O956" t="n">
        <v>0</v>
      </c>
      <c r="P956" t="n">
        <v>0</v>
      </c>
      <c r="Q956" t="n">
        <v>0</v>
      </c>
      <c r="R956" s="2" t="inlineStr"/>
    </row>
    <row r="957" ht="15" customHeight="1">
      <c r="A957" t="inlineStr">
        <is>
          <t>A 32970-2024</t>
        </is>
      </c>
      <c r="B957" s="1" t="n">
        <v>45517</v>
      </c>
      <c r="C957" s="1" t="n">
        <v>45718</v>
      </c>
      <c r="D957" t="inlineStr">
        <is>
          <t>DALARNAS LÄN</t>
        </is>
      </c>
      <c r="E957" t="inlineStr">
        <is>
          <t>SMEDJEBACKEN</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32960-2024</t>
        </is>
      </c>
      <c r="B958" s="1" t="n">
        <v>45517</v>
      </c>
      <c r="C958" s="1" t="n">
        <v>45718</v>
      </c>
      <c r="D958" t="inlineStr">
        <is>
          <t>DALARNAS LÄN</t>
        </is>
      </c>
      <c r="E958" t="inlineStr">
        <is>
          <t>SMEDJEBACKEN</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33019-2024</t>
        </is>
      </c>
      <c r="B959" s="1" t="n">
        <v>45517</v>
      </c>
      <c r="C959" s="1" t="n">
        <v>45718</v>
      </c>
      <c r="D959" t="inlineStr">
        <is>
          <t>DALARNAS LÄN</t>
        </is>
      </c>
      <c r="E959" t="inlineStr">
        <is>
          <t>SMEDJEBACKEN</t>
        </is>
      </c>
      <c r="F959" t="inlineStr">
        <is>
          <t>Övriga Aktiebolag</t>
        </is>
      </c>
      <c r="G959" t="n">
        <v>5.2</v>
      </c>
      <c r="H959" t="n">
        <v>0</v>
      </c>
      <c r="I959" t="n">
        <v>0</v>
      </c>
      <c r="J959" t="n">
        <v>0</v>
      </c>
      <c r="K959" t="n">
        <v>0</v>
      </c>
      <c r="L959" t="n">
        <v>0</v>
      </c>
      <c r="M959" t="n">
        <v>0</v>
      </c>
      <c r="N959" t="n">
        <v>0</v>
      </c>
      <c r="O959" t="n">
        <v>0</v>
      </c>
      <c r="P959" t="n">
        <v>0</v>
      </c>
      <c r="Q959" t="n">
        <v>0</v>
      </c>
      <c r="R959" s="2" t="inlineStr"/>
    </row>
    <row r="960" ht="15" customHeight="1">
      <c r="A960" t="inlineStr">
        <is>
          <t>A 32961-2024</t>
        </is>
      </c>
      <c r="B960" s="1" t="n">
        <v>45517</v>
      </c>
      <c r="C960" s="1" t="n">
        <v>45718</v>
      </c>
      <c r="D960" t="inlineStr">
        <is>
          <t>DALARNAS LÄN</t>
        </is>
      </c>
      <c r="E960" t="inlineStr">
        <is>
          <t>SMEDJEBACKEN</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32951-2024</t>
        </is>
      </c>
      <c r="B961" s="1" t="n">
        <v>45517</v>
      </c>
      <c r="C961" s="1" t="n">
        <v>45718</v>
      </c>
      <c r="D961" t="inlineStr">
        <is>
          <t>DALARNAS LÄN</t>
        </is>
      </c>
      <c r="E961" t="inlineStr">
        <is>
          <t>SMEDJEBACKEN</t>
        </is>
      </c>
      <c r="F961" t="inlineStr">
        <is>
          <t>Övriga Aktiebolag</t>
        </is>
      </c>
      <c r="G961" t="n">
        <v>1.4</v>
      </c>
      <c r="H961" t="n">
        <v>0</v>
      </c>
      <c r="I961" t="n">
        <v>0</v>
      </c>
      <c r="J961" t="n">
        <v>0</v>
      </c>
      <c r="K961" t="n">
        <v>0</v>
      </c>
      <c r="L961" t="n">
        <v>0</v>
      </c>
      <c r="M961" t="n">
        <v>0</v>
      </c>
      <c r="N961" t="n">
        <v>0</v>
      </c>
      <c r="O961" t="n">
        <v>0</v>
      </c>
      <c r="P961" t="n">
        <v>0</v>
      </c>
      <c r="Q961" t="n">
        <v>0</v>
      </c>
      <c r="R961" s="2" t="inlineStr"/>
    </row>
    <row r="962" ht="15" customHeight="1">
      <c r="A962" t="inlineStr">
        <is>
          <t>A 33169-2024</t>
        </is>
      </c>
      <c r="B962" s="1" t="n">
        <v>45518</v>
      </c>
      <c r="C962" s="1" t="n">
        <v>45718</v>
      </c>
      <c r="D962" t="inlineStr">
        <is>
          <t>DALARNAS LÄN</t>
        </is>
      </c>
      <c r="E962" t="inlineStr">
        <is>
          <t>SMEDJEBACKEN</t>
        </is>
      </c>
      <c r="F962" t="inlineStr">
        <is>
          <t>Sveaskog</t>
        </is>
      </c>
      <c r="G962" t="n">
        <v>5</v>
      </c>
      <c r="H962" t="n">
        <v>0</v>
      </c>
      <c r="I962" t="n">
        <v>0</v>
      </c>
      <c r="J962" t="n">
        <v>0</v>
      </c>
      <c r="K962" t="n">
        <v>0</v>
      </c>
      <c r="L962" t="n">
        <v>0</v>
      </c>
      <c r="M962" t="n">
        <v>0</v>
      </c>
      <c r="N962" t="n">
        <v>0</v>
      </c>
      <c r="O962" t="n">
        <v>0</v>
      </c>
      <c r="P962" t="n">
        <v>0</v>
      </c>
      <c r="Q962" t="n">
        <v>0</v>
      </c>
      <c r="R962" s="2" t="inlineStr"/>
    </row>
    <row r="963" ht="15" customHeight="1">
      <c r="A963" t="inlineStr">
        <is>
          <t>A 33166-2024</t>
        </is>
      </c>
      <c r="B963" s="1" t="n">
        <v>45518</v>
      </c>
      <c r="C963" s="1" t="n">
        <v>45718</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33171-2024</t>
        </is>
      </c>
      <c r="B964" s="1" t="n">
        <v>45518</v>
      </c>
      <c r="C964" s="1" t="n">
        <v>45718</v>
      </c>
      <c r="D964" t="inlineStr">
        <is>
          <t>DALARNAS LÄN</t>
        </is>
      </c>
      <c r="E964" t="inlineStr">
        <is>
          <t>SMEDJEBACKEN</t>
        </is>
      </c>
      <c r="G964" t="n">
        <v>5.7</v>
      </c>
      <c r="H964" t="n">
        <v>0</v>
      </c>
      <c r="I964" t="n">
        <v>0</v>
      </c>
      <c r="J964" t="n">
        <v>0</v>
      </c>
      <c r="K964" t="n">
        <v>0</v>
      </c>
      <c r="L964" t="n">
        <v>0</v>
      </c>
      <c r="M964" t="n">
        <v>0</v>
      </c>
      <c r="N964" t="n">
        <v>0</v>
      </c>
      <c r="O964" t="n">
        <v>0</v>
      </c>
      <c r="P964" t="n">
        <v>0</v>
      </c>
      <c r="Q964" t="n">
        <v>0</v>
      </c>
      <c r="R964" s="2" t="inlineStr"/>
    </row>
    <row r="965" ht="15" customHeight="1">
      <c r="A965" t="inlineStr">
        <is>
          <t>A 33159-2024</t>
        </is>
      </c>
      <c r="B965" s="1" t="n">
        <v>45518</v>
      </c>
      <c r="C965" s="1" t="n">
        <v>45718</v>
      </c>
      <c r="D965" t="inlineStr">
        <is>
          <t>DALARNAS LÄN</t>
        </is>
      </c>
      <c r="E965" t="inlineStr">
        <is>
          <t>SMEDJEBACKEN</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33168-2024</t>
        </is>
      </c>
      <c r="B966" s="1" t="n">
        <v>45518</v>
      </c>
      <c r="C966" s="1" t="n">
        <v>45718</v>
      </c>
      <c r="D966" t="inlineStr">
        <is>
          <t>DALARNAS LÄN</t>
        </is>
      </c>
      <c r="E966" t="inlineStr">
        <is>
          <t>SMEDJEBACKEN</t>
        </is>
      </c>
      <c r="G966" t="n">
        <v>1.1</v>
      </c>
      <c r="H966" t="n">
        <v>0</v>
      </c>
      <c r="I966" t="n">
        <v>0</v>
      </c>
      <c r="J966" t="n">
        <v>0</v>
      </c>
      <c r="K966" t="n">
        <v>0</v>
      </c>
      <c r="L966" t="n">
        <v>0</v>
      </c>
      <c r="M966" t="n">
        <v>0</v>
      </c>
      <c r="N966" t="n">
        <v>0</v>
      </c>
      <c r="O966" t="n">
        <v>0</v>
      </c>
      <c r="P966" t="n">
        <v>0</v>
      </c>
      <c r="Q966" t="n">
        <v>0</v>
      </c>
      <c r="R966" s="2" t="inlineStr"/>
    </row>
    <row r="967" ht="15" customHeight="1">
      <c r="A967" t="inlineStr">
        <is>
          <t>A 33613-2024</t>
        </is>
      </c>
      <c r="B967" s="1" t="n">
        <v>45520</v>
      </c>
      <c r="C967" s="1" t="n">
        <v>45718</v>
      </c>
      <c r="D967" t="inlineStr">
        <is>
          <t>DALARNAS LÄN</t>
        </is>
      </c>
      <c r="E967" t="inlineStr">
        <is>
          <t>SMEDJEBACKEN</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33855-2024</t>
        </is>
      </c>
      <c r="B968" s="1" t="n">
        <v>45520</v>
      </c>
      <c r="C968" s="1" t="n">
        <v>45718</v>
      </c>
      <c r="D968" t="inlineStr">
        <is>
          <t>DALARNAS LÄN</t>
        </is>
      </c>
      <c r="E968" t="inlineStr">
        <is>
          <t>SMEDJEBACKEN</t>
        </is>
      </c>
      <c r="F968" t="inlineStr">
        <is>
          <t>Bergvik skog väst AB</t>
        </is>
      </c>
      <c r="G968" t="n">
        <v>2.4</v>
      </c>
      <c r="H968" t="n">
        <v>0</v>
      </c>
      <c r="I968" t="n">
        <v>0</v>
      </c>
      <c r="J968" t="n">
        <v>0</v>
      </c>
      <c r="K968" t="n">
        <v>0</v>
      </c>
      <c r="L968" t="n">
        <v>0</v>
      </c>
      <c r="M968" t="n">
        <v>0</v>
      </c>
      <c r="N968" t="n">
        <v>0</v>
      </c>
      <c r="O968" t="n">
        <v>0</v>
      </c>
      <c r="P968" t="n">
        <v>0</v>
      </c>
      <c r="Q968" t="n">
        <v>0</v>
      </c>
      <c r="R968" s="2" t="inlineStr"/>
    </row>
    <row r="969" ht="15" customHeight="1">
      <c r="A969" t="inlineStr">
        <is>
          <t>A 33936-2024</t>
        </is>
      </c>
      <c r="B969" s="1" t="n">
        <v>45522</v>
      </c>
      <c r="C969" s="1" t="n">
        <v>45718</v>
      </c>
      <c r="D969" t="inlineStr">
        <is>
          <t>DALARNAS LÄN</t>
        </is>
      </c>
      <c r="E969" t="inlineStr">
        <is>
          <t>SMEDJEBACKEN</t>
        </is>
      </c>
      <c r="F969" t="inlineStr">
        <is>
          <t>Bergvik skog väst AB</t>
        </is>
      </c>
      <c r="G969" t="n">
        <v>5</v>
      </c>
      <c r="H969" t="n">
        <v>0</v>
      </c>
      <c r="I969" t="n">
        <v>0</v>
      </c>
      <c r="J969" t="n">
        <v>0</v>
      </c>
      <c r="K969" t="n">
        <v>0</v>
      </c>
      <c r="L969" t="n">
        <v>0</v>
      </c>
      <c r="M969" t="n">
        <v>0</v>
      </c>
      <c r="N969" t="n">
        <v>0</v>
      </c>
      <c r="O969" t="n">
        <v>0</v>
      </c>
      <c r="P969" t="n">
        <v>0</v>
      </c>
      <c r="Q969" t="n">
        <v>0</v>
      </c>
      <c r="R969" s="2" t="inlineStr"/>
    </row>
    <row r="970" ht="15" customHeight="1">
      <c r="A970" t="inlineStr">
        <is>
          <t>A 33972-2024</t>
        </is>
      </c>
      <c r="B970" s="1" t="n">
        <v>45522</v>
      </c>
      <c r="C970" s="1" t="n">
        <v>45718</v>
      </c>
      <c r="D970" t="inlineStr">
        <is>
          <t>DALARNAS LÄN</t>
        </is>
      </c>
      <c r="E970" t="inlineStr">
        <is>
          <t>SMEDJEBACKEN</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33914-2024</t>
        </is>
      </c>
      <c r="B971" s="1" t="n">
        <v>45523</v>
      </c>
      <c r="C971" s="1" t="n">
        <v>45718</v>
      </c>
      <c r="D971" t="inlineStr">
        <is>
          <t>DALARNAS LÄN</t>
        </is>
      </c>
      <c r="E971" t="inlineStr">
        <is>
          <t>SMEDJEBACKEN</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33919-2024</t>
        </is>
      </c>
      <c r="B972" s="1" t="n">
        <v>45523</v>
      </c>
      <c r="C972" s="1" t="n">
        <v>45718</v>
      </c>
      <c r="D972" t="inlineStr">
        <is>
          <t>DALARNAS LÄN</t>
        </is>
      </c>
      <c r="E972" t="inlineStr">
        <is>
          <t>SMEDJEBACKEN</t>
        </is>
      </c>
      <c r="F972" t="inlineStr">
        <is>
          <t>Sveaskog</t>
        </is>
      </c>
      <c r="G972" t="n">
        <v>6.1</v>
      </c>
      <c r="H972" t="n">
        <v>0</v>
      </c>
      <c r="I972" t="n">
        <v>0</v>
      </c>
      <c r="J972" t="n">
        <v>0</v>
      </c>
      <c r="K972" t="n">
        <v>0</v>
      </c>
      <c r="L972" t="n">
        <v>0</v>
      </c>
      <c r="M972" t="n">
        <v>0</v>
      </c>
      <c r="N972" t="n">
        <v>0</v>
      </c>
      <c r="O972" t="n">
        <v>0</v>
      </c>
      <c r="P972" t="n">
        <v>0</v>
      </c>
      <c r="Q972" t="n">
        <v>0</v>
      </c>
      <c r="R972" s="2" t="inlineStr"/>
    </row>
    <row r="973" ht="15" customHeight="1">
      <c r="A973" t="inlineStr">
        <is>
          <t>A 33895-2024</t>
        </is>
      </c>
      <c r="B973" s="1" t="n">
        <v>45523</v>
      </c>
      <c r="C973" s="1" t="n">
        <v>45718</v>
      </c>
      <c r="D973" t="inlineStr">
        <is>
          <t>DALARNAS LÄN</t>
        </is>
      </c>
      <c r="E973" t="inlineStr">
        <is>
          <t>SMEDJEBACKEN</t>
        </is>
      </c>
      <c r="G973" t="n">
        <v>5.6</v>
      </c>
      <c r="H973" t="n">
        <v>0</v>
      </c>
      <c r="I973" t="n">
        <v>0</v>
      </c>
      <c r="J973" t="n">
        <v>0</v>
      </c>
      <c r="K973" t="n">
        <v>0</v>
      </c>
      <c r="L973" t="n">
        <v>0</v>
      </c>
      <c r="M973" t="n">
        <v>0</v>
      </c>
      <c r="N973" t="n">
        <v>0</v>
      </c>
      <c r="O973" t="n">
        <v>0</v>
      </c>
      <c r="P973" t="n">
        <v>0</v>
      </c>
      <c r="Q973" t="n">
        <v>0</v>
      </c>
      <c r="R973" s="2" t="inlineStr"/>
    </row>
    <row r="974" ht="15" customHeight="1">
      <c r="A974" t="inlineStr">
        <is>
          <t>A 34065-2024</t>
        </is>
      </c>
      <c r="B974" s="1" t="n">
        <v>45523</v>
      </c>
      <c r="C974" s="1" t="n">
        <v>45718</v>
      </c>
      <c r="D974" t="inlineStr">
        <is>
          <t>DALARNAS LÄN</t>
        </is>
      </c>
      <c r="E974" t="inlineStr">
        <is>
          <t>SMEDJEBACKEN</t>
        </is>
      </c>
      <c r="G974" t="n">
        <v>0.9</v>
      </c>
      <c r="H974" t="n">
        <v>0</v>
      </c>
      <c r="I974" t="n">
        <v>0</v>
      </c>
      <c r="J974" t="n">
        <v>0</v>
      </c>
      <c r="K974" t="n">
        <v>0</v>
      </c>
      <c r="L974" t="n">
        <v>0</v>
      </c>
      <c r="M974" t="n">
        <v>0</v>
      </c>
      <c r="N974" t="n">
        <v>0</v>
      </c>
      <c r="O974" t="n">
        <v>0</v>
      </c>
      <c r="P974" t="n">
        <v>0</v>
      </c>
      <c r="Q974" t="n">
        <v>0</v>
      </c>
      <c r="R974" s="2" t="inlineStr"/>
    </row>
    <row r="975" ht="15" customHeight="1">
      <c r="A975" t="inlineStr">
        <is>
          <t>A 34069-2024</t>
        </is>
      </c>
      <c r="B975" s="1" t="n">
        <v>45523</v>
      </c>
      <c r="C975" s="1" t="n">
        <v>45718</v>
      </c>
      <c r="D975" t="inlineStr">
        <is>
          <t>DALARNAS LÄN</t>
        </is>
      </c>
      <c r="E975" t="inlineStr">
        <is>
          <t>SMEDJEBACKEN</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34122-2024</t>
        </is>
      </c>
      <c r="B976" s="1" t="n">
        <v>45524</v>
      </c>
      <c r="C976" s="1" t="n">
        <v>45718</v>
      </c>
      <c r="D976" t="inlineStr">
        <is>
          <t>DALARNAS LÄN</t>
        </is>
      </c>
      <c r="E976" t="inlineStr">
        <is>
          <t>SMEDJEBACKEN</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34477-2024</t>
        </is>
      </c>
      <c r="B977" s="1" t="n">
        <v>45525</v>
      </c>
      <c r="C977" s="1" t="n">
        <v>45718</v>
      </c>
      <c r="D977" t="inlineStr">
        <is>
          <t>DALARNAS LÄN</t>
        </is>
      </c>
      <c r="E977" t="inlineStr">
        <is>
          <t>SMEDJEBACKEN</t>
        </is>
      </c>
      <c r="F977" t="inlineStr">
        <is>
          <t>Sveaskog</t>
        </is>
      </c>
      <c r="G977" t="n">
        <v>7.3</v>
      </c>
      <c r="H977" t="n">
        <v>0</v>
      </c>
      <c r="I977" t="n">
        <v>0</v>
      </c>
      <c r="J977" t="n">
        <v>0</v>
      </c>
      <c r="K977" t="n">
        <v>0</v>
      </c>
      <c r="L977" t="n">
        <v>0</v>
      </c>
      <c r="M977" t="n">
        <v>0</v>
      </c>
      <c r="N977" t="n">
        <v>0</v>
      </c>
      <c r="O977" t="n">
        <v>0</v>
      </c>
      <c r="P977" t="n">
        <v>0</v>
      </c>
      <c r="Q977" t="n">
        <v>0</v>
      </c>
      <c r="R977" s="2" t="inlineStr"/>
    </row>
    <row r="978" ht="15" customHeight="1">
      <c r="A978" t="inlineStr">
        <is>
          <t>A 34486-2024</t>
        </is>
      </c>
      <c r="B978" s="1" t="n">
        <v>45525</v>
      </c>
      <c r="C978" s="1" t="n">
        <v>45718</v>
      </c>
      <c r="D978" t="inlineStr">
        <is>
          <t>DALARNAS LÄN</t>
        </is>
      </c>
      <c r="E978" t="inlineStr">
        <is>
          <t>SMEDJEBACKEN</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34487-2024</t>
        </is>
      </c>
      <c r="B979" s="1" t="n">
        <v>45525</v>
      </c>
      <c r="C979" s="1" t="n">
        <v>45718</v>
      </c>
      <c r="D979" t="inlineStr">
        <is>
          <t>DALARNAS LÄN</t>
        </is>
      </c>
      <c r="E979" t="inlineStr">
        <is>
          <t>SMEDJEBACKEN</t>
        </is>
      </c>
      <c r="F979" t="inlineStr">
        <is>
          <t>Sveaskog</t>
        </is>
      </c>
      <c r="G979" t="n">
        <v>8.1</v>
      </c>
      <c r="H979" t="n">
        <v>0</v>
      </c>
      <c r="I979" t="n">
        <v>0</v>
      </c>
      <c r="J979" t="n">
        <v>0</v>
      </c>
      <c r="K979" t="n">
        <v>0</v>
      </c>
      <c r="L979" t="n">
        <v>0</v>
      </c>
      <c r="M979" t="n">
        <v>0</v>
      </c>
      <c r="N979" t="n">
        <v>0</v>
      </c>
      <c r="O979" t="n">
        <v>0</v>
      </c>
      <c r="P979" t="n">
        <v>0</v>
      </c>
      <c r="Q979" t="n">
        <v>0</v>
      </c>
      <c r="R979" s="2" t="inlineStr"/>
    </row>
    <row r="980" ht="15" customHeight="1">
      <c r="A980" t="inlineStr">
        <is>
          <t>A 34484-2024</t>
        </is>
      </c>
      <c r="B980" s="1" t="n">
        <v>45525</v>
      </c>
      <c r="C980" s="1" t="n">
        <v>45718</v>
      </c>
      <c r="D980" t="inlineStr">
        <is>
          <t>DALARNAS LÄN</t>
        </is>
      </c>
      <c r="E980" t="inlineStr">
        <is>
          <t>SMEDJEBACKEN</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35008-2024</t>
        </is>
      </c>
      <c r="B981" s="1" t="n">
        <v>45527</v>
      </c>
      <c r="C981" s="1" t="n">
        <v>45718</v>
      </c>
      <c r="D981" t="inlineStr">
        <is>
          <t>DALARNAS LÄN</t>
        </is>
      </c>
      <c r="E981" t="inlineStr">
        <is>
          <t>SMEDJEBACKEN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34948-2024</t>
        </is>
      </c>
      <c r="B982" s="1" t="n">
        <v>45527</v>
      </c>
      <c r="C982" s="1" t="n">
        <v>45718</v>
      </c>
      <c r="D982" t="inlineStr">
        <is>
          <t>DALARNAS LÄN</t>
        </is>
      </c>
      <c r="E982" t="inlineStr">
        <is>
          <t>SMEDJEBACKEN</t>
        </is>
      </c>
      <c r="G982" t="n">
        <v>2.2</v>
      </c>
      <c r="H982" t="n">
        <v>0</v>
      </c>
      <c r="I982" t="n">
        <v>0</v>
      </c>
      <c r="J982" t="n">
        <v>0</v>
      </c>
      <c r="K982" t="n">
        <v>0</v>
      </c>
      <c r="L982" t="n">
        <v>0</v>
      </c>
      <c r="M982" t="n">
        <v>0</v>
      </c>
      <c r="N982" t="n">
        <v>0</v>
      </c>
      <c r="O982" t="n">
        <v>0</v>
      </c>
      <c r="P982" t="n">
        <v>0</v>
      </c>
      <c r="Q982" t="n">
        <v>0</v>
      </c>
      <c r="R982" s="2" t="inlineStr"/>
    </row>
    <row r="983" ht="15" customHeight="1">
      <c r="A983" t="inlineStr">
        <is>
          <t>A 34923-2024</t>
        </is>
      </c>
      <c r="B983" s="1" t="n">
        <v>45527</v>
      </c>
      <c r="C983" s="1" t="n">
        <v>45718</v>
      </c>
      <c r="D983" t="inlineStr">
        <is>
          <t>DALARNAS LÄN</t>
        </is>
      </c>
      <c r="E983" t="inlineStr">
        <is>
          <t>SMEDJEBACKEN</t>
        </is>
      </c>
      <c r="F983" t="inlineStr">
        <is>
          <t>Övriga Aktiebolag</t>
        </is>
      </c>
      <c r="G983" t="n">
        <v>3.2</v>
      </c>
      <c r="H983" t="n">
        <v>0</v>
      </c>
      <c r="I983" t="n">
        <v>0</v>
      </c>
      <c r="J983" t="n">
        <v>0</v>
      </c>
      <c r="K983" t="n">
        <v>0</v>
      </c>
      <c r="L983" t="n">
        <v>0</v>
      </c>
      <c r="M983" t="n">
        <v>0</v>
      </c>
      <c r="N983" t="n">
        <v>0</v>
      </c>
      <c r="O983" t="n">
        <v>0</v>
      </c>
      <c r="P983" t="n">
        <v>0</v>
      </c>
      <c r="Q983" t="n">
        <v>0</v>
      </c>
      <c r="R983" s="2" t="inlineStr"/>
    </row>
    <row r="984" ht="15" customHeight="1">
      <c r="A984" t="inlineStr">
        <is>
          <t>A 35111-2024</t>
        </is>
      </c>
      <c r="B984" s="1" t="n">
        <v>45529</v>
      </c>
      <c r="C984" s="1" t="n">
        <v>45718</v>
      </c>
      <c r="D984" t="inlineStr">
        <is>
          <t>DALARNAS LÄN</t>
        </is>
      </c>
      <c r="E984" t="inlineStr">
        <is>
          <t>SMEDJEBACKEN</t>
        </is>
      </c>
      <c r="G984" t="n">
        <v>1.9</v>
      </c>
      <c r="H984" t="n">
        <v>0</v>
      </c>
      <c r="I984" t="n">
        <v>0</v>
      </c>
      <c r="J984" t="n">
        <v>0</v>
      </c>
      <c r="K984" t="n">
        <v>0</v>
      </c>
      <c r="L984" t="n">
        <v>0</v>
      </c>
      <c r="M984" t="n">
        <v>0</v>
      </c>
      <c r="N984" t="n">
        <v>0</v>
      </c>
      <c r="O984" t="n">
        <v>0</v>
      </c>
      <c r="P984" t="n">
        <v>0</v>
      </c>
      <c r="Q984" t="n">
        <v>0</v>
      </c>
      <c r="R984" s="2" t="inlineStr"/>
    </row>
    <row r="985" ht="15" customHeight="1">
      <c r="A985" t="inlineStr">
        <is>
          <t>A 35110-2024</t>
        </is>
      </c>
      <c r="B985" s="1" t="n">
        <v>45529</v>
      </c>
      <c r="C985" s="1" t="n">
        <v>45718</v>
      </c>
      <c r="D985" t="inlineStr">
        <is>
          <t>DALARNAS LÄN</t>
        </is>
      </c>
      <c r="E985" t="inlineStr">
        <is>
          <t>SMEDJEBACKEN</t>
        </is>
      </c>
      <c r="G985" t="n">
        <v>3.1</v>
      </c>
      <c r="H985" t="n">
        <v>0</v>
      </c>
      <c r="I985" t="n">
        <v>0</v>
      </c>
      <c r="J985" t="n">
        <v>0</v>
      </c>
      <c r="K985" t="n">
        <v>0</v>
      </c>
      <c r="L985" t="n">
        <v>0</v>
      </c>
      <c r="M985" t="n">
        <v>0</v>
      </c>
      <c r="N985" t="n">
        <v>0</v>
      </c>
      <c r="O985" t="n">
        <v>0</v>
      </c>
      <c r="P985" t="n">
        <v>0</v>
      </c>
      <c r="Q985" t="n">
        <v>0</v>
      </c>
      <c r="R985" s="2" t="inlineStr"/>
    </row>
    <row r="986" ht="15" customHeight="1">
      <c r="A986" t="inlineStr">
        <is>
          <t>A 36265-2024</t>
        </is>
      </c>
      <c r="B986" s="1" t="n">
        <v>45534</v>
      </c>
      <c r="C986" s="1" t="n">
        <v>45718</v>
      </c>
      <c r="D986" t="inlineStr">
        <is>
          <t>DALARNAS LÄN</t>
        </is>
      </c>
      <c r="E986" t="inlineStr">
        <is>
          <t>SMEDJEBACKEN</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36269-2024</t>
        </is>
      </c>
      <c r="B987" s="1" t="n">
        <v>45534</v>
      </c>
      <c r="C987" s="1" t="n">
        <v>45718</v>
      </c>
      <c r="D987" t="inlineStr">
        <is>
          <t>DALARNAS LÄN</t>
        </is>
      </c>
      <c r="E987" t="inlineStr">
        <is>
          <t>SMEDJEBACKEN</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36266-2024</t>
        </is>
      </c>
      <c r="B988" s="1" t="n">
        <v>45534</v>
      </c>
      <c r="C988" s="1" t="n">
        <v>45718</v>
      </c>
      <c r="D988" t="inlineStr">
        <is>
          <t>DALARNAS LÄN</t>
        </is>
      </c>
      <c r="E988" t="inlineStr">
        <is>
          <t>SMEDJEBACKEN</t>
        </is>
      </c>
      <c r="F988" t="inlineStr">
        <is>
          <t>Sveaskog</t>
        </is>
      </c>
      <c r="G988" t="n">
        <v>13.8</v>
      </c>
      <c r="H988" t="n">
        <v>0</v>
      </c>
      <c r="I988" t="n">
        <v>0</v>
      </c>
      <c r="J988" t="n">
        <v>0</v>
      </c>
      <c r="K988" t="n">
        <v>0</v>
      </c>
      <c r="L988" t="n">
        <v>0</v>
      </c>
      <c r="M988" t="n">
        <v>0</v>
      </c>
      <c r="N988" t="n">
        <v>0</v>
      </c>
      <c r="O988" t="n">
        <v>0</v>
      </c>
      <c r="P988" t="n">
        <v>0</v>
      </c>
      <c r="Q988" t="n">
        <v>0</v>
      </c>
      <c r="R988" s="2" t="inlineStr"/>
    </row>
    <row r="989" ht="15" customHeight="1">
      <c r="A989" t="inlineStr">
        <is>
          <t>A 36268-2024</t>
        </is>
      </c>
      <c r="B989" s="1" t="n">
        <v>45534</v>
      </c>
      <c r="C989" s="1" t="n">
        <v>45718</v>
      </c>
      <c r="D989" t="inlineStr">
        <is>
          <t>DALARNAS LÄN</t>
        </is>
      </c>
      <c r="E989" t="inlineStr">
        <is>
          <t>SMEDJEBACKEN</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36916-2024</t>
        </is>
      </c>
      <c r="B990" s="1" t="n">
        <v>45538</v>
      </c>
      <c r="C990" s="1" t="n">
        <v>45718</v>
      </c>
      <c r="D990" t="inlineStr">
        <is>
          <t>DALARNAS LÄN</t>
        </is>
      </c>
      <c r="E990" t="inlineStr">
        <is>
          <t>SMEDJEBACKEN</t>
        </is>
      </c>
      <c r="G990" t="n">
        <v>0.5</v>
      </c>
      <c r="H990" t="n">
        <v>0</v>
      </c>
      <c r="I990" t="n">
        <v>0</v>
      </c>
      <c r="J990" t="n">
        <v>0</v>
      </c>
      <c r="K990" t="n">
        <v>0</v>
      </c>
      <c r="L990" t="n">
        <v>0</v>
      </c>
      <c r="M990" t="n">
        <v>0</v>
      </c>
      <c r="N990" t="n">
        <v>0</v>
      </c>
      <c r="O990" t="n">
        <v>0</v>
      </c>
      <c r="P990" t="n">
        <v>0</v>
      </c>
      <c r="Q990" t="n">
        <v>0</v>
      </c>
      <c r="R990" s="2" t="inlineStr"/>
    </row>
    <row r="991" ht="15" customHeight="1">
      <c r="A991" t="inlineStr">
        <is>
          <t>A 37408-2024</t>
        </is>
      </c>
      <c r="B991" s="1" t="n">
        <v>45540</v>
      </c>
      <c r="C991" s="1" t="n">
        <v>45718</v>
      </c>
      <c r="D991" t="inlineStr">
        <is>
          <t>DALARNAS LÄN</t>
        </is>
      </c>
      <c r="E991" t="inlineStr">
        <is>
          <t>SMEDJEBACKEN</t>
        </is>
      </c>
      <c r="G991" t="n">
        <v>7.6</v>
      </c>
      <c r="H991" t="n">
        <v>0</v>
      </c>
      <c r="I991" t="n">
        <v>0</v>
      </c>
      <c r="J991" t="n">
        <v>0</v>
      </c>
      <c r="K991" t="n">
        <v>0</v>
      </c>
      <c r="L991" t="n">
        <v>0</v>
      </c>
      <c r="M991" t="n">
        <v>0</v>
      </c>
      <c r="N991" t="n">
        <v>0</v>
      </c>
      <c r="O991" t="n">
        <v>0</v>
      </c>
      <c r="P991" t="n">
        <v>0</v>
      </c>
      <c r="Q991" t="n">
        <v>0</v>
      </c>
      <c r="R991" s="2" t="inlineStr"/>
    </row>
    <row r="992" ht="15" customHeight="1">
      <c r="A992" t="inlineStr">
        <is>
          <t>A 38356-2024</t>
        </is>
      </c>
      <c r="B992" s="1" t="n">
        <v>45545</v>
      </c>
      <c r="C992" s="1" t="n">
        <v>45718</v>
      </c>
      <c r="D992" t="inlineStr">
        <is>
          <t>DALARNAS LÄN</t>
        </is>
      </c>
      <c r="E992" t="inlineStr">
        <is>
          <t>SMEDJEBACKEN</t>
        </is>
      </c>
      <c r="G992" t="n">
        <v>0.7</v>
      </c>
      <c r="H992" t="n">
        <v>0</v>
      </c>
      <c r="I992" t="n">
        <v>0</v>
      </c>
      <c r="J992" t="n">
        <v>0</v>
      </c>
      <c r="K992" t="n">
        <v>0</v>
      </c>
      <c r="L992" t="n">
        <v>0</v>
      </c>
      <c r="M992" t="n">
        <v>0</v>
      </c>
      <c r="N992" t="n">
        <v>0</v>
      </c>
      <c r="O992" t="n">
        <v>0</v>
      </c>
      <c r="P992" t="n">
        <v>0</v>
      </c>
      <c r="Q992" t="n">
        <v>0</v>
      </c>
      <c r="R992" s="2" t="inlineStr"/>
    </row>
    <row r="993" ht="15" customHeight="1">
      <c r="A993" t="inlineStr">
        <is>
          <t>A 38464-2024</t>
        </is>
      </c>
      <c r="B993" s="1" t="n">
        <v>45546</v>
      </c>
      <c r="C993" s="1" t="n">
        <v>45718</v>
      </c>
      <c r="D993" t="inlineStr">
        <is>
          <t>DALARNAS LÄN</t>
        </is>
      </c>
      <c r="E993" t="inlineStr">
        <is>
          <t>SMEDJEBACKEN</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38480-2024</t>
        </is>
      </c>
      <c r="B994" s="1" t="n">
        <v>45546</v>
      </c>
      <c r="C994" s="1" t="n">
        <v>45718</v>
      </c>
      <c r="D994" t="inlineStr">
        <is>
          <t>DALARNAS LÄN</t>
        </is>
      </c>
      <c r="E994" t="inlineStr">
        <is>
          <t>SMEDJEBACKEN</t>
        </is>
      </c>
      <c r="F994" t="inlineStr">
        <is>
          <t>Sveaskog</t>
        </is>
      </c>
      <c r="G994" t="n">
        <v>7</v>
      </c>
      <c r="H994" t="n">
        <v>0</v>
      </c>
      <c r="I994" t="n">
        <v>0</v>
      </c>
      <c r="J994" t="n">
        <v>0</v>
      </c>
      <c r="K994" t="n">
        <v>0</v>
      </c>
      <c r="L994" t="n">
        <v>0</v>
      </c>
      <c r="M994" t="n">
        <v>0</v>
      </c>
      <c r="N994" t="n">
        <v>0</v>
      </c>
      <c r="O994" t="n">
        <v>0</v>
      </c>
      <c r="P994" t="n">
        <v>0</v>
      </c>
      <c r="Q994" t="n">
        <v>0</v>
      </c>
      <c r="R994" s="2" t="inlineStr"/>
    </row>
    <row r="995" ht="15" customHeight="1">
      <c r="A995" t="inlineStr">
        <is>
          <t>A 38466-2024</t>
        </is>
      </c>
      <c r="B995" s="1" t="n">
        <v>45546</v>
      </c>
      <c r="C995" s="1" t="n">
        <v>45718</v>
      </c>
      <c r="D995" t="inlineStr">
        <is>
          <t>DALARNAS LÄN</t>
        </is>
      </c>
      <c r="E995" t="inlineStr">
        <is>
          <t>SMEDJEBACKEN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38473-2024</t>
        </is>
      </c>
      <c r="B996" s="1" t="n">
        <v>45546</v>
      </c>
      <c r="C996" s="1" t="n">
        <v>45718</v>
      </c>
      <c r="D996" t="inlineStr">
        <is>
          <t>DALARNAS LÄN</t>
        </is>
      </c>
      <c r="E996" t="inlineStr">
        <is>
          <t>SMEDJEBACKEN</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38483-2024</t>
        </is>
      </c>
      <c r="B997" s="1" t="n">
        <v>45546</v>
      </c>
      <c r="C997" s="1" t="n">
        <v>45718</v>
      </c>
      <c r="D997" t="inlineStr">
        <is>
          <t>DALARNAS LÄN</t>
        </is>
      </c>
      <c r="E997" t="inlineStr">
        <is>
          <t>SMEDJEBACKEN</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38772-2024</t>
        </is>
      </c>
      <c r="B998" s="1" t="n">
        <v>45547</v>
      </c>
      <c r="C998" s="1" t="n">
        <v>45718</v>
      </c>
      <c r="D998" t="inlineStr">
        <is>
          <t>DALARNAS LÄN</t>
        </is>
      </c>
      <c r="E998" t="inlineStr">
        <is>
          <t>SMEDJEBACKEN</t>
        </is>
      </c>
      <c r="F998" t="inlineStr">
        <is>
          <t>Sveaskog</t>
        </is>
      </c>
      <c r="G998" t="n">
        <v>5.2</v>
      </c>
      <c r="H998" t="n">
        <v>0</v>
      </c>
      <c r="I998" t="n">
        <v>0</v>
      </c>
      <c r="J998" t="n">
        <v>0</v>
      </c>
      <c r="K998" t="n">
        <v>0</v>
      </c>
      <c r="L998" t="n">
        <v>0</v>
      </c>
      <c r="M998" t="n">
        <v>0</v>
      </c>
      <c r="N998" t="n">
        <v>0</v>
      </c>
      <c r="O998" t="n">
        <v>0</v>
      </c>
      <c r="P998" t="n">
        <v>0</v>
      </c>
      <c r="Q998" t="n">
        <v>0</v>
      </c>
      <c r="R998" s="2" t="inlineStr"/>
    </row>
    <row r="999" ht="15" customHeight="1">
      <c r="A999" t="inlineStr">
        <is>
          <t>A 38770-2024</t>
        </is>
      </c>
      <c r="B999" s="1" t="n">
        <v>45547</v>
      </c>
      <c r="C999" s="1" t="n">
        <v>45718</v>
      </c>
      <c r="D999" t="inlineStr">
        <is>
          <t>DALARNAS LÄN</t>
        </is>
      </c>
      <c r="E999" t="inlineStr">
        <is>
          <t>SMEDJEBACKEN</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38774-2024</t>
        </is>
      </c>
      <c r="B1000" s="1" t="n">
        <v>45547</v>
      </c>
      <c r="C1000" s="1" t="n">
        <v>45718</v>
      </c>
      <c r="D1000" t="inlineStr">
        <is>
          <t>DALARNAS LÄN</t>
        </is>
      </c>
      <c r="E1000" t="inlineStr">
        <is>
          <t>SMEDJEBACKEN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38779-2024</t>
        </is>
      </c>
      <c r="B1001" s="1" t="n">
        <v>45547</v>
      </c>
      <c r="C1001" s="1" t="n">
        <v>45718</v>
      </c>
      <c r="D1001" t="inlineStr">
        <is>
          <t>DALARNAS LÄN</t>
        </is>
      </c>
      <c r="E1001" t="inlineStr">
        <is>
          <t>SMEDJEBACKEN</t>
        </is>
      </c>
      <c r="F1001" t="inlineStr">
        <is>
          <t>Sveaskog</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39717-2024</t>
        </is>
      </c>
      <c r="B1002" s="1" t="n">
        <v>45552</v>
      </c>
      <c r="C1002" s="1" t="n">
        <v>45718</v>
      </c>
      <c r="D1002" t="inlineStr">
        <is>
          <t>DALARNAS LÄN</t>
        </is>
      </c>
      <c r="E1002" t="inlineStr">
        <is>
          <t>SMEDJEBACKEN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39825-2024</t>
        </is>
      </c>
      <c r="B1003" s="1" t="n">
        <v>45553</v>
      </c>
      <c r="C1003" s="1" t="n">
        <v>45718</v>
      </c>
      <c r="D1003" t="inlineStr">
        <is>
          <t>DALARNAS LÄN</t>
        </is>
      </c>
      <c r="E1003" t="inlineStr">
        <is>
          <t>SMEDJEBACKEN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39832-2024</t>
        </is>
      </c>
      <c r="B1004" s="1" t="n">
        <v>45553</v>
      </c>
      <c r="C1004" s="1" t="n">
        <v>45718</v>
      </c>
      <c r="D1004" t="inlineStr">
        <is>
          <t>DALARNAS LÄN</t>
        </is>
      </c>
      <c r="E1004" t="inlineStr">
        <is>
          <t>SMEDJEBACKEN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40925-2024</t>
        </is>
      </c>
      <c r="B1005" s="1" t="n">
        <v>45558</v>
      </c>
      <c r="C1005" s="1" t="n">
        <v>45718</v>
      </c>
      <c r="D1005" t="inlineStr">
        <is>
          <t>DALARNAS LÄN</t>
        </is>
      </c>
      <c r="E1005" t="inlineStr">
        <is>
          <t>SMEDJEBACKEN</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40941-2024</t>
        </is>
      </c>
      <c r="B1006" s="1" t="n">
        <v>45558</v>
      </c>
      <c r="C1006" s="1" t="n">
        <v>45718</v>
      </c>
      <c r="D1006" t="inlineStr">
        <is>
          <t>DALARNAS LÄN</t>
        </is>
      </c>
      <c r="E1006" t="inlineStr">
        <is>
          <t>SMEDJEBACKEN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40932-2024</t>
        </is>
      </c>
      <c r="B1007" s="1" t="n">
        <v>45558</v>
      </c>
      <c r="C1007" s="1" t="n">
        <v>45718</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40944-2024</t>
        </is>
      </c>
      <c r="B1008" s="1" t="n">
        <v>45558</v>
      </c>
      <c r="C1008" s="1" t="n">
        <v>45718</v>
      </c>
      <c r="D1008" t="inlineStr">
        <is>
          <t>DALARNAS LÄN</t>
        </is>
      </c>
      <c r="E1008" t="inlineStr">
        <is>
          <t>SMEDJEBACKEN</t>
        </is>
      </c>
      <c r="F1008" t="inlineStr">
        <is>
          <t>Sveaskog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40943-2024</t>
        </is>
      </c>
      <c r="B1009" s="1" t="n">
        <v>45558</v>
      </c>
      <c r="C1009" s="1" t="n">
        <v>45718</v>
      </c>
      <c r="D1009" t="inlineStr">
        <is>
          <t>DALARNAS LÄN</t>
        </is>
      </c>
      <c r="E1009" t="inlineStr">
        <is>
          <t>SMEDJEBACKEN</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41333-2024</t>
        </is>
      </c>
      <c r="B1010" s="1" t="n">
        <v>45559</v>
      </c>
      <c r="C1010" s="1" t="n">
        <v>45718</v>
      </c>
      <c r="D1010" t="inlineStr">
        <is>
          <t>DALARNAS LÄN</t>
        </is>
      </c>
      <c r="E1010" t="inlineStr">
        <is>
          <t>SMEDJEBACKEN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41326-2024</t>
        </is>
      </c>
      <c r="B1011" s="1" t="n">
        <v>45559</v>
      </c>
      <c r="C1011" s="1" t="n">
        <v>45718</v>
      </c>
      <c r="D1011" t="inlineStr">
        <is>
          <t>DALARNAS LÄN</t>
        </is>
      </c>
      <c r="E1011" t="inlineStr">
        <is>
          <t>SMEDJEBACKEN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41436-2024</t>
        </is>
      </c>
      <c r="B1012" s="1" t="n">
        <v>45560</v>
      </c>
      <c r="C1012" s="1" t="n">
        <v>45718</v>
      </c>
      <c r="D1012" t="inlineStr">
        <is>
          <t>DALARNAS LÄN</t>
        </is>
      </c>
      <c r="E1012" t="inlineStr">
        <is>
          <t>SMEDJEBACKEN</t>
        </is>
      </c>
      <c r="F1012" t="inlineStr">
        <is>
          <t>Sveaskog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41920-2024</t>
        </is>
      </c>
      <c r="B1013" s="1" t="n">
        <v>45561</v>
      </c>
      <c r="C1013" s="1" t="n">
        <v>45718</v>
      </c>
      <c r="D1013" t="inlineStr">
        <is>
          <t>DALARNAS LÄN</t>
        </is>
      </c>
      <c r="E1013" t="inlineStr">
        <is>
          <t>SMEDJEBACKEN</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42202-2024</t>
        </is>
      </c>
      <c r="B1014" s="1" t="n">
        <v>45562</v>
      </c>
      <c r="C1014" s="1" t="n">
        <v>45718</v>
      </c>
      <c r="D1014" t="inlineStr">
        <is>
          <t>DALARNAS LÄN</t>
        </is>
      </c>
      <c r="E1014" t="inlineStr">
        <is>
          <t>SMEDJEBACKEN</t>
        </is>
      </c>
      <c r="F1014" t="inlineStr">
        <is>
          <t>Sveaskog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42310-2024</t>
        </is>
      </c>
      <c r="B1015" s="1" t="n">
        <v>45562</v>
      </c>
      <c r="C1015" s="1" t="n">
        <v>45718</v>
      </c>
      <c r="D1015" t="inlineStr">
        <is>
          <t>DALARNAS LÄN</t>
        </is>
      </c>
      <c r="E1015" t="inlineStr">
        <is>
          <t>SMEDJEBACKEN</t>
        </is>
      </c>
      <c r="G1015" t="n">
        <v>17.2</v>
      </c>
      <c r="H1015" t="n">
        <v>0</v>
      </c>
      <c r="I1015" t="n">
        <v>0</v>
      </c>
      <c r="J1015" t="n">
        <v>0</v>
      </c>
      <c r="K1015" t="n">
        <v>0</v>
      </c>
      <c r="L1015" t="n">
        <v>0</v>
      </c>
      <c r="M1015" t="n">
        <v>0</v>
      </c>
      <c r="N1015" t="n">
        <v>0</v>
      </c>
      <c r="O1015" t="n">
        <v>0</v>
      </c>
      <c r="P1015" t="n">
        <v>0</v>
      </c>
      <c r="Q1015" t="n">
        <v>0</v>
      </c>
      <c r="R1015" s="2" t="inlineStr"/>
    </row>
    <row r="1016" ht="15" customHeight="1">
      <c r="A1016" t="inlineStr">
        <is>
          <t>A 42315-2024</t>
        </is>
      </c>
      <c r="B1016" s="1" t="n">
        <v>45562</v>
      </c>
      <c r="C1016" s="1" t="n">
        <v>45718</v>
      </c>
      <c r="D1016" t="inlineStr">
        <is>
          <t>DALARNAS LÄN</t>
        </is>
      </c>
      <c r="E1016" t="inlineStr">
        <is>
          <t>SMEDJEBACKEN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42199-2024</t>
        </is>
      </c>
      <c r="B1017" s="1" t="n">
        <v>45562</v>
      </c>
      <c r="C1017" s="1" t="n">
        <v>45718</v>
      </c>
      <c r="D1017" t="inlineStr">
        <is>
          <t>DALARNAS LÄN</t>
        </is>
      </c>
      <c r="E1017" t="inlineStr">
        <is>
          <t>SMEDJEBACKEN</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42200-2024</t>
        </is>
      </c>
      <c r="B1018" s="1" t="n">
        <v>45562</v>
      </c>
      <c r="C1018" s="1" t="n">
        <v>45718</v>
      </c>
      <c r="D1018" t="inlineStr">
        <is>
          <t>DALARNAS LÄN</t>
        </is>
      </c>
      <c r="E1018" t="inlineStr">
        <is>
          <t>SMEDJEBACKEN</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42326-2024</t>
        </is>
      </c>
      <c r="B1019" s="1" t="n">
        <v>45562</v>
      </c>
      <c r="C1019" s="1" t="n">
        <v>45718</v>
      </c>
      <c r="D1019" t="inlineStr">
        <is>
          <t>DALARNAS LÄN</t>
        </is>
      </c>
      <c r="E1019" t="inlineStr">
        <is>
          <t>SMEDJEBACKEN</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42688-2024</t>
        </is>
      </c>
      <c r="B1020" s="1" t="n">
        <v>45565</v>
      </c>
      <c r="C1020" s="1" t="n">
        <v>45718</v>
      </c>
      <c r="D1020" t="inlineStr">
        <is>
          <t>DALARNAS LÄN</t>
        </is>
      </c>
      <c r="E1020" t="inlineStr">
        <is>
          <t>SMEDJEBACKEN</t>
        </is>
      </c>
      <c r="F1020" t="inlineStr">
        <is>
          <t>Bergvik skog väst AB</t>
        </is>
      </c>
      <c r="G1020" t="n">
        <v>26.9</v>
      </c>
      <c r="H1020" t="n">
        <v>0</v>
      </c>
      <c r="I1020" t="n">
        <v>0</v>
      </c>
      <c r="J1020" t="n">
        <v>0</v>
      </c>
      <c r="K1020" t="n">
        <v>0</v>
      </c>
      <c r="L1020" t="n">
        <v>0</v>
      </c>
      <c r="M1020" t="n">
        <v>0</v>
      </c>
      <c r="N1020" t="n">
        <v>0</v>
      </c>
      <c r="O1020" t="n">
        <v>0</v>
      </c>
      <c r="P1020" t="n">
        <v>0</v>
      </c>
      <c r="Q1020" t="n">
        <v>0</v>
      </c>
      <c r="R1020" s="2" t="inlineStr"/>
    </row>
    <row r="1021" ht="15" customHeight="1">
      <c r="A1021" t="inlineStr">
        <is>
          <t>A 42523-2024</t>
        </is>
      </c>
      <c r="B1021" s="1" t="n">
        <v>45565</v>
      </c>
      <c r="C1021" s="1" t="n">
        <v>45718</v>
      </c>
      <c r="D1021" t="inlineStr">
        <is>
          <t>DALARNAS LÄN</t>
        </is>
      </c>
      <c r="E1021" t="inlineStr">
        <is>
          <t>SMEDJEBACKEN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42867-2024</t>
        </is>
      </c>
      <c r="B1022" s="1" t="n">
        <v>45566</v>
      </c>
      <c r="C1022" s="1" t="n">
        <v>45718</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42866-2024</t>
        </is>
      </c>
      <c r="B1023" s="1" t="n">
        <v>45566</v>
      </c>
      <c r="C1023" s="1" t="n">
        <v>45718</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42856-2024</t>
        </is>
      </c>
      <c r="B1024" s="1" t="n">
        <v>45566</v>
      </c>
      <c r="C1024" s="1" t="n">
        <v>45718</v>
      </c>
      <c r="D1024" t="inlineStr">
        <is>
          <t>DALARNAS LÄN</t>
        </is>
      </c>
      <c r="E1024" t="inlineStr">
        <is>
          <t>SMEDJEBACKEN</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43421-2024</t>
        </is>
      </c>
      <c r="B1025" s="1" t="n">
        <v>45568</v>
      </c>
      <c r="C1025" s="1" t="n">
        <v>45718</v>
      </c>
      <c r="D1025" t="inlineStr">
        <is>
          <t>DALARNAS LÄN</t>
        </is>
      </c>
      <c r="E1025" t="inlineStr">
        <is>
          <t>SMEDJEBACKEN</t>
        </is>
      </c>
      <c r="F1025" t="inlineStr">
        <is>
          <t>Sveaskog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43422-2024</t>
        </is>
      </c>
      <c r="B1026" s="1" t="n">
        <v>45568</v>
      </c>
      <c r="C1026" s="1" t="n">
        <v>45718</v>
      </c>
      <c r="D1026" t="inlineStr">
        <is>
          <t>DALARNAS LÄN</t>
        </is>
      </c>
      <c r="E1026" t="inlineStr">
        <is>
          <t>SMEDJEBACKEN</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43810-2024</t>
        </is>
      </c>
      <c r="B1027" s="1" t="n">
        <v>45571</v>
      </c>
      <c r="C1027" s="1" t="n">
        <v>45718</v>
      </c>
      <c r="D1027" t="inlineStr">
        <is>
          <t>DALARNAS LÄN</t>
        </is>
      </c>
      <c r="E1027" t="inlineStr">
        <is>
          <t>SMEDJEBACKEN</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43813-2024</t>
        </is>
      </c>
      <c r="B1028" s="1" t="n">
        <v>45571</v>
      </c>
      <c r="C1028" s="1" t="n">
        <v>45718</v>
      </c>
      <c r="D1028" t="inlineStr">
        <is>
          <t>DALARNAS LÄN</t>
        </is>
      </c>
      <c r="E1028" t="inlineStr">
        <is>
          <t>SMEDJEBACKEN</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43809-2024</t>
        </is>
      </c>
      <c r="B1029" s="1" t="n">
        <v>45571</v>
      </c>
      <c r="C1029" s="1" t="n">
        <v>45718</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43812-2024</t>
        </is>
      </c>
      <c r="B1030" s="1" t="n">
        <v>45571</v>
      </c>
      <c r="C1030" s="1" t="n">
        <v>45718</v>
      </c>
      <c r="D1030" t="inlineStr">
        <is>
          <t>DALARNAS LÄN</t>
        </is>
      </c>
      <c r="E1030" t="inlineStr">
        <is>
          <t>SMEDJEBACKEN</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43811-2024</t>
        </is>
      </c>
      <c r="B1031" s="1" t="n">
        <v>45571</v>
      </c>
      <c r="C1031" s="1" t="n">
        <v>45718</v>
      </c>
      <c r="D1031" t="inlineStr">
        <is>
          <t>DALARNAS LÄN</t>
        </is>
      </c>
      <c r="E1031" t="inlineStr">
        <is>
          <t>SMEDJEBACKEN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43923-2024</t>
        </is>
      </c>
      <c r="B1032" s="1" t="n">
        <v>45572</v>
      </c>
      <c r="C1032" s="1" t="n">
        <v>45718</v>
      </c>
      <c r="D1032" t="inlineStr">
        <is>
          <t>DALARNAS LÄN</t>
        </is>
      </c>
      <c r="E1032" t="inlineStr">
        <is>
          <t>SMEDJEBACKEN</t>
        </is>
      </c>
      <c r="F1032" t="inlineStr">
        <is>
          <t>Sveaskog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43929-2024</t>
        </is>
      </c>
      <c r="B1033" s="1" t="n">
        <v>45572</v>
      </c>
      <c r="C1033" s="1" t="n">
        <v>45718</v>
      </c>
      <c r="D1033" t="inlineStr">
        <is>
          <t>DALARNAS LÄN</t>
        </is>
      </c>
      <c r="E1033" t="inlineStr">
        <is>
          <t>SMEDJEBACKEN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43909-2024</t>
        </is>
      </c>
      <c r="B1034" s="1" t="n">
        <v>45572</v>
      </c>
      <c r="C1034" s="1" t="n">
        <v>45718</v>
      </c>
      <c r="D1034" t="inlineStr">
        <is>
          <t>DALARNAS LÄN</t>
        </is>
      </c>
      <c r="E1034" t="inlineStr">
        <is>
          <t>SMEDJEBACKEN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44069-2024</t>
        </is>
      </c>
      <c r="B1035" s="1" t="n">
        <v>45572</v>
      </c>
      <c r="C1035" s="1" t="n">
        <v>45718</v>
      </c>
      <c r="D1035" t="inlineStr">
        <is>
          <t>DALARNAS LÄN</t>
        </is>
      </c>
      <c r="E1035" t="inlineStr">
        <is>
          <t>SMEDJEBACKEN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43926-2024</t>
        </is>
      </c>
      <c r="B1036" s="1" t="n">
        <v>45572</v>
      </c>
      <c r="C1036" s="1" t="n">
        <v>45718</v>
      </c>
      <c r="D1036" t="inlineStr">
        <is>
          <t>DALARNAS LÄN</t>
        </is>
      </c>
      <c r="E1036" t="inlineStr">
        <is>
          <t>SMEDJEBACKEN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45157-2024</t>
        </is>
      </c>
      <c r="B1037" s="1" t="n">
        <v>45575</v>
      </c>
      <c r="C1037" s="1" t="n">
        <v>45718</v>
      </c>
      <c r="D1037" t="inlineStr">
        <is>
          <t>DALARNAS LÄN</t>
        </is>
      </c>
      <c r="E1037" t="inlineStr">
        <is>
          <t>SMEDJEBACKEN</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45152-2024</t>
        </is>
      </c>
      <c r="B1038" s="1" t="n">
        <v>45575</v>
      </c>
      <c r="C1038" s="1" t="n">
        <v>45718</v>
      </c>
      <c r="D1038" t="inlineStr">
        <is>
          <t>DALARNAS LÄN</t>
        </is>
      </c>
      <c r="E1038" t="inlineStr">
        <is>
          <t>SMEDJEBACKEN</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45568-2024</t>
        </is>
      </c>
      <c r="B1039" s="1" t="n">
        <v>45578</v>
      </c>
      <c r="C1039" s="1" t="n">
        <v>45718</v>
      </c>
      <c r="D1039" t="inlineStr">
        <is>
          <t>DALARNAS LÄN</t>
        </is>
      </c>
      <c r="E1039" t="inlineStr">
        <is>
          <t>SMEDJEBACKEN</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45571-2024</t>
        </is>
      </c>
      <c r="B1040" s="1" t="n">
        <v>45578</v>
      </c>
      <c r="C1040" s="1" t="n">
        <v>45718</v>
      </c>
      <c r="D1040" t="inlineStr">
        <is>
          <t>DALARNAS LÄN</t>
        </is>
      </c>
      <c r="E1040" t="inlineStr">
        <is>
          <t>SMEDJEBACKEN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45569-2024</t>
        </is>
      </c>
      <c r="B1041" s="1" t="n">
        <v>45578</v>
      </c>
      <c r="C1041" s="1" t="n">
        <v>45718</v>
      </c>
      <c r="D1041" t="inlineStr">
        <is>
          <t>DALARNAS LÄN</t>
        </is>
      </c>
      <c r="E1041" t="inlineStr">
        <is>
          <t>SMEDJEBACKEN</t>
        </is>
      </c>
      <c r="F1041" t="inlineStr">
        <is>
          <t>Bergvik skog väst AB</t>
        </is>
      </c>
      <c r="G1041" t="n">
        <v>23.6</v>
      </c>
      <c r="H1041" t="n">
        <v>0</v>
      </c>
      <c r="I1041" t="n">
        <v>0</v>
      </c>
      <c r="J1041" t="n">
        <v>0</v>
      </c>
      <c r="K1041" t="n">
        <v>0</v>
      </c>
      <c r="L1041" t="n">
        <v>0</v>
      </c>
      <c r="M1041" t="n">
        <v>0</v>
      </c>
      <c r="N1041" t="n">
        <v>0</v>
      </c>
      <c r="O1041" t="n">
        <v>0</v>
      </c>
      <c r="P1041" t="n">
        <v>0</v>
      </c>
      <c r="Q1041" t="n">
        <v>0</v>
      </c>
      <c r="R1041" s="2" t="inlineStr"/>
    </row>
    <row r="1042" ht="15" customHeight="1">
      <c r="A1042" t="inlineStr">
        <is>
          <t>A 45683-2024</t>
        </is>
      </c>
      <c r="B1042" s="1" t="n">
        <v>45579</v>
      </c>
      <c r="C1042" s="1" t="n">
        <v>45718</v>
      </c>
      <c r="D1042" t="inlineStr">
        <is>
          <t>DALARNAS LÄN</t>
        </is>
      </c>
      <c r="E1042" t="inlineStr">
        <is>
          <t>SMEDJEBACKEN</t>
        </is>
      </c>
      <c r="F1042" t="inlineStr">
        <is>
          <t>Bergvik skog väst AB</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45581-2024</t>
        </is>
      </c>
      <c r="B1043" s="1" t="n">
        <v>45579</v>
      </c>
      <c r="C1043" s="1" t="n">
        <v>45718</v>
      </c>
      <c r="D1043" t="inlineStr">
        <is>
          <t>DALARNAS LÄN</t>
        </is>
      </c>
      <c r="E1043" t="inlineStr">
        <is>
          <t>SMEDJEBACKEN</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45576-2024</t>
        </is>
      </c>
      <c r="B1044" s="1" t="n">
        <v>45579</v>
      </c>
      <c r="C1044" s="1" t="n">
        <v>45718</v>
      </c>
      <c r="D1044" t="inlineStr">
        <is>
          <t>DALARNAS LÄN</t>
        </is>
      </c>
      <c r="E1044" t="inlineStr">
        <is>
          <t>SMEDJEBACKEN</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45582-2024</t>
        </is>
      </c>
      <c r="B1045" s="1" t="n">
        <v>45579</v>
      </c>
      <c r="C1045" s="1" t="n">
        <v>45718</v>
      </c>
      <c r="D1045" t="inlineStr">
        <is>
          <t>DALARNAS LÄN</t>
        </is>
      </c>
      <c r="E1045" t="inlineStr">
        <is>
          <t>SMEDJEBACKEN</t>
        </is>
      </c>
      <c r="F1045" t="inlineStr">
        <is>
          <t>Sveaskog</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45580-2024</t>
        </is>
      </c>
      <c r="B1046" s="1" t="n">
        <v>45579</v>
      </c>
      <c r="C1046" s="1" t="n">
        <v>45718</v>
      </c>
      <c r="D1046" t="inlineStr">
        <is>
          <t>DALARNAS LÄN</t>
        </is>
      </c>
      <c r="E1046" t="inlineStr">
        <is>
          <t>SMEDJEBACKEN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46402-2024</t>
        </is>
      </c>
      <c r="B1047" s="1" t="n">
        <v>45582</v>
      </c>
      <c r="C1047" s="1" t="n">
        <v>45718</v>
      </c>
      <c r="D1047" t="inlineStr">
        <is>
          <t>DALARNAS LÄN</t>
        </is>
      </c>
      <c r="E1047" t="inlineStr">
        <is>
          <t>SMEDJEBACKEN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46396-2024</t>
        </is>
      </c>
      <c r="B1048" s="1" t="n">
        <v>45582</v>
      </c>
      <c r="C1048" s="1" t="n">
        <v>45718</v>
      </c>
      <c r="D1048" t="inlineStr">
        <is>
          <t>DALARNAS LÄN</t>
        </is>
      </c>
      <c r="E1048" t="inlineStr">
        <is>
          <t>SMEDJEBACKEN</t>
        </is>
      </c>
      <c r="F1048" t="inlineStr">
        <is>
          <t>Bergvik skog väst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47088-2024</t>
        </is>
      </c>
      <c r="B1049" s="1" t="n">
        <v>45586</v>
      </c>
      <c r="C1049" s="1" t="n">
        <v>45718</v>
      </c>
      <c r="D1049" t="inlineStr">
        <is>
          <t>DALARNAS LÄN</t>
        </is>
      </c>
      <c r="E1049" t="inlineStr">
        <is>
          <t>SMEDJEBACKEN</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47431-2024</t>
        </is>
      </c>
      <c r="B1050" s="1" t="n">
        <v>45587</v>
      </c>
      <c r="C1050" s="1" t="n">
        <v>45718</v>
      </c>
      <c r="D1050" t="inlineStr">
        <is>
          <t>DALARNAS LÄN</t>
        </is>
      </c>
      <c r="E1050" t="inlineStr">
        <is>
          <t>SMEDJEBACKEN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47654-2024</t>
        </is>
      </c>
      <c r="B1051" s="1" t="n">
        <v>45588</v>
      </c>
      <c r="C1051" s="1" t="n">
        <v>45718</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47664-2024</t>
        </is>
      </c>
      <c r="B1052" s="1" t="n">
        <v>45588</v>
      </c>
      <c r="C1052" s="1" t="n">
        <v>45718</v>
      </c>
      <c r="D1052" t="inlineStr">
        <is>
          <t>DALARNAS LÄN</t>
        </is>
      </c>
      <c r="E1052" t="inlineStr">
        <is>
          <t>SMEDJEBACKEN</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47834-2024</t>
        </is>
      </c>
      <c r="B1053" s="1" t="n">
        <v>45588</v>
      </c>
      <c r="C1053" s="1" t="n">
        <v>45718</v>
      </c>
      <c r="D1053" t="inlineStr">
        <is>
          <t>DALARNAS LÄN</t>
        </is>
      </c>
      <c r="E1053" t="inlineStr">
        <is>
          <t>SMEDJEBACKEN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47661-2024</t>
        </is>
      </c>
      <c r="B1054" s="1" t="n">
        <v>45588</v>
      </c>
      <c r="C1054" s="1" t="n">
        <v>45718</v>
      </c>
      <c r="D1054" t="inlineStr">
        <is>
          <t>DALARNAS LÄN</t>
        </is>
      </c>
      <c r="E1054" t="inlineStr">
        <is>
          <t>SMEDJEBACKEN</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48055-2024</t>
        </is>
      </c>
      <c r="B1055" s="1" t="n">
        <v>45589</v>
      </c>
      <c r="C1055" s="1" t="n">
        <v>45718</v>
      </c>
      <c r="D1055" t="inlineStr">
        <is>
          <t>DALARNAS LÄN</t>
        </is>
      </c>
      <c r="E1055" t="inlineStr">
        <is>
          <t>SMEDJEBACKEN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48057-2024</t>
        </is>
      </c>
      <c r="B1056" s="1" t="n">
        <v>45589</v>
      </c>
      <c r="C1056" s="1" t="n">
        <v>45718</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48298-2024</t>
        </is>
      </c>
      <c r="B1057" s="1" t="n">
        <v>45590</v>
      </c>
      <c r="C1057" s="1" t="n">
        <v>45718</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48634-2024</t>
        </is>
      </c>
      <c r="B1058" s="1" t="n">
        <v>45593</v>
      </c>
      <c r="C1058" s="1" t="n">
        <v>45718</v>
      </c>
      <c r="D1058" t="inlineStr">
        <is>
          <t>DALARNAS LÄN</t>
        </is>
      </c>
      <c r="E1058" t="inlineStr">
        <is>
          <t>SMEDJEBACKEN</t>
        </is>
      </c>
      <c r="F1058" t="inlineStr">
        <is>
          <t>Bergvik skog väst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49144-2024</t>
        </is>
      </c>
      <c r="B1059" s="1" t="n">
        <v>45594</v>
      </c>
      <c r="C1059" s="1" t="n">
        <v>45718</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49148-2024</t>
        </is>
      </c>
      <c r="B1060" s="1" t="n">
        <v>45594</v>
      </c>
      <c r="C1060" s="1" t="n">
        <v>45718</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49285-2024</t>
        </is>
      </c>
      <c r="B1061" s="1" t="n">
        <v>45595</v>
      </c>
      <c r="C1061" s="1" t="n">
        <v>45718</v>
      </c>
      <c r="D1061" t="inlineStr">
        <is>
          <t>DALARNAS LÄN</t>
        </is>
      </c>
      <c r="E1061" t="inlineStr">
        <is>
          <t>SMEDJEBACKEN</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49283-2024</t>
        </is>
      </c>
      <c r="B1062" s="1" t="n">
        <v>45595</v>
      </c>
      <c r="C1062" s="1" t="n">
        <v>45718</v>
      </c>
      <c r="D1062" t="inlineStr">
        <is>
          <t>DALARNAS LÄN</t>
        </is>
      </c>
      <c r="E1062" t="inlineStr">
        <is>
          <t>SMEDJEBACKEN</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49570-2024</t>
        </is>
      </c>
      <c r="B1063" s="1" t="n">
        <v>45596</v>
      </c>
      <c r="C1063" s="1" t="n">
        <v>45718</v>
      </c>
      <c r="D1063" t="inlineStr">
        <is>
          <t>DALARNAS LÄN</t>
        </is>
      </c>
      <c r="E1063" t="inlineStr">
        <is>
          <t>SMEDJEBACKEN</t>
        </is>
      </c>
      <c r="F1063" t="inlineStr">
        <is>
          <t>Sveaskog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49569-2024</t>
        </is>
      </c>
      <c r="B1064" s="1" t="n">
        <v>45596</v>
      </c>
      <c r="C1064" s="1" t="n">
        <v>45718</v>
      </c>
      <c r="D1064" t="inlineStr">
        <is>
          <t>DALARNAS LÄN</t>
        </is>
      </c>
      <c r="E1064" t="inlineStr">
        <is>
          <t>SMEDJEBACKEN</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49535-2024</t>
        </is>
      </c>
      <c r="B1065" s="1" t="n">
        <v>45596</v>
      </c>
      <c r="C1065" s="1" t="n">
        <v>45718</v>
      </c>
      <c r="D1065" t="inlineStr">
        <is>
          <t>DALARNAS LÄN</t>
        </is>
      </c>
      <c r="E1065" t="inlineStr">
        <is>
          <t>SMEDJEBACKEN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50539-2024</t>
        </is>
      </c>
      <c r="B1066" s="1" t="n">
        <v>45600</v>
      </c>
      <c r="C1066" s="1" t="n">
        <v>45718</v>
      </c>
      <c r="D1066" t="inlineStr">
        <is>
          <t>DALARNAS LÄN</t>
        </is>
      </c>
      <c r="E1066" t="inlineStr">
        <is>
          <t>SMEDJEBACKEN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50524-2024</t>
        </is>
      </c>
      <c r="B1067" s="1" t="n">
        <v>45600</v>
      </c>
      <c r="C1067" s="1" t="n">
        <v>45718</v>
      </c>
      <c r="D1067" t="inlineStr">
        <is>
          <t>DALARNAS LÄN</t>
        </is>
      </c>
      <c r="E1067" t="inlineStr">
        <is>
          <t>SMEDJEBACKEN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50567-2024</t>
        </is>
      </c>
      <c r="B1068" s="1" t="n">
        <v>45600</v>
      </c>
      <c r="C1068" s="1" t="n">
        <v>45718</v>
      </c>
      <c r="D1068" t="inlineStr">
        <is>
          <t>DALARNAS LÄN</t>
        </is>
      </c>
      <c r="E1068" t="inlineStr">
        <is>
          <t>SMEDJEBACKEN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50513-2024</t>
        </is>
      </c>
      <c r="B1069" s="1" t="n">
        <v>45600</v>
      </c>
      <c r="C1069" s="1" t="n">
        <v>45718</v>
      </c>
      <c r="D1069" t="inlineStr">
        <is>
          <t>DALARNAS LÄN</t>
        </is>
      </c>
      <c r="E1069" t="inlineStr">
        <is>
          <t>SMEDJEBACKEN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50778-2024</t>
        </is>
      </c>
      <c r="B1070" s="1" t="n">
        <v>45601</v>
      </c>
      <c r="C1070" s="1" t="n">
        <v>45718</v>
      </c>
      <c r="D1070" t="inlineStr">
        <is>
          <t>DALARNAS LÄN</t>
        </is>
      </c>
      <c r="E1070" t="inlineStr">
        <is>
          <t>SMEDJEBACKEN</t>
        </is>
      </c>
      <c r="F1070" t="inlineStr">
        <is>
          <t>Bergvik skog väst AB</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51115-2024</t>
        </is>
      </c>
      <c r="B1071" s="1" t="n">
        <v>45603</v>
      </c>
      <c r="C1071" s="1" t="n">
        <v>45718</v>
      </c>
      <c r="D1071" t="inlineStr">
        <is>
          <t>DALARNAS LÄN</t>
        </is>
      </c>
      <c r="E1071" t="inlineStr">
        <is>
          <t>SMEDJEBACKEN</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51117-2024</t>
        </is>
      </c>
      <c r="B1072" s="1" t="n">
        <v>45603</v>
      </c>
      <c r="C1072" s="1" t="n">
        <v>45718</v>
      </c>
      <c r="D1072" t="inlineStr">
        <is>
          <t>DALARNAS LÄN</t>
        </is>
      </c>
      <c r="E1072" t="inlineStr">
        <is>
          <t>SMEDJEBACKEN</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51657-2024</t>
        </is>
      </c>
      <c r="B1073" s="1" t="n">
        <v>45606</v>
      </c>
      <c r="C1073" s="1" t="n">
        <v>45718</v>
      </c>
      <c r="D1073" t="inlineStr">
        <is>
          <t>DALARNAS LÄN</t>
        </is>
      </c>
      <c r="E1073" t="inlineStr">
        <is>
          <t>SMEDJEBACKEN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51658-2024</t>
        </is>
      </c>
      <c r="B1074" s="1" t="n">
        <v>45606</v>
      </c>
      <c r="C1074" s="1" t="n">
        <v>45718</v>
      </c>
      <c r="D1074" t="inlineStr">
        <is>
          <t>DALARNAS LÄN</t>
        </is>
      </c>
      <c r="E1074" t="inlineStr">
        <is>
          <t>SMEDJEBACKEN</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51655-2024</t>
        </is>
      </c>
      <c r="B1075" s="1" t="n">
        <v>45606</v>
      </c>
      <c r="C1075" s="1" t="n">
        <v>45718</v>
      </c>
      <c r="D1075" t="inlineStr">
        <is>
          <t>DALARNAS LÄN</t>
        </is>
      </c>
      <c r="E1075" t="inlineStr">
        <is>
          <t>SMEDJEBACKEN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51656-2024</t>
        </is>
      </c>
      <c r="B1076" s="1" t="n">
        <v>45606</v>
      </c>
      <c r="C1076" s="1" t="n">
        <v>45718</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51751-2024</t>
        </is>
      </c>
      <c r="B1077" s="1" t="n">
        <v>45607</v>
      </c>
      <c r="C1077" s="1" t="n">
        <v>45718</v>
      </c>
      <c r="D1077" t="inlineStr">
        <is>
          <t>DALARNAS LÄN</t>
        </is>
      </c>
      <c r="E1077" t="inlineStr">
        <is>
          <t>SMEDJEBACKEN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51771-2024</t>
        </is>
      </c>
      <c r="B1078" s="1" t="n">
        <v>45607</v>
      </c>
      <c r="C1078" s="1" t="n">
        <v>45718</v>
      </c>
      <c r="D1078" t="inlineStr">
        <is>
          <t>DALARNAS LÄN</t>
        </is>
      </c>
      <c r="E1078" t="inlineStr">
        <is>
          <t>SMEDJEBACKEN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52765-2024</t>
        </is>
      </c>
      <c r="B1079" s="1" t="n">
        <v>45610</v>
      </c>
      <c r="C1079" s="1" t="n">
        <v>45718</v>
      </c>
      <c r="D1079" t="inlineStr">
        <is>
          <t>DALARNAS LÄN</t>
        </is>
      </c>
      <c r="E1079" t="inlineStr">
        <is>
          <t>SMEDJEBACKEN</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52762-2024</t>
        </is>
      </c>
      <c r="B1080" s="1" t="n">
        <v>45610</v>
      </c>
      <c r="C1080" s="1" t="n">
        <v>45718</v>
      </c>
      <c r="D1080" t="inlineStr">
        <is>
          <t>DALARNAS LÄN</t>
        </is>
      </c>
      <c r="E1080" t="inlineStr">
        <is>
          <t>SMEDJEBACKEN</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53474-2024</t>
        </is>
      </c>
      <c r="B1081" s="1" t="n">
        <v>45611</v>
      </c>
      <c r="C1081" s="1" t="n">
        <v>45718</v>
      </c>
      <c r="D1081" t="inlineStr">
        <is>
          <t>DALARNAS LÄN</t>
        </is>
      </c>
      <c r="E1081" t="inlineStr">
        <is>
          <t>SMEDJEBACKEN</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53530-2024</t>
        </is>
      </c>
      <c r="B1082" s="1" t="n">
        <v>45614</v>
      </c>
      <c r="C1082" s="1" t="n">
        <v>45718</v>
      </c>
      <c r="D1082" t="inlineStr">
        <is>
          <t>DALARNAS LÄN</t>
        </is>
      </c>
      <c r="E1082" t="inlineStr">
        <is>
          <t>SMEDJEBACKEN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53982-2024</t>
        </is>
      </c>
      <c r="B1083" s="1" t="n">
        <v>45615</v>
      </c>
      <c r="C1083" s="1" t="n">
        <v>45718</v>
      </c>
      <c r="D1083" t="inlineStr">
        <is>
          <t>DALARNAS LÄN</t>
        </is>
      </c>
      <c r="E1083" t="inlineStr">
        <is>
          <t>SMEDJEBACKEN</t>
        </is>
      </c>
      <c r="F1083" t="inlineStr">
        <is>
          <t>Bergvik skog väst AB</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55871-2024</t>
        </is>
      </c>
      <c r="B1084" s="1" t="n">
        <v>45623</v>
      </c>
      <c r="C1084" s="1" t="n">
        <v>45718</v>
      </c>
      <c r="D1084" t="inlineStr">
        <is>
          <t>DALARNAS LÄN</t>
        </is>
      </c>
      <c r="E1084" t="inlineStr">
        <is>
          <t>SMEDJEBACKEN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56305-2024</t>
        </is>
      </c>
      <c r="B1085" s="1" t="n">
        <v>45624</v>
      </c>
      <c r="C1085" s="1" t="n">
        <v>45718</v>
      </c>
      <c r="D1085" t="inlineStr">
        <is>
          <t>DALARNAS LÄN</t>
        </is>
      </c>
      <c r="E1085" t="inlineStr">
        <is>
          <t>SMEDJEBACKEN</t>
        </is>
      </c>
      <c r="G1085" t="n">
        <v>14.1</v>
      </c>
      <c r="H1085" t="n">
        <v>0</v>
      </c>
      <c r="I1085" t="n">
        <v>0</v>
      </c>
      <c r="J1085" t="n">
        <v>0</v>
      </c>
      <c r="K1085" t="n">
        <v>0</v>
      </c>
      <c r="L1085" t="n">
        <v>0</v>
      </c>
      <c r="M1085" t="n">
        <v>0</v>
      </c>
      <c r="N1085" t="n">
        <v>0</v>
      </c>
      <c r="O1085" t="n">
        <v>0</v>
      </c>
      <c r="P1085" t="n">
        <v>0</v>
      </c>
      <c r="Q1085" t="n">
        <v>0</v>
      </c>
      <c r="R1085" s="2" t="inlineStr"/>
    </row>
    <row r="1086" ht="15" customHeight="1">
      <c r="A1086" t="inlineStr">
        <is>
          <t>A 56328-2024</t>
        </is>
      </c>
      <c r="B1086" s="1" t="n">
        <v>45624</v>
      </c>
      <c r="C1086" s="1" t="n">
        <v>45718</v>
      </c>
      <c r="D1086" t="inlineStr">
        <is>
          <t>DALARNAS LÄN</t>
        </is>
      </c>
      <c r="E1086" t="inlineStr">
        <is>
          <t>SMEDJEBACKEN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56327-2024</t>
        </is>
      </c>
      <c r="B1087" s="1" t="n">
        <v>45624</v>
      </c>
      <c r="C1087" s="1" t="n">
        <v>45718</v>
      </c>
      <c r="D1087" t="inlineStr">
        <is>
          <t>DALARNAS LÄN</t>
        </is>
      </c>
      <c r="E1087" t="inlineStr">
        <is>
          <t>SMEDJEBACKEN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56422-2024</t>
        </is>
      </c>
      <c r="B1088" s="1" t="n">
        <v>45625</v>
      </c>
      <c r="C1088" s="1" t="n">
        <v>45718</v>
      </c>
      <c r="D1088" t="inlineStr">
        <is>
          <t>DALARNAS LÄN</t>
        </is>
      </c>
      <c r="E1088" t="inlineStr">
        <is>
          <t>SMEDJEBACKEN</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56393-2024</t>
        </is>
      </c>
      <c r="B1089" s="1" t="n">
        <v>45625</v>
      </c>
      <c r="C1089" s="1" t="n">
        <v>45718</v>
      </c>
      <c r="D1089" t="inlineStr">
        <is>
          <t>DALARNAS LÄN</t>
        </is>
      </c>
      <c r="E1089" t="inlineStr">
        <is>
          <t>SMEDJEBACKEN</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56510-2024</t>
        </is>
      </c>
      <c r="B1090" s="1" t="n">
        <v>45625</v>
      </c>
      <c r="C1090" s="1" t="n">
        <v>45718</v>
      </c>
      <c r="D1090" t="inlineStr">
        <is>
          <t>DALARNAS LÄN</t>
        </is>
      </c>
      <c r="E1090" t="inlineStr">
        <is>
          <t>SMEDJEBACKEN</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57300-2024</t>
        </is>
      </c>
      <c r="B1091" s="1" t="n">
        <v>45629</v>
      </c>
      <c r="C1091" s="1" t="n">
        <v>45718</v>
      </c>
      <c r="D1091" t="inlineStr">
        <is>
          <t>DALARNAS LÄN</t>
        </is>
      </c>
      <c r="E1091" t="inlineStr">
        <is>
          <t>SMEDJEBACKEN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57838-2024</t>
        </is>
      </c>
      <c r="B1092" s="1" t="n">
        <v>45631</v>
      </c>
      <c r="C1092" s="1" t="n">
        <v>45718</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58582-2024</t>
        </is>
      </c>
      <c r="B1093" s="1" t="n">
        <v>45635</v>
      </c>
      <c r="C1093" s="1" t="n">
        <v>45718</v>
      </c>
      <c r="D1093" t="inlineStr">
        <is>
          <t>DALARNAS LÄN</t>
        </is>
      </c>
      <c r="E1093" t="inlineStr">
        <is>
          <t>SMEDJEBACKEN</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58546-2024</t>
        </is>
      </c>
      <c r="B1094" s="1" t="n">
        <v>45635</v>
      </c>
      <c r="C1094" s="1" t="n">
        <v>45718</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59882-2024</t>
        </is>
      </c>
      <c r="B1095" s="1" t="n">
        <v>45641</v>
      </c>
      <c r="C1095" s="1" t="n">
        <v>45718</v>
      </c>
      <c r="D1095" t="inlineStr">
        <is>
          <t>DALARNAS LÄN</t>
        </is>
      </c>
      <c r="E1095" t="inlineStr">
        <is>
          <t>SMEDJEBACKEN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45718</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59925-2024</t>
        </is>
      </c>
      <c r="B1097" s="1" t="n">
        <v>45642</v>
      </c>
      <c r="C1097" s="1" t="n">
        <v>45718</v>
      </c>
      <c r="D1097" t="inlineStr">
        <is>
          <t>DALARNAS LÄN</t>
        </is>
      </c>
      <c r="E1097" t="inlineStr">
        <is>
          <t>SMEDJEBACKEN</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60025-2024</t>
        </is>
      </c>
      <c r="B1098" s="1" t="n">
        <v>45642</v>
      </c>
      <c r="C1098" s="1" t="n">
        <v>45718</v>
      </c>
      <c r="D1098" t="inlineStr">
        <is>
          <t>DALARNAS LÄN</t>
        </is>
      </c>
      <c r="E1098" t="inlineStr">
        <is>
          <t>SMEDJEBACKEN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45718</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45718</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60680-2024</t>
        </is>
      </c>
      <c r="B1101" s="1" t="n">
        <v>45644</v>
      </c>
      <c r="C1101" s="1" t="n">
        <v>45718</v>
      </c>
      <c r="D1101" t="inlineStr">
        <is>
          <t>DALARNAS LÄN</t>
        </is>
      </c>
      <c r="E1101" t="inlineStr">
        <is>
          <t>SMEDJEBACKEN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60684-2024</t>
        </is>
      </c>
      <c r="B1102" s="1" t="n">
        <v>45644</v>
      </c>
      <c r="C1102" s="1" t="n">
        <v>45718</v>
      </c>
      <c r="D1102" t="inlineStr">
        <is>
          <t>DALARNAS LÄN</t>
        </is>
      </c>
      <c r="E1102" t="inlineStr">
        <is>
          <t>SMEDJEBACKEN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658-2025</t>
        </is>
      </c>
      <c r="B1103" s="1" t="n">
        <v>45664</v>
      </c>
      <c r="C1103" s="1" t="n">
        <v>45718</v>
      </c>
      <c r="D1103" t="inlineStr">
        <is>
          <t>DALARNAS LÄN</t>
        </is>
      </c>
      <c r="E1103" t="inlineStr">
        <is>
          <t>SMEDJEBACKEN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1505-2025</t>
        </is>
      </c>
      <c r="B1104" s="1" t="n">
        <v>45670</v>
      </c>
      <c r="C1104" s="1" t="n">
        <v>45718</v>
      </c>
      <c r="D1104" t="inlineStr">
        <is>
          <t>DALARNAS LÄN</t>
        </is>
      </c>
      <c r="E1104" t="inlineStr">
        <is>
          <t>SMEDJEBACKEN</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1853-2025</t>
        </is>
      </c>
      <c r="B1105" s="1" t="n">
        <v>45671</v>
      </c>
      <c r="C1105" s="1" t="n">
        <v>45718</v>
      </c>
      <c r="D1105" t="inlineStr">
        <is>
          <t>DALARNAS LÄN</t>
        </is>
      </c>
      <c r="E1105" t="inlineStr">
        <is>
          <t>SMEDJEBACKEN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3970-2025</t>
        </is>
      </c>
      <c r="B1106" s="1" t="n">
        <v>45684</v>
      </c>
      <c r="C1106" s="1" t="n">
        <v>45718</v>
      </c>
      <c r="D1106" t="inlineStr">
        <is>
          <t>DALARNAS LÄN</t>
        </is>
      </c>
      <c r="E1106" t="inlineStr">
        <is>
          <t>SMEDJEBACKEN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45718</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4295-2025</t>
        </is>
      </c>
      <c r="B1108" s="1" t="n">
        <v>45685</v>
      </c>
      <c r="C1108" s="1" t="n">
        <v>45718</v>
      </c>
      <c r="D1108" t="inlineStr">
        <is>
          <t>DALARNAS LÄN</t>
        </is>
      </c>
      <c r="E1108" t="inlineStr">
        <is>
          <t>SMEDJEBACKEN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45718</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4718-2025</t>
        </is>
      </c>
      <c r="B1110" s="1" t="n">
        <v>45688</v>
      </c>
      <c r="C1110" s="1" t="n">
        <v>45718</v>
      </c>
      <c r="D1110" t="inlineStr">
        <is>
          <t>DALARNAS LÄN</t>
        </is>
      </c>
      <c r="E1110" t="inlineStr">
        <is>
          <t>SMEDJEBACKEN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6177-2025</t>
        </is>
      </c>
      <c r="B1111" s="1" t="n">
        <v>45698</v>
      </c>
      <c r="C1111" s="1" t="n">
        <v>45718</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45718</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6604-2025</t>
        </is>
      </c>
      <c r="B1113" s="1" t="n">
        <v>45700</v>
      </c>
      <c r="C1113" s="1" t="n">
        <v>45718</v>
      </c>
      <c r="D1113" t="inlineStr">
        <is>
          <t>DALARNAS LÄN</t>
        </is>
      </c>
      <c r="E1113" t="inlineStr">
        <is>
          <t>SMEDJEBACKEN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45718</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45718</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7275-2025</t>
        </is>
      </c>
      <c r="B1116" s="1" t="n">
        <v>45702</v>
      </c>
      <c r="C1116" s="1" t="n">
        <v>45718</v>
      </c>
      <c r="D1116" t="inlineStr">
        <is>
          <t>DALARNAS LÄN</t>
        </is>
      </c>
      <c r="E1116" t="inlineStr">
        <is>
          <t>SMEDJEBACKEN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7412-2025</t>
        </is>
      </c>
      <c r="B1117" s="1" t="n">
        <v>45705</v>
      </c>
      <c r="C1117" s="1" t="n">
        <v>45718</v>
      </c>
      <c r="D1117" t="inlineStr">
        <is>
          <t>DALARNAS LÄN</t>
        </is>
      </c>
      <c r="E1117" t="inlineStr">
        <is>
          <t>SMEDJEBACKEN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8588-2025</t>
        </is>
      </c>
      <c r="B1118" s="1" t="n">
        <v>45709</v>
      </c>
      <c r="C1118" s="1" t="n">
        <v>45718</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45718</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9144-2025</t>
        </is>
      </c>
      <c r="B1120" s="1" t="n">
        <v>45714</v>
      </c>
      <c r="C1120" s="1" t="n">
        <v>45718</v>
      </c>
      <c r="D1120" t="inlineStr">
        <is>
          <t>DALARNAS LÄN</t>
        </is>
      </c>
      <c r="E1120" t="inlineStr">
        <is>
          <t>SMEDJEBACKEN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45718</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c r="A1122" t="inlineStr">
        <is>
          <t>A 9559-2025</t>
        </is>
      </c>
      <c r="B1122" s="1" t="n">
        <v>45715</v>
      </c>
      <c r="C1122" s="1" t="n">
        <v>45718</v>
      </c>
      <c r="D1122" t="inlineStr">
        <is>
          <t>DALARNAS LÄN</t>
        </is>
      </c>
      <c r="E1122" t="inlineStr">
        <is>
          <t>SMEDJEBACKEN</t>
        </is>
      </c>
      <c r="G1122" t="n">
        <v>0.9</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2025-03-02T17:02:33Z</dcterms:created>
  <dcterms:modified xmlns:dcterms="http://purl.org/dc/terms/" xmlns:xsi="http://www.w3.org/2001/XMLSchema-instance" xsi:type="dcterms:W3CDTF">2025-03-02T17:02:34Z</dcterms:modified>
</cp:coreProperties>
</file>